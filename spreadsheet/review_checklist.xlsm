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61371071-A659-4F67-BAEC-5AE5759D96A3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S28" i="7" a="1"/>
  <c r="S28" i="7" s="1"/>
  <c r="O13" i="7"/>
  <c r="N5" i="7"/>
  <c r="N13" i="7" a="1"/>
  <c r="N13" i="7" s="1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4" i="7" l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<sst xmlns="http://schemas.openxmlformats.org/spreadsheetml/2006/main" count="88" uniqueCount="78">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</sst>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overview-throttling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1" t="s">
        <v>23</v>
      </c>
      <c r="E1" s="21" t="s">
        <v>24</v>
      </c>
      <c r="F1" s="21"/>
    </row>
    <row r="2" spans="1:15" ht="31.5">
      <c r="A2" s="14" t="s">
        <v>14</v>
      </c>
      <c r="D2" s="20">
        <f>IF($T$29=0,0,1-$Q$29/$T$29)</f>
        <v>0</v>
      </c>
      <c r="E2" s="20">
        <f>IF(T29=0,0,R29/T29)</f>
        <v>0</v>
      </c>
      <c r="F2" s="20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8" t="s">
        <v>72</v>
      </c>
      <c r="E50" t="s">
        <v>17</v>
      </c>
    </row>
    <row r="51" spans="1:6">
      <c r="A51" t="s">
        <v>63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topLeftCell="C2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1"/>
      <c r="B2" s="41"/>
      <c r="C2" s="12" t="s">
        <v>12</v>
      </c>
      <c r="D2" s="23"/>
      <c r="E2" s="40" t="s">
        <v>30</v>
      </c>
      <c r="F2" s="24" t="s">
        <v>34</v>
      </c>
      <c r="G2" s="30" t="s">
        <v>41</v>
      </c>
    </row>
    <row r="3" spans="1:16" ht="17.25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2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2" t="str">
        <f>Values!H6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74</v>
      </c>
      <c r="K9" s="19" t="s">
        <v>21</v>
      </c>
      <c r="L9" s="36" t="s">
        <v>63</v>
      </c>
      <c r="M9" s="36" t="s">
        <v>61</v>
      </c>
      <c r="N9" s="36" t="s">
        <v>62</v>
      </c>
      <c r="O9" s="36" t="s">
        <v>64</v>
      </c>
      <c r="P9" s="36" t="s">
        <v>65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overview-throttling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Values!$F$2:$F$8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F7" sqref="F7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49</v>
      </c>
      <c r="K2" s="17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2022-06-01T15:34:10Z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