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5AE8A41B-89A8-4CDE-BDB2-613B9AB0CBE9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" l="1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N28" i="7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E54" i="7" l="1"/>
  <c r="O8" i="5" s="1"/>
  <c r="E55" i="7"/>
  <c r="P8" i="5" s="1"/>
  <c r="E52" i="7"/>
  <c r="M8" i="5" s="1"/>
  <c r="E53" i="7"/>
  <c r="N8" i="5" s="1"/>
  <c r="E51" i="7"/>
  <c r="L8" i="5" s="1"/>
  <c r="Q28" i="7" a="1"/>
  <c r="Q28" i="7" s="1"/>
  <c r="O28" i="7" l="1" a="1"/>
  <c r="O28" i="7" s="1"/>
  <c r="I11" i="7" a="1"/>
  <c r="I11" i="7" s="1"/>
  <c r="Q25" i="7" a="1"/>
  <c r="Q25" i="7" s="1"/>
  <c r="P20" i="7"/>
  <c r="P28" i="7" s="1" a="1"/>
  <c r="P28" i="7" s="1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K9" i="7" l="1" a="1"/>
  <c r="K9" i="7" s="1"/>
  <c r="L12" i="7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<sst xmlns="http://schemas.openxmlformats.org/spreadsheetml/2006/main" count="95" uniqueCount="82">
  <si>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</si>
  <si>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</si>
  <si>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</si>
  <si>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</si>
  <si>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</si>
  <si>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</si>
  <si>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</si>
  <si>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</si>
  <si>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</si>
  <si>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</si>
  <si>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</si>
  <si>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</si>
  <si>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</si>
  <si>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</si>
  <si>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</si>
  <si>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</si>
  <si>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</si>
  <si>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</si>
  <si>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</si>
  <si>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</si>
  <si>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</si>
  <si>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</si>
  <si>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</si>
  <si>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</si>
  <si>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</si>
  <si>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</si>
  <si>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</si>
  <si>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</si>
  <si>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</si>
  <si>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</si>
  <si>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</si>
  <si>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</si>
  <si>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</si>
  <si>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</si>
  <si>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</si>
  <si>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</si>
  <si>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</si>
  <si>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</si>
  <si>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</si>
  <si>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</si>
  <si>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</si>
  <si>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</si>
  <si>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</si>
  <si>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</si>
  <si>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</si>
  <si>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</si>
  <si>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</si>
  <si>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</si>
  <si>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</si>
  <si>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</si>
  <si>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</si>
  <si>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</si>
  <si>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</si>
  <si>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</si>
  <si>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</si>
  <si>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</si>
  <si>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</si>
  <si>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</si>
  <si>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</si>
  <si>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</si>
  <si>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</si>
  <si>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</si>
  <si>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</si>
  <si>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</si>
  <si>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</si>
  <si>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</si>
  <si>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</si>
  <si>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</si>
  <si>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</si>
  <si>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</si>
  <si>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</si>
  <si>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</si>
  <si>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</si>
  <si>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</si>
  <si>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</si>
  <si>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</si>
  <si>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</si>
  <si>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BC and DR</t>
  </si>
  <si>
    <t>Identity and Access Management</t>
  </si>
  <si>
    <t>Governance and Security</t>
  </si>
  <si>
    <t>Cost Governance</t>
  </si>
  <si>
    <t>Graph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</si>
</sst>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left"/>
    </xf>
    <xf numFmtId="0" fontId="18" fillId="8" borderId="3" xfId="0" applyFont="1" applyFill="1" applyBorder="1" applyAlignment="1">
      <alignment horizontal="right" vertical="center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914400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55"/>
  <sheetViews>
    <sheetView topLeftCell="A33" zoomScale="80" zoomScaleNormal="80" workbookViewId="0">
      <selection activeCell="B50" sqref="B50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1" t="s">
        <v>23</v>
      </c>
      <c r="E1" s="21" t="s">
        <v>24</v>
      </c>
    </row>
    <row r="2" spans="1:13" ht="31.5">
      <c r="A2" s="14" t="s">
        <v>14</v>
      </c>
      <c r="D2" s="20">
        <f>IF($R$29=0,0,1-$O$29/$R$29)</f>
        <v>0</v>
      </c>
      <c r="E2" s="20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Not required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>
        <f>SUM(B6:E6)</f>
        <v>0</v>
      </c>
      <c r="H6" s="13" t="str">
        <f>IF(Values!$C2="","",Values!$C2)</f>
        <v>Identity and Access Management</v>
      </c>
      <c r="I6" cm="1">
        <f t="array" ref="I6">IF($H6="","",SUMPRODUCT(--(Checklist!$A$10:$A$487=$H6)*--(Checklist!$F$10:$F$487=I$5)))</f>
        <v>0</v>
      </c>
      <c r="J6" cm="1">
        <f t="array" ref="J6">IF($H6="","",SUMPRODUCT(--(Checklist!$A$10:$A$487=$H6)*--(Checklist!$F$10:$F$487=J$5)))</f>
        <v>0</v>
      </c>
      <c r="K6" cm="1">
        <f t="array" ref="K6">IF($H6="","",SUMPRODUCT(--(Checklist!$A$10:$A$487=$H6)*--(Checklist!$F$10:$F$487=K$5)))</f>
        <v>0</v>
      </c>
      <c r="L6" cm="1">
        <f t="array" ref="L6">IF($H6="","",SUMPRODUCT(--(Checklist!$A$10:$A$487=$H6)*--(Checklist!$F$10:$F$487=L$5)))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>
        <f>SUM(B7:E7)</f>
        <v>0</v>
      </c>
      <c r="H7" s="13" t="str">
        <f>IF(Values!$C3="","",Values!$C3)</f>
        <v>Network Topology and Connectivity</v>
      </c>
      <c r="I7" cm="1">
        <f t="array" ref="I7">IF($H7="","",SUMPRODUCT(--(Checklist!$A$10:$A$487=$H7)*--(Checklist!$F$10:$F$487=I$5)))</f>
        <v>0</v>
      </c>
      <c r="J7" cm="1">
        <f t="array" ref="J7">IF($H7="","",SUMPRODUCT(--(Checklist!$A$10:$A$487=$H7)*--(Checklist!$F$10:$F$487=J$5)))</f>
        <v>0</v>
      </c>
      <c r="K7" cm="1">
        <f t="array" ref="K7">IF($H7="","",SUMPRODUCT(--(Checklist!$A$10:$A$487=$H7)*--(Checklist!$F$10:$F$487=K$5)))</f>
        <v>0</v>
      </c>
      <c r="L7" cm="1">
        <f t="array" ref="L7">IF($H7="","",SUMPRODUCT(--(Checklist!$A$10:$A$487=$H7)*--(Checklist!$F$10:$F$487=L$5)))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>
        <f>SUM(B8:E8)</f>
        <v>0</v>
      </c>
      <c r="H8" s="13" t="str">
        <f>IF(Values!$C4="","",Values!$C4)</f>
        <v>BC and DR</v>
      </c>
      <c r="I8" cm="1">
        <f t="array" ref="I8">IF($H8="","",SUMPRODUCT(--(Checklist!$A$10:$A$487=$H8)*--(Checklist!$F$10:$F$487=I$5)))</f>
        <v>0</v>
      </c>
      <c r="J8" cm="1">
        <f t="array" ref="J8">IF($H8="","",SUMPRODUCT(--(Checklist!$A$10:$A$487=$H8)*--(Checklist!$F$10:$F$487=J$5)))</f>
        <v>0</v>
      </c>
      <c r="K8" cm="1">
        <f t="array" ref="K8">IF($H8="","",SUMPRODUCT(--(Checklist!$A$10:$A$487=$H8)*--(Checklist!$F$10:$F$487=K$5)))</f>
        <v>0</v>
      </c>
      <c r="L8" cm="1">
        <f t="array" ref="L8">IF($H8="","",SUMPRODUCT(--(Checklist!$A$10:$A$487=$H8)*--(Checklist!$F$10:$F$487=L$5)))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Governance and Security</v>
      </c>
      <c r="I9" cm="1">
        <f t="array" ref="I9">IF($H9="","",SUMPRODUCT(--(Checklist!$A$10:$A$487=$H9)*--(Checklist!$F$10:$F$487=I$5)))</f>
        <v>0</v>
      </c>
      <c r="J9" cm="1">
        <f t="array" ref="J9">IF($H9="","",SUMPRODUCT(--(Checklist!$A$10:$A$487=$H9)*--(Checklist!$F$10:$F$487=J$5)))</f>
        <v>0</v>
      </c>
      <c r="K9" cm="1">
        <f t="array" ref="K9">IF($H9="","",SUMPRODUCT(--(Checklist!$A$10:$A$487=$H9)*--(Checklist!$F$10:$F$487=K$5)))</f>
        <v>0</v>
      </c>
      <c r="L9" cm="1">
        <f t="array" ref="L9">IF($H9="","",SUMPRODUCT(--(Checklist!$A$10:$A$487=$H9)*--(Checklist!$F$10:$F$487=L$5)))</f>
        <v>0</v>
      </c>
      <c r="M9">
        <f t="shared" si="0"/>
        <v>0</v>
      </c>
    </row>
    <row r="10" spans="1:13">
      <c r="H10" s="13" t="str">
        <f>IF(Values!$C6="","",Values!$C6)</f>
        <v>Cost Governance</v>
      </c>
      <c r="I10" cm="1">
        <f t="array" ref="I10">IF($H10="","",SUMPRODUCT(--(Checklist!$A$10:$A$487=$H10)*--(Checklist!$F$10:$F$487=I$5)))</f>
        <v>0</v>
      </c>
      <c r="J10" cm="1">
        <f t="array" ref="J10">IF($H10="","",SUMPRODUCT(--(Checklist!$A$10:$A$487=$H10)*--(Checklist!$F$10:$F$487=J$5)))</f>
        <v>0</v>
      </c>
      <c r="K10" cm="1">
        <f t="array" ref="K10">IF($H10="","",SUMPRODUCT(--(Checklist!$A$10:$A$487=$H10)*--(Checklist!$F$10:$F$487=K$5)))</f>
        <v>0</v>
      </c>
      <c r="L10" cm="1">
        <f t="array" ref="L10">IF($H10="","",SUMPRODUCT(--(Checklist!$A$10:$A$487=$H10)*--(Checklist!$F$10:$F$487=L$5)))</f>
        <v>0</v>
      </c>
      <c r="M10">
        <f t="shared" si="0"/>
        <v>0</v>
      </c>
    </row>
    <row r="11" spans="1:13">
      <c r="H11" s="13" t="str">
        <f>IF(Values!$C7="","",Values!$C7)</f>
        <v>Operations</v>
      </c>
      <c r="I11" cm="1">
        <f t="array" ref="I11">IF($H11="","",SUMPRODUCT(--(Checklist!$A$10:$A$487=$H11)*--(Checklist!$F$10:$F$487=I$5)))</f>
        <v>0</v>
      </c>
      <c r="J11" cm="1">
        <f t="array" ref="J11">IF($H11="","",SUMPRODUCT(--(Checklist!$A$10:$A$487=$H11)*--(Checklist!$F$10:$F$487=J$5)))</f>
        <v>0</v>
      </c>
      <c r="K11" cm="1">
        <f t="array" ref="K11">IF($H11="","",SUMPRODUCT(--(Checklist!$A$10:$A$487=$H11)*--(Checklist!$F$10:$F$487=K$5)))</f>
        <v>0</v>
      </c>
      <c r="L11" cm="1">
        <f t="array" ref="L11">IF($H11="","",SUMPRODUCT(--(Checklist!$A$10:$A$487=$H11)*--(Checklist!$F$10:$F$487=L$5)))</f>
        <v>0</v>
      </c>
      <c r="M11">
        <f t="shared" si="0"/>
        <v>0</v>
      </c>
    </row>
    <row r="12" spans="1:13">
      <c r="H12" s="13" t="str">
        <f>IF(Values!$C8="","",Values!$C8)</f>
        <v>Application Deployment</v>
      </c>
      <c r="I12" cm="1">
        <f t="array" ref="I12">IF($H12="","",SUMPRODUCT(--(Checklist!$A$10:$A$487=$H12)*--(Checklist!$F$10:$F$487=I$5)))</f>
        <v>0</v>
      </c>
      <c r="J12" cm="1">
        <f t="array" ref="J12">IF($H12="","",SUMPRODUCT(--(Checklist!$A$10:$A$487=$H12)*--(Checklist!$F$10:$F$487=J$5)))</f>
        <v>0</v>
      </c>
      <c r="K12" cm="1">
        <f t="array" ref="K12">IF($H12="","",SUMPRODUCT(--(Checklist!$A$10:$A$487=$H12)*--(Checklist!$F$10:$F$487=K$5)))</f>
        <v>0</v>
      </c>
      <c r="L12" cm="1">
        <f t="array" ref="L12">IF($H12="","",SUMPRODUCT(--(Checklist!$A$10:$A$487=$H12)*--(Checklist!$F$10:$F$487=L$5)))</f>
        <v>0</v>
      </c>
      <c r="M12">
        <f t="shared" si="0"/>
        <v>0</v>
      </c>
    </row>
    <row r="13" spans="1:13">
      <c r="H13" s="13" t="str">
        <f>IF(Values!$C9="","",Values!$C9)</f>
        <v/>
      </c>
      <c r="I13" t="str" cm="1">
        <f t="array" ref="I13">IF($H13="","",SUMPRODUCT(--(Checklist!$A$10:$A$487=$H13)*--(Checklist!$F$10:$F$487=I$5)))</f>
        <v/>
      </c>
      <c r="J13" t="str" cm="1">
        <f t="array" ref="J13">IF($H13="","",SUMPRODUCT(--(Checklist!$A$10:$A$487=$H13)*--(Checklist!$F$10:$F$487=J$5)))</f>
        <v/>
      </c>
      <c r="K13" t="str" cm="1">
        <f t="array" ref="K13">IF($H13="","",SUMPRODUCT(--(Checklist!$A$10:$A$487=$H13)*--(Checklist!$F$10:$F$487=K$5)))</f>
        <v/>
      </c>
      <c r="L13" t="str" cm="1">
        <f t="array" ref="L13">IF($H13="","",SUMPRODUCT(--(Checklist!$A$10:$A$487=$H13)*--(Checklist!$F$10:$F$487=L$5)))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 and Access Management</v>
      </c>
      <c r="O21" cm="1">
        <f t="array" ref="O21">IF($N21="","",SUMPRODUCT(--(Checklist!$A$10:$A$487=$N21)*--(Checklist!$F$10:$F$487=O$20)))</f>
        <v>0</v>
      </c>
      <c r="P21" cm="1">
        <f t="array" ref="P21">IF($N21="","",SUMPRODUCT(--(Checklist!$A$10:$A$487=$N21)*--(Checklist!$F$10:$F$487=P$20)))</f>
        <v>0</v>
      </c>
      <c r="Q21" cm="1">
        <f t="array" ref="Q21">IF($N21="","",SUMPRODUCT(--(Checklist!$A$10:$A$487=$N21)*(--(Checklist!$F$10:$F$487=Values!$B$4)+--(Checklist!$F$10:$F$487=Values!$B$5))))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 Topology and Connectivity</v>
      </c>
      <c r="O22" cm="1">
        <f t="array" ref="O22">IF($N22="","",SUMPRODUCT(--(Checklist!$A$10:$A$487=$N22)*--(Checklist!$F$10:$F$487=O$20)))</f>
        <v>0</v>
      </c>
      <c r="P22" cm="1">
        <f t="array" ref="P22">IF($N22="","",SUMPRODUCT(--(Checklist!$A$10:$A$487=$N22)*--(Checklist!$F$10:$F$487=P$20)))</f>
        <v>0</v>
      </c>
      <c r="Q22" cm="1">
        <f t="array" ref="Q22">IF($N22="","",SUMPRODUCT(--(Checklist!$A$10:$A$487=$N22)*(--(Checklist!$F$10:$F$487=Values!$B$4)+--(Checklist!$F$10:$F$487=Values!$B$5))))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BC and DR</v>
      </c>
      <c r="O23" cm="1">
        <f t="array" ref="O23">IF($N23="","",SUMPRODUCT(--(Checklist!$A$10:$A$487=$N23)*--(Checklist!$F$10:$F$487=O$20)))</f>
        <v>0</v>
      </c>
      <c r="P23" cm="1">
        <f t="array" ref="P23">IF($N23="","",SUMPRODUCT(--(Checklist!$A$10:$A$487=$N23)*--(Checklist!$F$10:$F$487=P$20)))</f>
        <v>0</v>
      </c>
      <c r="Q23" cm="1">
        <f t="array" ref="Q23">IF($N23="","",SUMPRODUCT(--(Checklist!$A$10:$A$487=$N23)*(--(Checklist!$F$10:$F$487=Values!$B$4)+--(Checklist!$F$10:$F$487=Values!$B$5))))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Governance and Security</v>
      </c>
      <c r="O24" cm="1">
        <f t="array" ref="O24">IF($N24="","",SUMPRODUCT(--(Checklist!$A$10:$A$487=$N24)*--(Checklist!$F$10:$F$487=O$20)))</f>
        <v>0</v>
      </c>
      <c r="P24" cm="1">
        <f t="array" ref="P24">IF($N24="","",SUMPRODUCT(--(Checklist!$A$10:$A$487=$N24)*--(Checklist!$F$10:$F$487=P$20)))</f>
        <v>0</v>
      </c>
      <c r="Q24" cm="1">
        <f t="array" ref="Q24">IF($N24="","",SUMPRODUCT(--(Checklist!$A$10:$A$487=$N24)*(--(Checklist!$F$10:$F$487=Values!$B$4)+--(Checklist!$F$10:$F$487=Values!$B$5))))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Cost Governance</v>
      </c>
      <c r="O25" cm="1">
        <f t="array" ref="O25">IF($N25="","",SUMPRODUCT(--(Checklist!$A$10:$A$487=$N25)*--(Checklist!$F$10:$F$487=O$20)))</f>
        <v>0</v>
      </c>
      <c r="P25" cm="1">
        <f t="array" ref="P25">IF($N25="","",SUMPRODUCT(--(Checklist!$A$10:$A$487=$N25)*--(Checklist!$F$10:$F$487=P$20)))</f>
        <v>0</v>
      </c>
      <c r="Q25" cm="1">
        <f t="array" ref="Q25">IF($N25="","",SUMPRODUCT(--(Checklist!$A$10:$A$487=$N25)*(--(Checklist!$F$10:$F$487=Values!$B$4)+--(Checklist!$F$10:$F$487=Values!$B$5))))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Operations</v>
      </c>
      <c r="O26" cm="1">
        <f t="array" ref="O26">IF($N26="","",SUMPRODUCT(--(Checklist!$A$10:$A$487=$N26)*--(Checklist!$F$10:$F$487=O$20)))</f>
        <v>0</v>
      </c>
      <c r="P26" cm="1">
        <f t="array" ref="P26">IF($N26="","",SUMPRODUCT(--(Checklist!$A$10:$A$487=$N26)*--(Checklist!$F$10:$F$487=P$20)))</f>
        <v>0</v>
      </c>
      <c r="Q26" cm="1">
        <f t="array" ref="Q26">IF($N26="","",SUMPRODUCT(--(Checklist!$A$10:$A$487=$N26)*(--(Checklist!$F$10:$F$487=Values!$B$4)+--(Checklist!$F$10:$F$487=Values!$B$5))))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>Application Deployment</v>
      </c>
      <c r="O27" cm="1">
        <f t="array" ref="O27">IF($N27="","",SUMPRODUCT(--(Checklist!$A$10:$A$487=$N27)*--(Checklist!$F$10:$F$487=O$20)))</f>
        <v>0</v>
      </c>
      <c r="P27" cm="1">
        <f t="array" ref="P27">IF($N27="","",SUMPRODUCT(--(Checklist!$A$10:$A$487=$N27)*--(Checklist!$F$10:$F$487=P$20)))</f>
        <v>0</v>
      </c>
      <c r="Q27" cm="1">
        <f t="array" ref="Q27">IF($N27="","",SUMPRODUCT(--(Checklist!$A$10:$A$487=$N27)*(--(Checklist!$F$10:$F$487=Values!$B$4)+--(Checklist!$F$10:$F$487=Values!$B$5))))</f>
        <v>0</v>
      </c>
      <c r="R27">
        <f t="shared" si="1"/>
        <v>0</v>
      </c>
      <c r="S27" s="15" t="e">
        <f t="shared" si="2"/>
        <v>#DIV/0!</v>
      </c>
    </row>
    <row r="28" spans="14:19">
      <c r="N28" s="13" t="str">
        <f>IF(Values!$C9="","",Values!$C9)</f>
        <v/>
      </c>
      <c r="O28" t="str" cm="1">
        <f t="array" ref="O28">IF($N28="","",SUMPRODUCT(--(Checklist!$A$10:$A$487=$N28)*--(Checklist!$F$10:$F$487=O$20)))</f>
        <v/>
      </c>
      <c r="P28" t="str" cm="1">
        <f t="array" ref="P28">IF($N28="","",SUMPRODUCT(--(Checklist!$A$10:$A$487=$N28)*--(Checklist!$F$10:$F$487=P$20)))</f>
        <v/>
      </c>
      <c r="Q28" t="str" cm="1">
        <f t="array" ref="Q28">IF($N28="","",SUMPRODUCT(--(Checklist!$A$10:$A$487=$N28)*(--(Checklist!$F$10:$F$487=Values!$B$4)+--(Checklist!$F$10:$F$487=Values!$B$5))))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  <row r="49" spans="1:5">
      <c r="A49" s="13" t="s">
        <v>76</v>
      </c>
    </row>
    <row r="50" spans="1:5">
      <c r="B50" t="s">
        <v>73</v>
      </c>
      <c r="C50" t="s">
        <v>74</v>
      </c>
      <c r="D50" s="38" t="s">
        <v>75</v>
      </c>
      <c r="E50" t="s">
        <v>17</v>
      </c>
    </row>
    <row r="51" spans="1:5">
      <c r="A51" t="s">
        <v>66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</row>
    <row r="52" spans="1:5">
      <c r="A52" t="s">
        <v>69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3">IF((C52-B52)=0,1,(D52-B52)/(C52-B52))</f>
        <v>1</v>
      </c>
    </row>
    <row r="53" spans="1:5">
      <c r="A53" t="s">
        <v>71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3"/>
        <v>1</v>
      </c>
    </row>
    <row r="54" spans="1:5">
      <c r="A54" t="s">
        <v>67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3"/>
        <v>1</v>
      </c>
    </row>
    <row r="55" spans="1:5">
      <c r="A55" t="s">
        <v>70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3"/>
        <v>1</v>
      </c>
    </row>
  </sheetData>
  <dataConsolidate/>
  <conditionalFormatting sqref="E51:E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60" zoomScaleNormal="60" workbookViewId="0">
      <selection activeCell="A10" sqref="A10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9" style="2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0"/>
      <c r="B2" s="40"/>
      <c r="C2" s="12" t="s">
        <v>12</v>
      </c>
      <c r="D2" s="23"/>
      <c r="E2" s="41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">
        <v>72</v>
      </c>
      <c r="F7" s="32" t="str">
        <f>Values!H6</f>
        <v>Not required</v>
      </c>
      <c r="G7" s="3"/>
      <c r="H7" s="3"/>
    </row>
    <row r="8" spans="1:16">
      <c r="A8" s="3"/>
      <c r="B8" s="3"/>
      <c r="C8" s="7"/>
      <c r="D8" s="7"/>
      <c r="E8" s="2" t="s">
        <v>11</v>
      </c>
      <c r="F8" s="32" t="str">
        <f>Values!H5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81</v>
      </c>
      <c r="K9" s="19" t="s">
        <v>21</v>
      </c>
      <c r="L9" s="36" t="s">
        <v>66</v>
      </c>
      <c r="M9" s="36" t="s">
        <v>64</v>
      </c>
      <c r="N9" s="36" t="s">
        <v>65</v>
      </c>
      <c r="O9" s="36" t="s">
        <v>67</v>
      </c>
      <c r="P9" s="36" t="s">
        <v>68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best-practices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C13" sqref="C13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51</v>
      </c>
      <c r="K1" s="13" t="s">
        <v>57</v>
      </c>
    </row>
    <row r="2" spans="1:11">
      <c r="A2" t="s">
        <v>5</v>
      </c>
      <c r="B2" s="11" t="s">
        <v>6</v>
      </c>
      <c r="C2" t="s">
        <v>78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52</v>
      </c>
      <c r="K2" s="17" t="s">
        <v>58</v>
      </c>
    </row>
    <row r="3" spans="1:11">
      <c r="A3" t="s">
        <v>8</v>
      </c>
      <c r="B3" s="8" t="s">
        <v>9</v>
      </c>
      <c r="C3" t="s">
        <v>47</v>
      </c>
      <c r="F3" t="s">
        <v>31</v>
      </c>
      <c r="G3" t="s">
        <v>35</v>
      </c>
      <c r="H3" t="s">
        <v>44</v>
      </c>
      <c r="J3" t="s">
        <v>53</v>
      </c>
      <c r="K3" t="s">
        <v>59</v>
      </c>
    </row>
    <row r="4" spans="1:11">
      <c r="A4" t="s">
        <v>7</v>
      </c>
      <c r="B4" s="9" t="s">
        <v>10</v>
      </c>
      <c r="C4" t="s">
        <v>77</v>
      </c>
      <c r="F4" t="s">
        <v>32</v>
      </c>
      <c r="G4" t="s">
        <v>36</v>
      </c>
      <c r="H4" t="s">
        <v>46</v>
      </c>
      <c r="J4" t="s">
        <v>54</v>
      </c>
      <c r="K4" t="s">
        <v>60</v>
      </c>
    </row>
    <row r="5" spans="1:11">
      <c r="B5" s="9" t="s">
        <v>72</v>
      </c>
      <c r="C5" t="s">
        <v>79</v>
      </c>
      <c r="F5" t="s">
        <v>40</v>
      </c>
      <c r="G5" t="s">
        <v>37</v>
      </c>
      <c r="H5" t="s">
        <v>45</v>
      </c>
      <c r="J5" t="s">
        <v>55</v>
      </c>
      <c r="K5" t="s">
        <v>61</v>
      </c>
    </row>
    <row r="6" spans="1:11">
      <c r="B6" s="10" t="s">
        <v>11</v>
      </c>
      <c r="C6" t="s">
        <v>80</v>
      </c>
      <c r="F6" t="s">
        <v>33</v>
      </c>
      <c r="G6" t="s">
        <v>38</v>
      </c>
      <c r="H6" t="s">
        <v>72</v>
      </c>
      <c r="J6" t="s">
        <v>56</v>
      </c>
      <c r="K6" t="s">
        <v>62</v>
      </c>
    </row>
    <row r="7" spans="1:11">
      <c r="C7" t="s">
        <v>48</v>
      </c>
      <c r="F7" t="s">
        <v>50</v>
      </c>
      <c r="J7" t="s">
        <v>63</v>
      </c>
    </row>
    <row r="8" spans="1:11">
      <c r="C8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2022-03-18T07:07:49Z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