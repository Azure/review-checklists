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dolgin\repos\sdolgin\review-checklists\spreadsheet\"/>
    </mc:Choice>
  </mc:AlternateContent>
  <xr:revisionPtr revIDLastSave="0" documentId="13_ncr:1_{43868D43-3E23-4420-8B64-036B9A3F402D}" xr6:coauthVersionLast="47" xr6:coauthVersionMax="47" xr10:uidLastSave="{00000000-0000-0000-0000-000000000000}"/>
  <bookViews>
    <workbookView xWindow="38280" yWindow="-120" windowWidth="38640" windowHeight="21120" tabRatio="312" xr2:uid="{7C48A3BA-F709-465A-898F-4602D688CCF0}"/>
  </bookViews>
  <sheets>
    <sheet name="Checklist" sheetId="5" r:id="rId1"/>
    <sheet name="Dashboard" sheetId="7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0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P26" i="7"/>
  <c r="P27" i="7"/>
  <c r="P28" i="7"/>
  <c r="I11" i="7"/>
  <c r="I12" i="7"/>
  <c r="I1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K52" i="7" l="1" a="1"/>
  <c r="K52" i="7" s="1"/>
  <c r="I52" i="7" a="1"/>
  <c r="I52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M53" i="7" a="1"/>
  <c r="M53" i="7" s="1"/>
  <c r="J53" i="7" a="1"/>
  <c r="J53" i="7" s="1"/>
  <c r="M52" i="7" a="1"/>
  <c r="M52" i="7" s="1"/>
  <c r="J52" i="7" a="1"/>
  <c r="J52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L53" i="7" a="1"/>
  <c r="L53" i="7" s="1"/>
  <c r="K53" i="7" a="1"/>
  <c r="K53" i="7" s="1"/>
  <c r="I53" i="7" a="1"/>
  <c r="I53" i="7" s="1"/>
  <c r="L52" i="7" a="1"/>
  <c r="L52" i="7" s="1"/>
  <c r="Q2" i="6"/>
  <c r="F2" i="6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H123" i="7" l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86" i="7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<sst xmlns="http://schemas.openxmlformats.org/spreadsheetml/2006/main" count="369" uniqueCount="221">
  <si>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</si>
  <si>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</si>
  <si>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</si>
  <si>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</si>
  <si>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</si>
  <si>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</si>
  <si>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</si>
  <si>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</si>
  <si>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</si>
  <si>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</si>
  <si>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</si>
  <si>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</si>
  <si>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</si>
  <si>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</si>
  <si>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</si>
  <si>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</si>
  <si>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</si>
  <si>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</si>
  <si>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</si>
  <si>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</si>
  <si>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</si>
  <si>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</si>
  <si>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</si>
  <si>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</si>
  <si>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</si>
  <si>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</si>
  <si>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</si>
  <si>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</si>
  <si>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</si>
  <si>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</si>
  <si>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</si>
  <si>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</si>
  <si>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</si>
  <si>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</si>
  <si>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</si>
  <si>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</si>
  <si>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</si>
  <si>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</si>
  <si>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</si>
  <si>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</si>
  <si>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</si>
  <si>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</si>
  <si>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</si>
  <si>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</si>
  <si>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</si>
  <si>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</si>
  <si>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</si>
  <si>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</si>
  <si>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</si>
  <si>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</si>
  <si>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</si>
  <si>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</si>
  <si>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</si>
  <si>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</si>
  <si>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</si>
  <si>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</si>
  <si>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</si>
  <si>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</si>
  <si>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</si>
  <si>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</si>
  <si>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</si>
  <si>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</si>
  <si>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</si>
  <si>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</si>
  <si>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</si>
  <si>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</si>
  <si>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</si>
  <si>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</si>
  <si>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</si>
  <si>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</si>
  <si>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</si>
  <si>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</si>
  <si>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</si>
  <si>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</si>
  <si>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</si>
  <si>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</si>
  <si>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</si>
  <si>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</si>
  <si>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</si>
  <si>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</si>
  <si>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</si>
  <si>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</si>
  <si>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</si>
  <si>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</si>
  <si>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</si>
  <si>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</si>
  <si>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</si>
  <si>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</si>
  <si>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</si>
  <si>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</si>
  <si>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</si>
  <si>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</si>
  <si>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</si>
  <si>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</si>
  <si>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</si>
  <si>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</si>
  <si>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</si>
  <si>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</si>
  <si>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</si>
  <si>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</si>
  <si>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</si>
  <si>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</si>
  <si>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</si>
  <si>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</si>
  <si>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</si>
  <si>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</si>
  <si>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</si>
  <si>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</si>
  <si>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</si>
  <si>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</si>
  <si>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</si>
  <si>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</si>
  <si>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</si>
  <si>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</si>
  <si>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</si>
  <si>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</si>
  <si>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</si>
  <si>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</si>
  <si>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</si>
  <si>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</si>
  <si>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</si>
  <si>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</si>
  <si>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</si>
  <si>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</si>
  <si>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</si>
  <si>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</si>
  <si>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</si>
  <si>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</si>
  <si>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</si>
  <si>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</si>
  <si>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</si>
  <si>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</si>
  <si>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</si>
  <si>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</si>
  <si>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</si>
  <si>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</si>
  <si>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</si>
  <si>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</si>
  <si>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</si>
  <si>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</si>
  <si>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</si>
  <si>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</si>
  <si>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</si>
  <si>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</si>
  <si>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</si>
  <si>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</si>
  <si>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</si>
  <si>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</si>
  <si>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</si>
  <si>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</si>
  <si>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</si>
  <si>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</si>
  <si>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</si>
  <si>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</si>
  <si>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</si>
  <si>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</si>
  <si>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</si>
  <si>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</si>
  <si>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</si>
  <si>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</si>
  <si>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</si>
  <si>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</si>
  <si>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</si>
  <si>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</si>
  <si>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</si>
  <si>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</si>
  <si>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</si>
  <si>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</si>
  <si>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</si>
  <si>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</si>
  <si>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</si>
  <si>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</si>
  <si>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</si>
  <si>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</si>
  <si>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</si>
  <si>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</si>
  <si>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</si>
  <si>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</si>
  <si>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</si>
  <si>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</si>
  <si>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</si>
  <si>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</si>
  <si>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</si>
  <si>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</si>
  <si>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</si>
  <si>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</si>
  <si>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</si>
  <si>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</si>
  <si>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</si>
  <si>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</si>
  <si>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</si>
  <si>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</si>
  <si>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</si>
  <si>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</si>
  <si>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</si>
  <si>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</si>
  <si>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</si>
  <si>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</si>
  <si>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</si>
  <si>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</si>
  <si>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</si>
  <si>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</si>
  <si>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</si>
  <si>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</si>
  <si>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</si>
  <si>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</si>
  <si>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</si>
  <si>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</si>
  <si>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</si>
  <si>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</si>
  <si>
    <t>Azure Landing Zone</t>
  </si>
  <si>
    <t>AI Landing Zone</t>
  </si>
  <si>
    <t>ai_lz</t>
  </si>
  <si>
    <t>Identity and Access Management</t>
  </si>
  <si>
    <t>Network Topology and Connectivity</t>
  </si>
  <si>
    <t>Application Deployment</t>
  </si>
  <si>
    <t>BC and DR</t>
  </si>
  <si>
    <t>Cost Governance</t>
  </si>
  <si>
    <t>Governance and Security</t>
  </si>
  <si>
    <t>GA</t>
  </si>
  <si>
    <t>v1.5.3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</si>
</sst>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4638675</xdr:colOff>
          <xdr:row>1</xdr:row>
          <xdr:rowOff>619125</xdr:rowOff>
        </xdr:from>
        <xdr:to>
          <xdr:col>12</xdr:col>
          <xdr:colOff>257175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4638675</xdr:colOff>
          <xdr:row>1</xdr:row>
          <xdr:rowOff>314325</xdr:rowOff>
        </xdr:from>
        <xdr:to>
          <xdr:col>12</xdr:col>
          <xdr:colOff>257175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123825</xdr:rowOff>
        </xdr:from>
        <xdr:to>
          <xdr:col>14</xdr:col>
          <xdr:colOff>971550</xdr:colOff>
          <xdr:row>6</xdr:row>
          <xdr:rowOff>85725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4638675</xdr:colOff>
          <xdr:row>3</xdr:row>
          <xdr:rowOff>0</xdr:rowOff>
        </xdr:from>
        <xdr:to>
          <xdr:col>12</xdr:col>
          <xdr:colOff>257175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</xdr:row>
          <xdr:rowOff>323850</xdr:rowOff>
        </xdr:from>
        <xdr:to>
          <xdr:col>14</xdr:col>
          <xdr:colOff>752475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</xdr:row>
          <xdr:rowOff>609600</xdr:rowOff>
        </xdr:from>
        <xdr:to>
          <xdr:col>14</xdr:col>
          <xdr:colOff>752475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vent-hubs/authenticate-managed-identity?tabs=latest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pi-management/policy-fragment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virtual-machines/managed-disks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overview-patch-os-runtime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storage/blobs/soft-delete-container-overview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web-application-firewall/afds/waf-front-door-policy-settings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ervice-bus-messaging/service-bus-ip-filtering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vent-hubs/private-link-service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storage/common/lock-account-resource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web-application-firewall/afds/waf-front-door-best-practice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pp-service/overview-vnet-integration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rest/api/storageservices/authorize-with-shared-key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key-vault/general/best-practic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plication-gateway/application-gateway-autoscaling-zone-redundant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pi-management/front-door-api-management" TargetMode="External"/><Relationship Id="rId2616" Type="http://schemas.openxmlformats.org/officeDocument/2006/relationships/ctrlProp" Target="../ctrlProps/ctrlProp4.xm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learn/paths/implement-applications-external-access-azure-ad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learn/paths/secure-application-delivery/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pi-management/high-availability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azure-monitor/logs/design-logs-deployment" TargetMode="External"/><Relationship Id="rId2584" Type="http://schemas.openxmlformats.org/officeDocument/2006/relationships/hyperlink" Target="https://learn.microsoft.com/azure/azure-cache-for-redis/cache-how-to-zone-redundancy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app-service/configure-ssl-binding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rchitecture/framework/security/design-storage-key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spring-apps/how-to-setup-autoscale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ddos-protection/ddos-protection-overview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scenarios/app-platform/api-management/platform-automation-and-devop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virtual-machines/windows/scheduled-event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service-bus-messaging/service-bus-managed-service-identity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event-hubs/authorize-access-shared-access-signature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pi-management/api-management-error-handling-policies" TargetMode="External"/><Relationship Id="rId2590" Type="http://schemas.openxmlformats.org/officeDocument/2006/relationships/hyperlink" Target="https://learn.microsoft.com/azure/virtual-machines/disks-typ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security/fundamentals/pen-testing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storage/blobs/soft-delete-blob-overview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pp-proxy/application-proxy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pi-management/authorizations-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security-center/" TargetMode="External"/><Relationship Id="rId2583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app-service/configure-ssl-binding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data-integration/gateway/service-gateway-high-availability-cluster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pi-management/api-management-howto-deploy-multi-region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service-bus-messaging/private-link-service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event-hubs/monitor-event-hubs-referenc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spring-apps/how-to-configure-enterprise-spring-cloud-gateway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secure-networking-infrastructure/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pi-management/automation-manage-api-management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key-vault/general/best-practices" TargetMode="External"/><Relationship Id="rId2576" Type="http://schemas.openxmlformats.org/officeDocument/2006/relationships/hyperlink" Target="https://learn.microsoft.com/azure/web-application-firewall/afds/waf-front-door-best-practice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pp-service/troubleshoot-diagnostic-log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storage/common/authorize-data-acces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quotas/per-vm-quota-request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key-vault/general/overview-throttling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learn/paths/azure-administrator-manage-identities-governance/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secure-aad-users-with-mfa/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considerations/development-strategy-development-lifecycle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web-application-firewall/ag/ag-overview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api-management/api-management-howto-provision-self-hosted-gateway" TargetMode="External"/><Relationship Id="rId2614" Type="http://schemas.openxmlformats.org/officeDocument/2006/relationships/ctrlProp" Target="../ctrlProps/ctrlProp2.xm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learn/modules/configure-azure-ad-application-proxy/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nat-gateway/nat-overview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pp-service/overview-hosting-pla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storage/common/azure-defender-storage-configure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configure-azure-ad-application-proxy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pi-management/mitigate-owasp-api-threat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storage/common/storage-service-encryption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mem/configmgr/protect/deploy-use/endpoint-protection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web-application-firewall/afds/waf-front-door-best-practic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app-service/networking-feature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dns/tutorial-dns-private-resolver-failover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pi-management/upgrade-and-scale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learn/paths/manage-identity-and-access/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learn/modules/explore-basic-services-identity-types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spring-apps/diagnostic-service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g/ag-overview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key-vault/general/best-practice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web-application-firewall/afds/waf-front-door-best-practice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pp-service/configure-custom-container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storage/common/storage-sas-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virtual-machines/capacity-reservation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service-bus-messaging/service-bus-sa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vent-hubs/transport-layer-security-configure-minimum-version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storage/blobs/data-protection-overview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learn/paths/secure-application-delivery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pi-management/api-management-howto-autoscale" TargetMode="External"/><Relationship Id="rId2613" Type="http://schemas.openxmlformats.org/officeDocument/2006/relationships/ctrlProp" Target="../ctrlProps/ctrlProp1.xm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ctive-directory/app-proxy/application-proxy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rontdoor/best-practice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pp-service/configure-ssl-certificate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machines/migration-classic-resource-manager-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rest/api/storageservices/cross-origin-resource-sharing--cors--support-for-the-azure-storage-serv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www.microsoft.com/en-gb/security/business/solutions/cloud-workload-protection" TargetMode="External"/><Relationship Id="rId2581" Type="http://schemas.openxmlformats.org/officeDocument/2006/relationships/hyperlink" Target="https://learn.microsoft.com/azure/web-application-firewall/afds/waf-front-door-best-practic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pp-service/networking/app-gateway-with-service-endpoint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plication-gateway/overview-v2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backup/backup-azure-immutable-vault-concept?source=recommendations&amp;tabs=recovery-services-vaul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pi-management/api-management-howto-properties?tabs=azure-portal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service-bus-messaging/monitor-service-bus-reference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event-hubs/authorize-access-azure-active-directory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spring-apps/concept-understand-app-and-deployment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secure-application-delivery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key-vault/general/best-practices" TargetMode="External"/><Relationship Id="rId2574" Type="http://schemas.openxmlformats.org/officeDocument/2006/relationships/hyperlink" Target="https://learn.microsoft.com/azure/frontdoor/best-practices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pp-service/overview-managed-identity?tabs=portal%2Chttp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storage/blobs/storage-custom-domain-name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pi-management/api-management-howto-use-azure-monitor" TargetMode="External"/><Relationship Id="rId2596" Type="http://schemas.openxmlformats.org/officeDocument/2006/relationships/hyperlink" Target="https://learn.microsoft.com/azure/site-recovery/site-recovery-overview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learn/modules/secure-aad-users-with-mfa/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learn/modules/plan-implement-administer-conditional-access/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storage/common/storage-require-secure-transfer" TargetMode="External"/><Relationship Id="rId2478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training/modules/protect-apis-on-api-management/" TargetMode="External"/><Relationship Id="rId2612" Type="http://schemas.openxmlformats.org/officeDocument/2006/relationships/vmlDrawing" Target="../drawings/vmlDrawing1.vm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frontdoor/best-practic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pp-service/app-service-key-vault-reference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storage/common/storage-private-endpoin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backup/backup-azure-vms-introduction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pp-service/configure-custom-container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blobs/secure-file-transfer-protocol-known-issu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defender-for-cloud/plan-defender-for-servers-select-plan" TargetMode="External"/><Relationship Id="rId2580" Type="http://schemas.openxmlformats.org/officeDocument/2006/relationships/hyperlink" Target="https://learn.microsoft.com/azure/web-application-firewall/afds/waf-front-door-best-practic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pp-service/networking-feature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frontdoor/best-practice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backup/multi-user-authorization-concept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pi-management/backend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learn/modules/explore-basic-services-identity-types/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reliability/reliability-spring-app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reliability/migrate-app-gateway-v2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509" Type="http://schemas.openxmlformats.org/officeDocument/2006/relationships/hyperlink" Target="https://learn.microsoft.com/rest/api/storageservices/define-stored-access-policy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key-vault/general/monitor-key-vault" TargetMode="External"/><Relationship Id="rId2573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pp-service/deploy-configure-credential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storage/common/storage-require-secure-transfer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api-management/api-management-howto-app-insights" TargetMode="External"/><Relationship Id="rId2595" Type="http://schemas.openxmlformats.org/officeDocument/2006/relationships/hyperlink" Target="https://learn.microsoft.com/azure/virtual-machines/availability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service-bus-messaging/transport-layer-security-enforce-minimum-versi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vent-hubs/configure-customer-managed-key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frontdoor/best-practice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pi-management/api-management-sample-flexible-throttling" TargetMode="External"/><Relationship Id="rId2611" Type="http://schemas.openxmlformats.org/officeDocument/2006/relationships/drawing" Target="../drawings/drawing1.xm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storage/blobs/immutable-storage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key-vault/general/overview" TargetMode="External"/><Relationship Id="rId2566" Type="http://schemas.openxmlformats.org/officeDocument/2006/relationships/hyperlink" Target="https://learn.microsoft.com/azure/frontdoor/best-practice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pp-service/app-service-key-vault-reference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security/benchmark/azure/baselines/storage-security-baseline" TargetMode="External"/><Relationship Id="rId2588" Type="http://schemas.openxmlformats.org/officeDocument/2006/relationships/hyperlink" Target="https://learn.microsoft.com/azure/virtual-machine-scale-sets/virtual-machine-scale-sets-automatic-instance-repair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ddos-protection/ddos-protection-overview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storage/blobs/secure-file-transfer-protocol-support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defender-for-cloud/concept-cloud-security-posture-management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paths/implement-resource-mgmt-security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backup/backup-azure-enhanced-soft-delete-about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pi-management/api-management-howto-create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rvice-bus-messaging/authenticate-application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ctive-directory/app-proxy/application-proxy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pi-management/api-management-howto-mutual-certificate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architecture/web-apps/spring-apps/architectures/spring-apps-multi-region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secure-application-delivery/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storage/common/sas-expiration-policy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key-vault/general/best-practice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frontdoor/best-practice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pp-service/deploy-best-practice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pi-management/api-management-howto-use-azure-monitor" TargetMode="External"/><Relationship Id="rId2594" Type="http://schemas.openxmlformats.org/officeDocument/2006/relationships/hyperlink" Target="https://learn.microsoft.com/azure/virtual-machines/availability-set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learn/modules/plan-implement-administer-conditional-access/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storage/blobs/anonymous-read-access-configure?tabs=portal" TargetMode="External"/><Relationship Id="rId2619" Type="http://schemas.openxmlformats.org/officeDocument/2006/relationships/ctrlProp" Target="../ctrlProps/ctrlProp7.xm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frontdoor/best-practice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pi-management/api-management-howto-log-event-hub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printerSettings" Target="../printerSettings/printerSettings1.bin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storage/common/lock-account-resource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load-balancer/load-balancer-overview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frontdoor/best-practice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zure-cache-for-redis/cache-how-to-geo-replica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efender-for-cloud/defender-for-app-service-introduction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rest/api/storageservices/create-account-sa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active-directory/reports-monitoring/overview-report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github.com/Azure/AzureCAT-AVS/tree/main/networking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event-hubs/event-hubs-ip-filtering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storage/blobs/soft-delete-blob-enable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pi-management/api-management-howto-aad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learn/modules/azure-ad-privileged-identity-management/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paths/secure-networking-infrastructure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pi-management/api-management-howto-mutual-certificates-for-client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spring-apps/concepts-blue-green-deployment-strategi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storage/common/storage-account-keys-manage?tabs=azure-portal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key-vault/general/best-practice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pp-service/overview-authentication-authorization" TargetMode="External"/><Relationship Id="rId2529" Type="http://schemas.openxmlformats.org/officeDocument/2006/relationships/hyperlink" Target="https://learn.microsoft.com/learn/modules/azure-ad-privileged-identity-management/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pi-management/monetization-support" TargetMode="External"/><Relationship Id="rId2593" Type="http://schemas.openxmlformats.org/officeDocument/2006/relationships/hyperlink" Target="https://learn.microsoft.com/azure/reliability/availability-zones-overview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service-bus-messaging/configure-customer-managed-key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storage/blobs/encryption-customer-provided-key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ctrlProp" Target="../ctrlProps/ctrlProp6.xm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frontdoor/best-practice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standard-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torage/blobs/soft-delete-container-enable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virtual-machines/availability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en-us/azure/security/fundamentals/customer-lockbox-overview" TargetMode="External"/><Relationship Id="rId2586" Type="http://schemas.openxmlformats.org/officeDocument/2006/relationships/hyperlink" Target="https://learn.microsoft.com/azure/azure-cache-for-redis/cache-how-to-premium-persistence?tabs=premium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pp-service/configure-common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rest/api/storageservices/delegate-access-with-shared-access-signature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en-us/industry/sovereignty/key-management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learn/paths/implement-resource-mgmt-security/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azure-ad-privileged-identity-management/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torage/blobs/soft-delete-container-enable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web-application-firewall/ag/ag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pi-management/devops-api-development-template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frontdoor/best-practice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web-application-firewall/afds/waf-front-door-best-practice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pp-service/networking/nat-gateway-integration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storage/blobs/blob-storage-monitoring-scenario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key-vault/general/best-practices" TargetMode="External"/><Relationship Id="rId2570" Type="http://schemas.openxmlformats.org/officeDocument/2006/relationships/hyperlink" Target="https://learn.microsoft.com/azure/frontdoor/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pp-service/operating-system-functionality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ctrlProp" Target="../ctrlProps/ctrlProp5.xm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web-application-firewall/afds/waf-front-door-policy-setting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load-balancer/load-balancer-overview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en-us/azure/api-management/self-hosted-gateway-overview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en-us/industry/sovereignty/transparency-log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zure-cache-for-redis/cache-how-to-premium-persistence?tabs=premium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pp-service/app-service-web-tutorial-rest-api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rest/api/storageservices/delegate-access-with-shared-access-signature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spring-apps/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secure-networking-infrastructure/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pi-management/visual-studio-code-tutorial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nat-gateway/nat-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paths/azure-administrator-manage-identities-governance/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pi-management/set-edit-policies?tabs=form" TargetMode="External"/><Relationship Id="rId2591" Type="http://schemas.openxmlformats.org/officeDocument/2006/relationships/hyperlink" Target="https://learn.microsoft.com/azure/virtual-machines/managed-disks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rchitecture/solution-ideas/articles/devsecops-in-azur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storage/blobs/soft-delete-blob-enable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paths/implement-applications-external-access-azure-ad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pi-management/api-management-howto-manage-protocols-cipher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architecture/reference-architectures/dmz/nva-ha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pi-management/api-management-howto-deploy-multi-region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learn/modules/azure-ad-privileged-identity-management/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learn/paths/manage-identity-and-access/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torage/common/storage-redundancy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zure-resource-manager/management/azure-subscription-service-limit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web-application-firewall/afds/waf-front-door-best-practic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zure-monitor/essentials/activity-log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storage/common/storage-sas-overview?toc=%2Fazure%2Fstorage%2Fblobs%2Ftoc.json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key-vault/general/best-practic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secure-networking-infrastructure/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pi-management/retry-policy" TargetMode="External"/><Relationship Id="rId2615" Type="http://schemas.openxmlformats.org/officeDocument/2006/relationships/ctrlProp" Target="../ctrlProps/ctrlProp3.xm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ctive-directory/app-proxy/application-proxy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A10" sqref="A10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156</v>
      </c>
    </row>
    <row r="2" spans="1:21" ht="55.5" customHeight="1" thickBot="1">
      <c r="B2" s="51"/>
      <c r="C2" s="51"/>
      <c r="D2" s="23"/>
      <c r="E2" s="23"/>
      <c r="F2" s="42" t="s">
        <v>78</v>
      </c>
      <c r="G2" s="20"/>
      <c r="H2" s="35" t="s">
        <v>210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115</v>
      </c>
      <c r="G3" s="11"/>
      <c r="H3" s="24"/>
      <c r="I3" s="25"/>
      <c r="J3" s="26"/>
      <c r="K3" s="26"/>
      <c r="T3" s="40" t="s">
        <v>81</v>
      </c>
    </row>
    <row r="4" spans="1:21" ht="17.25" customHeight="1">
      <c r="B4" s="23"/>
      <c r="C4" s="23"/>
      <c r="D4" s="23"/>
      <c r="E4" s="23"/>
      <c r="F4" s="46" t="s">
        <v>85</v>
      </c>
      <c r="G4" s="50" t="s">
        <v>175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220</v>
      </c>
    </row>
    <row r="5" spans="1:21">
      <c r="B5" s="23"/>
      <c r="C5" s="23"/>
      <c r="D5" s="23"/>
      <c r="E5" s="23"/>
      <c r="G5" s="50" t="s">
        <v>169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/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152</v>
      </c>
    </row>
    <row r="7" spans="1:21">
      <c r="A7" s="43" t="s">
        <v>219</v>
      </c>
      <c r="B7" s="44" t="s">
        <v>117</v>
      </c>
      <c r="C7" s="43" t="s">
        <v>179</v>
      </c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116</v>
      </c>
      <c r="B8" s="45">
        <v>45342</v>
      </c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82</v>
      </c>
      <c r="B9" s="37" t="s">
        <v>80</v>
      </c>
      <c r="C9" s="37" t="s">
        <v>0</v>
      </c>
      <c r="D9" s="37" t="s">
        <v>71</v>
      </c>
      <c r="E9" s="37" t="s">
        <v>112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83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111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1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1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1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1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1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253" r:id="rId2357" tooltip="https://learn.microsoft.com/azure/virtual-machines/availability" display="More info" xr:uid="{8B71F848-1AE3-4BBA-823E-903CD163C2FE}"/>
    <hyperlink ref="L254" r:id="rId2358" tooltip="https://learn.microsoft.com/azure/load-balancer/load-balancer-overview" display="More info" xr:uid="{BFAA0EB0-D867-4811-83BE-F56421C84652}"/>
    <hyperlink ref="L255" r:id="rId2359" tooltip="https://learn.microsoft.com/azure/key-vault/general/overview" display="More info" xr:uid="{BE8C0A60-B986-4DA1-BB2B-3688B7AD67D8}"/>
    <hyperlink ref="L256" r:id="rId2360" tooltip="https://learn.microsoft.com/azure/key-vault/general/overview-throttling" display="More info" xr:uid="{34B2553C-CB28-4185-8BAC-F03D9063ED4C}"/>
    <hyperlink ref="L257" r:id="rId2361" tooltip="https://learn.microsoft.com/azure/key-vault/general/best-practices" display="More info" xr:uid="{BA9FBE78-B9A8-4408-A20A-2EA72B2D6D09}"/>
    <hyperlink ref="L258" r:id="rId2362" tooltip="https://learn.microsoft.com/azure/key-vault/general/best-practices" display="More info" xr:uid="{1BA1B551-7918-48F6-A26F-D87810B988BA}"/>
    <hyperlink ref="L259" r:id="rId2363" tooltip="https://learn.microsoft.com/azure/key-vault/general/best-practices" display="More info" xr:uid="{86ED2D07-DC8D-4B72-9371-EF35EBBC0DF4}"/>
    <hyperlink ref="L260" r:id="rId2364" tooltip="https://learn.microsoft.com/azure/key-vault/general/best-practices" display="More info" xr:uid="{D86EBB3C-8596-4957-B902-6E6D8902E555}"/>
    <hyperlink ref="L261" r:id="rId2365" tooltip="https://learn.microsoft.com/azure/key-vault/general/best-practices" display="More info" xr:uid="{C42C67CB-86BA-47ED-BB5F-43584F54604D}"/>
    <hyperlink ref="L262" r:id="rId2366" tooltip="https://learn.microsoft.com/azure/key-vault/general/monitor-key-vault" display="More info" xr:uid="{4D43A048-38AB-45AA-96DD-24ECCCAA6A74}"/>
    <hyperlink ref="L263" r:id="rId2367" tooltip="https://learn.microsoft.com/azure/key-vault/general/best-practices" display="More info" xr:uid="{45B0427C-FEDF-4F25-875F-7880FC16BAC8}"/>
    <hyperlink ref="L264" r:id="rId2368" tooltip="https://learn.microsoft.com/azure/key-vault/general/best-practices" display="More info" xr:uid="{88538FD2-016A-44B1-9F00-D437E125ACF7}"/>
    <hyperlink ref="L265" r:id="rId2369" tooltip="https://learn.microsoft.com/azure/key-vault/general/best-practices" display="More info" xr:uid="{670966DC-682A-4FD9-8F25-517229200567}"/>
    <hyperlink ref="L266" r:id="rId2370" tooltip="https://learn.microsoft.com/en-us/industry/sovereignty/key-management" display="More info" xr:uid="{4448E9F4-BF84-4DC4-8222-8FF9191E9CC2}"/>
    <hyperlink ref="L267" r:id="rId2371" tooltip="https://learn.microsoft.com/azure/active-directory/reports-monitoring/overview-reports" display="More info" xr:uid="{E551B6B5-418A-4B61-97A3-F071B01C0BEE}"/>
    <hyperlink ref="L268" r:id="rId2372" tooltip="https://learn.microsoft.com/azure/defender-for-cloud/concept-cloud-security-posture-management" display="More info" xr:uid="{DB1234DC-CA92-435E-8BA0-E5C29F56F990}"/>
    <hyperlink ref="L269" r:id="rId2373" tooltip="https://learn.microsoft.com/azure/defender-for-cloud/plan-defender-for-servers-select-plan" display="More info" xr:uid="{F8836F04-C0C9-4F39-B58B-78A7BBFCD2D9}"/>
    <hyperlink ref="L270" r:id="rId2374" tooltip="https://www.microsoft.com/en-gb/security/business/solutions/cloud-workload-protection" display="More info" xr:uid="{5AAAAC9A-2B84-4211-AFF6-263CD2078307}"/>
    <hyperlink ref="L271" r:id="rId2375" tooltip="https://learn.microsoft.com/mem/configmgr/protect/deploy-use/endpoint-protection" display="More info" xr:uid="{29FE3010-94CA-4987-B46C-D216B7BD9F51}"/>
    <hyperlink ref="L272" r:id="rId2376" tooltip="https://learn.microsoft.com/azure/security-center/" display="More info" xr:uid="{816388E7-09B5-4B9C-A6AF-CD1D74C26291}"/>
    <hyperlink ref="L273" r:id="rId2377" tooltip="https://learn.microsoft.com/azure/azure-monitor/logs/design-logs-deployment" display="More info" xr:uid="{38318DA5-241B-487B-9A34-66602814132B}"/>
    <hyperlink ref="L274" r:id="rId2378" tooltip="https://learn.microsoft.com/en-us/industry/sovereignty/transparency-logs" display="More info" xr:uid="{CDF39B77-CBC4-4F0B-BEF4-B708E056394A}"/>
    <hyperlink ref="L275" r:id="rId2379" tooltip="https://learn.microsoft.com/en-us/azure/security/fundamentals/customer-lockbox-overview" display="More info" xr:uid="{65473C0F-D0E7-465D-8057-D3EB6746C7C3}"/>
    <hyperlink ref="L276" r:id="rId2380" tooltip="https://learn.microsoft.com/azure/storage/common/storage-require-secure-transfer" display="More info" xr:uid="{0EB846DD-C774-43ED-8AAD-8A2BEEE949BB}"/>
    <hyperlink ref="L277" r:id="rId2381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382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383" tooltip="https://learn.microsoft.com/azure/api-management/api-management-error-handling-policies" display="More info" xr:uid="{C714CBF5-42DB-436D-BEED-FBF2A6297F29}"/>
    <hyperlink ref="L280" r:id="rId2384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385" tooltip="https://learn.microsoft.com/azure/api-management/policy-fragments" display="More info" xr:uid="{B40B5061-1E3A-40BC-809F-315877300EB7}"/>
    <hyperlink ref="L282" r:id="rId2386" tooltip="https://learn.microsoft.com/azure/api-management/monetization-support" display="More info" xr:uid="{DD210039-90D6-4524-BF21-8E201943F0CD}"/>
    <hyperlink ref="L283" r:id="rId2387" location="resource-logs" tooltip="https://learn.microsoft.com/azure/api-management/api-management-howto-use-azure-monitor#resource-logs" display="More info" xr:uid="{6EA36582-8719-4675-8138-95D6023CFB8A}"/>
    <hyperlink ref="L284" r:id="rId2388" tooltip="https://learn.microsoft.com/azure/api-management/api-management-howto-app-insights" display="More info" xr:uid="{F039F0E6-1C54-442B-AF4C-A798A0F04966}"/>
    <hyperlink ref="L285" r:id="rId2389" tooltip="https://learn.microsoft.com/azure/api-management/api-management-howto-use-azure-monitor" display="More info" xr:uid="{6C1EE5C6-9C46-4B6A-A37B-91C878344AD2}"/>
    <hyperlink ref="L286" r:id="rId2390" location="api-management-limits" tooltip="https://learn.microsoft.com/azure/azure-resource-manager/management/azure-subscription-service-limits#api-management-limits" display="More info" xr:uid="{54007F1C-B8D9-41EA-B0AC-2D873A3DCDDE}"/>
    <hyperlink ref="L287" r:id="rId2391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392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393" tooltip="https://learn.microsoft.com/azure/api-management/api-management-howto-aad" display="More info" xr:uid="{2E8710FA-22FD-434B-B47A-2280002C86D7}"/>
    <hyperlink ref="L290" r:id="rId2394" tooltip="https://learn.microsoft.com/azure/api-management/api-management-howto-create-groups" display="More info" xr:uid="{066851B0-D803-4378-8548-DA2B366A94B6}"/>
    <hyperlink ref="L291" r:id="rId2395" tooltip="https://learn.microsoft.com/azure/api-management/backends" display="More info" xr:uid="{2DFE4705-5D14-423F-AB63-9999D5026ACA}"/>
    <hyperlink ref="L292" r:id="rId2396" tooltip="https://learn.microsoft.com/azure/api-management/api-management-howto-properties?tabs=azure-portal" display="More info" xr:uid="{07D78B40-88B5-43E0-AA81-F01FF47181B0}"/>
    <hyperlink ref="L293" r:id="rId2397" location="upgrade-and-scale" tooltip="https://learn.microsoft.com/azure/api-management/upgrade-and-scale#upgrade-and-scale" display="More info" xr:uid="{74D68249-0090-4DC6-9182-B7258BFE8925}"/>
    <hyperlink ref="L294" r:id="rId2398" tooltip="https://learn.microsoft.com/azure/api-management/api-management-howto-deploy-multi-region" display="More info" xr:uid="{54F8D2D1-4049-4874-8CCC-197341D4D009}"/>
    <hyperlink ref="L295" r:id="rId2399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400" tooltip="https://learn.microsoft.com/azure/api-management/high-availability" display="More info" xr:uid="{B2413444-719D-46ED-85FF-B317F23ED775}"/>
    <hyperlink ref="L297" r:id="rId2401" tooltip="https://learn.microsoft.com/en-us/azure/api-management/self-hosted-gateway-overview" display="More info" xr:uid="{22B7B1CE-2F3E-4AAA-8D2A-BE3C9A025C5E}"/>
    <hyperlink ref="L298" r:id="rId2402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403" tooltip="https://learn.microsoft.com/azure/api-management/api-management-howto-log-event-hubs" display="More info" xr:uid="{CECEA940-3986-469F-B1DE-006C739298A4}"/>
    <hyperlink ref="L300" r:id="rId2404" tooltip="https://learn.microsoft.com/azure/api-management/api-management-sample-flexible-throttling" display="More info" xr:uid="{BE813B41-EE82-4205-B7C3-8F925D47B523}"/>
    <hyperlink ref="M300" r:id="rId2405" tooltip="https://learn.microsoft.com/training/modules/protect-apis-on-api-management/" display="Training" xr:uid="{07EA9BED-A94D-41E3-A26D-F00125BC2632}"/>
    <hyperlink ref="L301" r:id="rId2406" tooltip="https://learn.microsoft.com/azure/api-management/api-management-howto-autoscale" display="More info" xr:uid="{3806A031-C1CD-4ECB-95EE-C1E966BF1303}"/>
    <hyperlink ref="L302" r:id="rId2407" tooltip="https://learn.microsoft.com/azure/api-management/api-management-howto-provision-self-hosted-gateway" display="More info" xr:uid="{A29442D3-1F91-4D42-AB31-2248169C474C}"/>
    <hyperlink ref="L303" r:id="rId2408" tooltip="https://learn.microsoft.com/azure/api-management/retry-policy" display="More info" xr:uid="{2BC3AC27-2EF1-4BF7-97D7-9699EC80B8CE}"/>
    <hyperlink ref="L304" r:id="rId2409" tooltip="https://learn.microsoft.com/azure/api-management/front-door-api-management" display="More info" xr:uid="{0C52BB72-606D-45C9-904F-1E6754021A64}"/>
    <hyperlink ref="L305" r:id="rId2410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411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412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413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414" tooltip="https://learn.microsoft.com/azure/api-management/automation-manage-api-management" display="More info" xr:uid="{747611CD-E160-467F-A785-B42F4F4ADCA6}"/>
    <hyperlink ref="L310" r:id="rId2415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416" tooltip="https://learn.microsoft.com/azure/api-management/visual-studio-code-tutorial" display="More info" xr:uid="{B6F3301C-D0E2-4EE7-B65E-C7DF7437000E}"/>
    <hyperlink ref="L312" r:id="rId2417" tooltip="https://learn.microsoft.com/azure/api-management/devops-api-development-templates" display="More info" xr:uid="{A496C56D-38CF-4AA1-9F87-74F3BDD16F51}"/>
    <hyperlink ref="L313" r:id="rId2418" tooltip="https://learn.microsoft.com/azure/api-management/api-management-howto-mutual-certificates-for-clients" display="More info" xr:uid="{75D7F13B-D454-4444-85FE-5BCD027F1219}"/>
    <hyperlink ref="L314" r:id="rId2419" tooltip="https://learn.microsoft.com/azure/api-management/api-management-howto-mutual-certificates" display="More info" xr:uid="{4C839B90-1240-46C4-AD1D-364EE09E4E10}"/>
    <hyperlink ref="L315" r:id="rId2420" tooltip="https://learn.microsoft.com/azure/api-management/mitigate-owasp-api-threats" display="More info" xr:uid="{9DDB98D8-DE55-4D62-86B8-4FACB93350FC}"/>
    <hyperlink ref="L316" r:id="rId2421" tooltip="https://learn.microsoft.com/azure/api-management/authorizations-overview" display="More info" xr:uid="{03C7A7DD-F071-4D4F-8AF3-D72A978E1BA7}"/>
    <hyperlink ref="L317" r:id="rId2422" tooltip="https://learn.microsoft.com/azure/api-management/api-management-howto-manage-protocols-ciphers" display="More info" xr:uid="{BAD570A3-82C1-4617-9B6F-F2DE3872F657}"/>
    <hyperlink ref="L318" r:id="rId2423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424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425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426" tooltip="https://learn.microsoft.com/azure/app-service/app-service-key-vault-references" display="More info" xr:uid="{4D850C92-ABC6-452E-A949-F9AAB6C537E1}"/>
    <hyperlink ref="L322" r:id="rId2427" tooltip="https://learn.microsoft.com/azure/app-service/app-service-key-vault-references" display="More info" xr:uid="{C1169258-4485-4EB6-A142-A87B85D53F55}"/>
    <hyperlink ref="L323" r:id="rId2428" tooltip="https://learn.microsoft.com/azure/app-service/configure-ssl-certificate" display="More info" xr:uid="{D876F96F-DAF4-4283-89FB-544C44DBC3A6}"/>
    <hyperlink ref="L324" r:id="rId2429" tooltip="https://learn.microsoft.com/azure/app-service/overview-hosting-plans" display="More info" xr:uid="{DE648FC9-127C-498F-981A-FB1442FC00AE}"/>
    <hyperlink ref="L325" r:id="rId2430" location="file-access" tooltip="https://learn.microsoft.com/azure/app-service/operating-system-functionality#file-access" display="More info" xr:uid="{4CCBF4B8-F41A-41F3-A048-2728FB47EE0F}"/>
    <hyperlink ref="L326" r:id="rId2431" tooltip="https://learn.microsoft.com/azure/app-service/overview-authentication-authorization" display="More info" xr:uid="{0B7099DF-2588-4EEC-96AC-A57A2073410E}"/>
    <hyperlink ref="L327" r:id="rId2432" tooltip="https://learn.microsoft.com/azure/app-service/deploy-best-practices" display="More info" xr:uid="{FA3BAA25-6D55-49DF-A808-4D35D9CE10E4}"/>
    <hyperlink ref="L328" r:id="rId2433" location="disable-basic-authentication" tooltip="https://learn.microsoft.com/azure/app-service/deploy-configure-credentials#disable-basic-authentication" display="More info" xr:uid="{43A2F9B7-BCC0-4A2A-B061-15F436F7157C}"/>
    <hyperlink ref="L329" r:id="rId2434" tooltip="https://learn.microsoft.com/azure/app-service/overview-managed-identity?tabs=portal%2Chttp" display="More info" xr:uid="{69C13B73-7143-4F5B-BE74-F249AD6BEF1F}"/>
    <hyperlink ref="L330" r:id="rId2435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436" tooltip="https://learn.microsoft.com/azure/app-service/troubleshoot-diagnostic-logs" display="More info" xr:uid="{EA4930E6-A331-4D3C-A453-40614B9145A7}"/>
    <hyperlink ref="L332" r:id="rId2437" tooltip="https://learn.microsoft.com/azure/azure-monitor/essentials/activity-log" display="More info" xr:uid="{5361DD49-7989-4AA6-ACD1-1C9E09E17DDD}"/>
    <hyperlink ref="L333" r:id="rId2438" tooltip="https://learn.microsoft.com/azure/app-service/overview-vnet-integration" display="More info" xr:uid="{32E3F45E-AD42-4EC4-A297-37B9CFC588E7}"/>
    <hyperlink ref="L334" r:id="rId2439" tooltip="https://learn.microsoft.com/azure/app-service/networking/nat-gateway-integration" display="More info" xr:uid="{957C72FC-B735-4A15-8C65-AC26AF28F24D}"/>
    <hyperlink ref="L335" r:id="rId2440" location="access-restrictions" tooltip="https://learn.microsoft.com/azure/app-service/networking-features#access-restrictions" display="More info" xr:uid="{8D01E79B-8D13-44D7-90EA-7BDEC27B69D8}"/>
    <hyperlink ref="L336" r:id="rId2441" tooltip="https://learn.microsoft.com/azure/app-service/networking/app-gateway-with-service-endpoints" display="More info" xr:uid="{BF46F613-487C-4CDF-9D12-2C9F339CD810}"/>
    <hyperlink ref="L337" r:id="rId2442" location="access-restrictions" tooltip="https://learn.microsoft.com/azure/app-service/networking-features#access-restrictions" display="More info" xr:uid="{7BBF81BE-7962-4998-B4CB-A9951949DAE4}"/>
    <hyperlink ref="L338" r:id="rId2443" location="enforce-tls-versions" tooltip="https://learn.microsoft.com/azure/app-service/configure-ssl-bindings#enforce-tls-versions" display="More info" xr:uid="{19509986-7091-46AE-A405-2ED4B731906A}"/>
    <hyperlink ref="L339" r:id="rId2444" location="enforce-https" tooltip="https://learn.microsoft.com/azure/app-service/configure-ssl-bindings#enforce-https" display="More info" xr:uid="{68070C6B-83B1-4AD3-8EB3-77F2A939E150}"/>
    <hyperlink ref="L340" r:id="rId2445" tooltip="https://learn.microsoft.com/azure/app-service/app-service-web-tutorial-rest-api" display="More info" xr:uid="{F852E42C-11AB-4CEF-B1CA-09E092EA0407}"/>
    <hyperlink ref="L341" r:id="rId2446" location="configure-general-settings" tooltip="https://learn.microsoft.com/azure/app-service/configure-common#configure-general-settings" display="More info" xr:uid="{12A8AAD8-E903-4297-AEA4-BD8461D0D6C3}"/>
    <hyperlink ref="L342" r:id="rId2447" tooltip="https://learn.microsoft.com/azure/defender-for-cloud/defender-for-app-service-introduction" display="More info" xr:uid="{36DAC5EC-05F3-4E82-96E0-C86BD8A6B43A}"/>
    <hyperlink ref="L343" r:id="rId2448" tooltip="https://learn.microsoft.com/azure/ddos-protection/ddos-protection-overview" display="More info" xr:uid="{DF329433-A283-463D-BB3E-6ED8449C7960}"/>
    <hyperlink ref="L344" r:id="rId2449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450" tooltip="https://learn.microsoft.com/azure/security/fundamentals/pen-testing" display="More info" xr:uid="{BFDBF430-B916-4DE7-A0EF-BD4D75B64B79}"/>
    <hyperlink ref="L346" r:id="rId2451" tooltip="https://learn.microsoft.com/azure/architecture/solution-ideas/articles/devsecops-in-azure" display="More info" xr:uid="{555351EC-A173-401B-A35B-AA383D356099}"/>
    <hyperlink ref="L347" r:id="rId2452" tooltip="https://learn.microsoft.com/azure/app-service/overview-patch-os-runtime" display="More info" xr:uid="{7C25F5E4-F277-469C-A0E7-B1479B3EC2A2}"/>
    <hyperlink ref="L348" r:id="rId2453" tooltip="https://learn.microsoft.com/azure/service-bus-messaging/configure-customer-managed-key" display="More info" xr:uid="{942DC0FD-9C12-4C35-B136-5067EE94CF5D}"/>
    <hyperlink ref="M348" r:id="rId2454" tooltip="https://learn.microsoft.com/learn/modules/plan-implement-administer-conditional-access/" display="Training" xr:uid="{32C85477-ED62-48F2-84F2-D2DF343E0ECD}"/>
    <hyperlink ref="L349" r:id="rId2455" tooltip="https://learn.microsoft.com/azure/service-bus-messaging/transport-layer-security-enforce-minimum-version" display="More info" xr:uid="{20E0E8F9-A20D-428E-BEED-EFBDE312F0B7}"/>
    <hyperlink ref="M349" r:id="rId2456" tooltip="https://learn.microsoft.com/learn/modules/secure-aad-users-with-mfa/" display="Training" xr:uid="{4F9B0435-6B5F-4D09-9100-72B30946E544}"/>
    <hyperlink ref="L350" r:id="rId2457" location="shared-access-authorization-policies" tooltip="https://learn.microsoft.com/azure/service-bus-messaging/service-bus-sas#shared-access-authorization-policies" display="More info" xr:uid="{0AFA9E73-48D1-4D0E-A0DC-9D0292639595}"/>
    <hyperlink ref="M350" r:id="rId2458" tooltip="https://learn.microsoft.com/learn/paths/azure-administrator-manage-identities-governance/" display="Training" xr:uid="{B7C1C750-5C43-438C-A0E5-AC6EEF1AE5C5}"/>
    <hyperlink ref="L351" r:id="rId2459" tooltip="https://learn.microsoft.com/azure/service-bus-messaging/service-bus-managed-service-identity" display="More info" xr:uid="{12D56109-019C-4995-A61A-34EA63E43AD4}"/>
    <hyperlink ref="M351" r:id="rId2460" tooltip="https://learn.microsoft.com/learn/modules/azure-ad-privileged-identity-management/" display="Training" xr:uid="{E6DF4EF2-DE49-494C-AD4C-67F5F785C52D}"/>
    <hyperlink ref="L352" r:id="rId2461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462" tooltip="https://learn.microsoft.com/learn/modules/explore-basic-services-identity-types/" display="Training" xr:uid="{E36B5FBE-1316-46E6-9EB9-00E9B7F5F1FE}"/>
    <hyperlink ref="L353" r:id="rId2463" tooltip="https://learn.microsoft.com/azure/service-bus-messaging/monitor-service-bus-reference" display="More info" xr:uid="{C289EC6D-F4B7-49E3-9204-704166697873}"/>
    <hyperlink ref="M353" r:id="rId2464" tooltip="https://learn.microsoft.com/learn/paths/manage-identity-and-access/" display="Training" xr:uid="{7BAAA752-6A3A-48C6-8AA6-44E2DD0C0B43}"/>
    <hyperlink ref="L354" r:id="rId2465" tooltip="https://learn.microsoft.com/azure/service-bus-messaging/private-link-service" display="More info" xr:uid="{BAC19655-B202-4ECC-9C55-A854B93C0532}"/>
    <hyperlink ref="M354" r:id="rId2466" tooltip="https://learn.microsoft.com/learn/modules/azure-ad-privileged-identity-management/" display="Training" xr:uid="{6D9A1225-1E82-403D-9865-4605932B545D}"/>
    <hyperlink ref="L355" r:id="rId2467" tooltip="https://learn.microsoft.com/azure/service-bus-messaging/service-bus-ip-filtering" display="More info" xr:uid="{41ACDBED-90AE-48DF-8410-1B1E89EA6075}"/>
    <hyperlink ref="M355" r:id="rId2468" tooltip="https://learn.microsoft.com/learn/paths/implement-resource-mgmt-security/" display="Training" xr:uid="{BDFD19A0-729D-4BFC-9C02-B9C1F782AE54}"/>
    <hyperlink ref="L366" r:id="rId2469" tooltip="https://github.com/Azure/AzureCAT-AVS/tree/main/networking" display="More info" xr:uid="{AC501C80-2714-4833-9621-F6A61A0CF870}"/>
    <hyperlink ref="L448" r:id="rId2470" location="how-application-proxy-works" tooltip="https://learn.microsoft.com/azure/active-directory/app-proxy/application-proxy#how-application-proxy-works" display="More info" xr:uid="{17F4D18E-6079-4E44-8CDA-E502B12A7773}"/>
    <hyperlink ref="M448" r:id="rId2471" tooltip="https://learn.microsoft.com/learn/modules/configure-azure-ad-application-proxy/" display="Training" xr:uid="{754C76D4-E732-460E-B26A-9578B1FD81CD}"/>
    <hyperlink ref="L449" r:id="rId2472" location="how-application-proxy-works" tooltip="https://learn.microsoft.com/azure/active-directory/app-proxy/application-proxy#how-application-proxy-works" display="More info" xr:uid="{177E49BF-32A3-466A-965A-23089F484AB2}"/>
    <hyperlink ref="M449" r:id="rId2473" tooltip="https://learn.microsoft.com/learn/paths/implement-applications-external-access-azure-ad/" display="Training" xr:uid="{60345D88-25C0-47C6-BE9F-9839B2777D73}"/>
    <hyperlink ref="L453" r:id="rId2474" tooltip="https://learn.microsoft.com/azure/web-application-firewall/afds/waf-front-door-policy-settings" display="More info" xr:uid="{F501EC89-AFD8-45D6-A855-2B3494B373BF}"/>
    <hyperlink ref="L454" r:id="rId2475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476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477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478" location="select-good-health-probe-endpoints" tooltip="https://learn.microsoft.com/azure/frontdoor/best-practices#select-good-health-probe-endpoints" display="More info" xr:uid="{4FA8C6A3-2D52-47A9-805B-25B7FB1E3FBC}"/>
    <hyperlink ref="L458" r:id="rId2479" location="use-head-health-probes" tooltip="https://learn.microsoft.com/azure/frontdoor/best-practices#use-head-health-probes" display="More info" xr:uid="{8AAB6463-9CF8-4D53-9742-3013235354FA}"/>
    <hyperlink ref="L459" r:id="rId2480" location="outbound-connectivity" tooltip="https://learn.microsoft.com/azure/nat-gateway/nat-overview#outbound-connectivity" display="More info" xr:uid="{044CFACA-CC34-4B5B-BFFD-374F45488106}"/>
    <hyperlink ref="L460" r:id="rId2481" location="use-managed-tls-certificates" tooltip="https://learn.microsoft.com/azure/frontdoor/best-practices#use-managed-tls-certificates" display="More info" xr:uid="{5AC7A1CE-BF1E-4CBE-8000-706CEE59839A}"/>
    <hyperlink ref="L461" r:id="rId2482" tooltip="https://learn.microsoft.com/azure/spring-apps/concepts-blue-green-deployment-strategies" display="More info" xr:uid="{FC391B91-08AF-46A9-8BFD-0907E095050A}"/>
    <hyperlink ref="L462" r:id="rId2483" tooltip="https://learn.microsoft.com/azure/architecture/web-apps/spring-apps/architectures/spring-apps-multi-region" display="More info" xr:uid="{A596945E-735E-4253-A027-4FC507811199}"/>
    <hyperlink ref="L463" r:id="rId2484" tooltip="https://learn.microsoft.com/azure/reliability/reliability-spring-apps" display="More info" xr:uid="{294B6AE6-ED0B-4911-8B69-FE62D13D7BDC}"/>
    <hyperlink ref="L464" r:id="rId2485" tooltip="https://learn.microsoft.com/azure/spring-apps/concept-understand-app-and-deployment" display="More info" xr:uid="{ECCBDEC4-BA07-4F80-8ED5-B5C69AD08DDF}"/>
    <hyperlink ref="L465" r:id="rId2486" tooltip="https://learn.microsoft.com/azure/spring-apps/diagnostic-services" display="More info" xr:uid="{9A6B5A2E-3B47-497B-B9FD-829222265825}"/>
    <hyperlink ref="L466" r:id="rId2487" tooltip="https://learn.microsoft.com/azure/spring-apps/how-to-configure-enterprise-spring-cloud-gateway" display="More info" xr:uid="{40BEACE3-B012-4725-8B59-50605072FE33}"/>
    <hyperlink ref="L467" r:id="rId2488" tooltip="https://learn.microsoft.com/azure/spring-apps/how-to-setup-autoscale" display="More info" xr:uid="{71AB67AD-CD4D-4C63-BD71-B80061F6445B}"/>
    <hyperlink ref="L468" r:id="rId2489" tooltip="https://learn.microsoft.com/azure/spring-apps/overview" display="More info" xr:uid="{729199EF-A7D6-4609-823B-0DD6A0652F54}"/>
    <hyperlink ref="L469" r:id="rId2490" tooltip="https://learn.microsoft.com/security/benchmark/azure/baselines/storage-security-baseline" display="More info" xr:uid="{EBD7AB43-4EC4-4AED-A5CF-582EC81FE6C5}"/>
    <hyperlink ref="L470" r:id="rId2491" tooltip="https://learn.microsoft.com/azure/storage/common/storage-private-endpoints" display="More info" xr:uid="{2F321B7F-5AA8-48B7-AE36-2D9B13F4EA60}"/>
    <hyperlink ref="L471" r:id="rId2492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493" tooltip="https://learn.microsoft.com/azure/storage/common/azure-defender-storage-configure" display="More info" xr:uid="{9E9D34EB-0A0F-4C93-A57D-32364288F66D}"/>
    <hyperlink ref="L473" r:id="rId2494" tooltip="https://learn.microsoft.com/azure/storage/blobs/soft-delete-blob-overview" display="More info" xr:uid="{EEFF7F68-6D27-44CE-99CB-2CDB351512F8}"/>
    <hyperlink ref="L474" r:id="rId2495" tooltip="https://learn.microsoft.com/azure/storage/blobs/soft-delete-blob-enable" display="More info" xr:uid="{93B40DDE-3C42-42EB-BD41-2983602F8D81}"/>
    <hyperlink ref="L475" r:id="rId2496" tooltip="https://learn.microsoft.com/azure/storage/blobs/soft-delete-container-overview" display="More info" xr:uid="{BFF2AC53-66B6-44CF-830A-B8E06E578D00}"/>
    <hyperlink ref="L476" r:id="rId2497" tooltip="https://learn.microsoft.com/azure/storage/blobs/soft-delete-container-enable" display="More info" xr:uid="{9CB37EA4-78D0-4200-ABB7-C8AC903CF3AD}"/>
    <hyperlink ref="L477" r:id="rId2498" tooltip="https://learn.microsoft.com/azure/storage/common/lock-account-resource" display="More info" xr:uid="{37A71F56-27BE-4C0E-B162-98CBD139EA17}"/>
    <hyperlink ref="L478" r:id="rId2499" tooltip="https://learn.microsoft.com/azure/storage/blobs/immutable-storage-overview" display="More info" xr:uid="{0511E057-BE8A-40BB-8617-94861E4ED2C1}"/>
    <hyperlink ref="L479" r:id="rId2500" tooltip="https://learn.microsoft.com/azure/storage/common/storage-require-secure-transfer" display="More info" xr:uid="{55196933-43EA-4B12-8BB7-440337F327F1}"/>
    <hyperlink ref="L480" r:id="rId2501" tooltip="https://learn.microsoft.com/azure/storage/blobs/storage-custom-domain-name" display="More info" xr:uid="{9D94C936-82B6-4BC8-804C-245B6F1CBBDD}"/>
    <hyperlink ref="L481" r:id="rId2502" tooltip="https://learn.microsoft.com/azure/storage/common/storage-sas-overview" display="More info" xr:uid="{4C9D3773-842A-4B6C-B82B-9E39D861C09C}"/>
    <hyperlink ref="L482" r:id="rId2503" tooltip="https://learn.microsoft.com/azure/storage/common/authorize-data-access" display="More info" xr:uid="{70226DD1-9D7E-44F7-B82F-B5795D075098}"/>
    <hyperlink ref="L484" r:id="rId2504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505" tooltip="https://learn.microsoft.com/rest/api/storageservices/authorize-with-shared-key" display="More info" xr:uid="{93526A47-A31A-4C73-87EA-CC19F6AE5DD6}"/>
    <hyperlink ref="L486" r:id="rId2506" location="audit-account-activity" tooltip="https://learn.microsoft.com/azure/storage/blobs/blob-storage-monitoring-scenarios#audit-account-activity" display="More info" xr:uid="{BDB08D98-E71A-40D5-83E6-55BC2E1510CB}"/>
    <hyperlink ref="L487" r:id="rId2507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508" tooltip="https://learn.microsoft.com/azure/storage/common/sas-expiration-policy" display="More info" xr:uid="{E888CA40-E841-4767-9C28-4FF352B09FC0}"/>
    <hyperlink ref="L489" r:id="rId2509" tooltip="https://learn.microsoft.com/rest/api/storageservices/define-stored-access-policy" display="More info" xr:uid="{2A560467-9801-4C8D-B937-7AAAED2C57E7}"/>
    <hyperlink ref="L490" r:id="rId2510" tooltip="https://microsoft.github.io/code-with-engineering-playbook/continuous-integration/dev-sec-ops/secret-management/recipes/detect-secrets-ado/" display="More info" xr:uid="{BEE93C76-D781-4FC8-907F-8C847D4FEA96}"/>
    <hyperlink ref="L491" r:id="rId2511" tooltip="https://learn.microsoft.com/azure/architecture/framework/security/design-storage-keys" display="More info" xr:uid="{1D6B8BE3-0C60-4AB8-894C-7C50690F49DD}"/>
    <hyperlink ref="L492" r:id="rId2512" tooltip="https://learn.microsoft.com/rest/api/storageservices/delegate-access-with-shared-access-signature" display="More info" xr:uid="{80CCF6A7-9E88-4C7D-9379-34AC0EDD7079}"/>
    <hyperlink ref="L493" r:id="rId2513" tooltip="https://learn.microsoft.com/rest/api/storageservices/delegate-access-with-shared-access-signature" display="More info" xr:uid="{6581CABB-A1F4-4167-906B-E6A3AFDF1B1A}"/>
    <hyperlink ref="L494" r:id="rId2514" tooltip="https://learn.microsoft.com/rest/api/storageservices/create-account-sas" display="More info" xr:uid="{B815F179-53BF-448B-9316-A37FBE9F366A}"/>
    <hyperlink ref="L496" r:id="rId2515" location="sftp-permission-model" tooltip="https://learn.microsoft.com/azure/storage/blobs/secure-file-transfer-protocol-support#sftp-permission-model" display="More info" xr:uid="{B2B71648-41E9-4E19-9185-62D0768E6487}"/>
    <hyperlink ref="L497" r:id="rId2516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517" tooltip="https://learn.microsoft.com/rest/api/storageservices/cross-origin-resource-sharing--cors--support-for-the-azure-storage-services" display="More info" xr:uid="{79B22921-A3CF-4E30-8ED1-D321EB0AA0D8}"/>
    <hyperlink ref="L499" r:id="rId2518" tooltip="https://learn.microsoft.com/azure/storage/common/storage-service-encryption" display="More info" xr:uid="{FC20D671-E6E0-4B68-9780-A2614A7B78E4}"/>
    <hyperlink ref="L500" r:id="rId2519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520" tooltip="https://learn.microsoft.com/azure/storage/blobs/encryption-customer-provided-keys" display="More info" xr:uid="{EDBBBDCB-F79F-483B-B198-262919D5AC6C}"/>
    <hyperlink ref="L502" r:id="rId2521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522" tooltip="https://learn.microsoft.com/azure/event-hubs/configure-customer-managed-key" display="More info" xr:uid="{CC57E5C5-1A1A-4052-AC53-D77E4C61A251}"/>
    <hyperlink ref="M503" r:id="rId2523" tooltip="https://learn.microsoft.com/learn/modules/plan-implement-administer-conditional-access/" display="Training" xr:uid="{B2FC28D1-07BC-424E-88EB-59441963BC73}"/>
    <hyperlink ref="L504" r:id="rId2524" tooltip="https://learn.microsoft.com/azure/event-hubs/transport-layer-security-configure-minimum-version" display="More info" xr:uid="{D1EEE396-03F4-4E45-9BC0-49D28B4074B1}"/>
    <hyperlink ref="M504" r:id="rId2525" tooltip="https://learn.microsoft.com/learn/modules/secure-aad-users-with-mfa/" display="Training" xr:uid="{0A365DD6-BA20-43B4-AEF6-03C330E08995}"/>
    <hyperlink ref="L505" r:id="rId2526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527" tooltip="https://learn.microsoft.com/learn/paths/azure-administrator-manage-identities-governance/" display="Training" xr:uid="{C3BBABFE-8C73-433D-8987-A5BA20D69CDC}"/>
    <hyperlink ref="L506" r:id="rId2528" tooltip="https://learn.microsoft.com/azure/event-hubs/authenticate-managed-identity?tabs=latest" display="More info" xr:uid="{84C2CCA4-C6CC-45DD-A215-8FCCA6308DE1}"/>
    <hyperlink ref="M506" r:id="rId2529" tooltip="https://learn.microsoft.com/learn/modules/azure-ad-privileged-identity-management/" display="Training" xr:uid="{0A4F3AF3-D313-4C41-B8A5-30C13B070E0E}"/>
    <hyperlink ref="L507" r:id="rId2530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531" tooltip="https://learn.microsoft.com/learn/modules/explore-basic-services-identity-types/" display="Training" xr:uid="{130013EB-90C9-4D6C-93AE-5A3D02C4BFD6}"/>
    <hyperlink ref="L508" r:id="rId2532" tooltip="https://learn.microsoft.com/azure/event-hubs/monitor-event-hubs-reference" display="More info" xr:uid="{2D6E2C6A-7A54-4287-8A4A-0D18CB9FFB36}"/>
    <hyperlink ref="M508" r:id="rId2533" tooltip="https://learn.microsoft.com/learn/paths/manage-identity-and-access/" display="Training" xr:uid="{802FE105-D840-4479-9E0E-BAE51049A9E7}"/>
    <hyperlink ref="L509" r:id="rId2534" tooltip="https://learn.microsoft.com/azure/event-hubs/private-link-service" display="More info" xr:uid="{D892D0C6-8CDC-4F43-8B5D-05F34E0A07D5}"/>
    <hyperlink ref="M509" r:id="rId2535" tooltip="https://learn.microsoft.com/learn/modules/azure-ad-privileged-identity-management/" display="Training" xr:uid="{49B6467F-DFB7-475B-84B2-CF1B65DC4116}"/>
    <hyperlink ref="L510" r:id="rId2536" tooltip="https://learn.microsoft.com/azure/event-hubs/event-hubs-ip-filtering" display="More info" xr:uid="{2AAF7F96-DC99-48DD-9550-32122EA9A93F}"/>
    <hyperlink ref="M510" r:id="rId2537" tooltip="https://learn.microsoft.com/learn/paths/implement-resource-mgmt-security/" display="Training" xr:uid="{770B1808-12D4-4637-B986-A54AD1C482DC}"/>
    <hyperlink ref="L511" r:id="rId2538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539" tooltip="https://learn.microsoft.com/azure/application-gateway/overview-v2" display="More info" xr:uid="{61AFEE09-7EA2-4BDD-92B1-6A3431ECCA30}"/>
    <hyperlink ref="M512" r:id="rId2540" tooltip="https://learn.microsoft.com/learn/paths/secure-application-delivery/" display="Training" xr:uid="{063F4FB5-33AA-4A2E-8C51-520F1DED66E1}"/>
    <hyperlink ref="L513" r:id="rId2541" tooltip="https://learn.microsoft.com/azure/load-balancer/load-balancer-overview" display="More info" xr:uid="{ECD8336E-E577-4F10-B8F4-B5A96369590F}"/>
    <hyperlink ref="L514" r:id="rId2542" tooltip="https://learn.microsoft.com/azure/load-balancer/load-balancer-standard-availability-zones" display="More info" xr:uid="{636E572B-4507-4C36-B64A-A2176DBDFD66}"/>
    <hyperlink ref="L515" r:id="rId2543" location="size-of-the-subnet" tooltip="https://learn.microsoft.com/azure/application-gateway/configuration-infrastructure#size-of-the-subnet" display="More info" xr:uid="{BAB4EAB7-C4DB-43AB-B206-DC49CF2613AD}"/>
    <hyperlink ref="M515" r:id="rId2544" tooltip="https://learn.microsoft.com/learn/paths/secure-application-delivery/" display="Training" xr:uid="{98AC5E9A-1716-4E6D-B63D-D5F8413109BC}"/>
    <hyperlink ref="L516" r:id="rId2545" tooltip="https://learn.microsoft.com/azure/web-application-firewall/ag/ag-overview" display="More info" xr:uid="{DF2DC0B7-B6BE-40E7-97AE-14FEA5307233}"/>
    <hyperlink ref="M516" r:id="rId2546" tooltip="https://learn.microsoft.com/learn/paths/secure-application-delivery/" display="Training" xr:uid="{2F95AF7D-781A-4765-B65E-08AC9F5A8691}"/>
    <hyperlink ref="L517" r:id="rId2547" tooltip="https://learn.microsoft.com/azure/web-application-firewall/ag/ag-overview" display="More info" xr:uid="{E4443779-6654-4BC6-9FA1-F1EA9245FF62}"/>
    <hyperlink ref="M517" r:id="rId2548" tooltip="https://learn.microsoft.com/learn/paths/secure-networking-infrastructure/" display="Training" xr:uid="{E30E9E70-C382-47A4-9E92-08979BFD6069}"/>
    <hyperlink ref="L518" r:id="rId2549" tooltip="https://learn.microsoft.com/azure/application-gateway/application-gateway-autoscaling-zone-redundant" display="More info" xr:uid="{E6C3A656-5115-498F-96D3-65BB54A69A32}"/>
    <hyperlink ref="M518" r:id="rId2550" tooltip="https://learn.microsoft.com/learn/paths/secure-application-delivery/" display="Training" xr:uid="{43739BF6-849C-4B1E-B291-E8ACFEC6AF39}"/>
    <hyperlink ref="L519" r:id="rId2551" tooltip="https://learn.microsoft.com/azure/reliability/migrate-app-gateway-v2" display="More info" xr:uid="{90025005-0D88-42AB-A63D-2F7669A21893}"/>
    <hyperlink ref="M519" r:id="rId2552" tooltip="https://learn.microsoft.com/learn/paths/secure-application-delivery/" display="Training" xr:uid="{3CEC7823-35E8-46AE-BEA1-9C0F5FCEFF5A}"/>
    <hyperlink ref="L520" r:id="rId2553" tooltip="https://learn.microsoft.com/azure/web-application-firewall/ag/ag-overview" display="More info" xr:uid="{E2C21288-8DD0-471F-8A01-08120549AD7B}"/>
    <hyperlink ref="M520" r:id="rId2554" tooltip="https://learn.microsoft.com/learn/paths/secure-networking-infrastructure/" display="Training" xr:uid="{E8F10CB4-A65A-4ED7-8E1E-03004A6AC771}"/>
    <hyperlink ref="L521" r:id="rId2555" tooltip="https://learn.microsoft.com/azure/ddos-protection/ddos-protection-overview" display="More info" xr:uid="{401B17FC-4F8D-4098-9F5D-7E8266305D11}"/>
    <hyperlink ref="M521" r:id="rId2556" tooltip="https://learn.microsoft.com/learn/paths/secure-networking-infrastructure/" display="Training" xr:uid="{3AE5D015-9140-42A0-AFD3-4649CE7690EB}"/>
    <hyperlink ref="L522" r:id="rId2557" tooltip="https://learn.microsoft.com/azure/web-application-firewall/ag/ag-overview" display="More info" xr:uid="{0427BADD-9BDD-4AD7-B061-4F649860D9FB}"/>
    <hyperlink ref="M522" r:id="rId2558" tooltip="https://learn.microsoft.com/learn/paths/secure-networking-infrastructure/" display="Training" xr:uid="{68A21F89-EB30-4010-B80B-C476003ECD0F}"/>
    <hyperlink ref="L523" r:id="rId2559" location="how-application-proxy-works" tooltip="https://learn.microsoft.com/azure/active-directory/app-proxy/application-proxy#how-application-proxy-works" display="More info" xr:uid="{EFCE279F-4221-4D20-8CC6-965F435D54FD}"/>
    <hyperlink ref="M523" r:id="rId2560" tooltip="https://learn.microsoft.com/learn/modules/configure-azure-ad-application-proxy/" display="Training" xr:uid="{BD20625A-97AD-4E9B-9869-5DABC89992E8}"/>
    <hyperlink ref="L524" r:id="rId2561" location="how-application-proxy-works" tooltip="https://learn.microsoft.com/azure/active-directory/app-proxy/application-proxy#how-application-proxy-works" display="More info" xr:uid="{6EE8945A-BE92-4C37-B67D-9918ED242A28}"/>
    <hyperlink ref="M524" r:id="rId2562" tooltip="https://learn.microsoft.com/learn/paths/implement-applications-external-access-azure-ad/" display="Training" xr:uid="{63E0FA05-500D-493B-A047-AD1B9FE5CBA6}"/>
    <hyperlink ref="L525" r:id="rId2563" tooltip="https://learn.microsoft.com/azure/web-application-firewall/afds/waf-front-door-policy-settings" display="More info" xr:uid="{1D1B4294-E878-481C-99E7-878B7BBCE843}"/>
    <hyperlink ref="L526" r:id="rId2564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565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566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567" location="select-good-health-probe-endpoints" tooltip="https://learn.microsoft.com/azure/frontdoor/best-practices#select-good-health-probe-endpoints" display="More info" xr:uid="{2CE276BB-2DFC-4917-89F9-2969B85D8921}"/>
    <hyperlink ref="L530" r:id="rId2568" location="use-head-health-probes" tooltip="https://learn.microsoft.com/azure/frontdoor/best-practices#use-head-health-probes" display="More info" xr:uid="{0C4B0FAD-7553-48D7-B9E3-ECC197FA75F7}"/>
    <hyperlink ref="L531" r:id="rId2569" location="outbound-connectivity" tooltip="https://learn.microsoft.com/azure/nat-gateway/nat-overview#outbound-connectivity" display="More info" xr:uid="{CE895A5F-D6A3-4852-8A85-B866E80A71C0}"/>
    <hyperlink ref="L532" r:id="rId2570" location="use-managed-tls-certificates" tooltip="https://learn.microsoft.com/azure/frontdoor/best-practices#use-managed-tls-certificates" display="More info" xr:uid="{E5F2F555-1D9F-49B0-8153-CF7F6292AF15}"/>
    <hyperlink ref="L533" r:id="rId2571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572" location="use-end-to-end-tls" tooltip="https://learn.microsoft.com/azure/frontdoor/best-practices#use-end-to-end-tls" display="More info" xr:uid="{9F830F81-C766-4C0F-83DA-5EC6E1FA7B72}"/>
    <hyperlink ref="L535" r:id="rId2573" location="use-http-to-https-redirection" tooltip="https://learn.microsoft.com/azure/frontdoor/best-practices#use-http-to-https-redirection" display="More info" xr:uid="{DE4D9D88-09F5-4AD0-A308-CD2062DC7FA2}"/>
    <hyperlink ref="L536" r:id="rId2574" location="enable-the-waf" tooltip="https://learn.microsoft.com/azure/frontdoor/best-practices#enable-the-waf" display="More info" xr:uid="{A9C721EC-F5F1-4B73-B741-13E015E50EB8}"/>
    <hyperlink ref="L537" r:id="rId2575" location="tune-your-waf" tooltip="https://learn.microsoft.com/azure/web-application-firewall/afds/waf-front-door-best-practices#tune-your-waf" display="More info" xr:uid="{F8C1DF93-8886-4852-9BFD-1D34FA06303D}"/>
    <hyperlink ref="L538" r:id="rId2576" location="use-prevention-mode" tooltip="https://learn.microsoft.com/azure/web-application-firewall/afds/waf-front-door-best-practices#use-prevention-mode" display="More info" xr:uid="{8EE03F56-005A-4532-AC1F-07536249F091}"/>
    <hyperlink ref="L539" r:id="rId2577" location="enable-default-rule-sets" tooltip="https://learn.microsoft.com/azure/web-application-firewall/afds/waf-front-door-best-practices#enable-default-rule-sets" display="More info" xr:uid="{5C9F547C-D102-49E6-AAEF-64F5B456C693}"/>
    <hyperlink ref="L540" r:id="rId2578" location="enable-bot-management-rules" tooltip="https://learn.microsoft.com/azure/web-application-firewall/afds/waf-front-door-best-practices#enable-bot-management-rules" display="More info" xr:uid="{FB5A6A9E-257F-4C36-84BC-D2C98A671C69}"/>
    <hyperlink ref="L541" r:id="rId2579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580" location="add-rate-limiting" tooltip="https://learn.microsoft.com/azure/web-application-firewall/afds/waf-front-door-best-practices#add-rate-limiting" display="More info" xr:uid="{44BB28B9-1F44-4B49-8DB9-A537401B1773}"/>
    <hyperlink ref="L543" r:id="rId2581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582" location="geo-filter-traffic" tooltip="https://learn.microsoft.com/azure/web-application-firewall/afds/waf-front-door-best-practices#geo-filter-traffic" display="More info" xr:uid="{01C46562-4E6D-4828-A898-9BA083CABC30}"/>
    <hyperlink ref="L545" r:id="rId2583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584" tooltip="https://learn.microsoft.com/azure/azure-cache-for-redis/cache-how-to-zone-redundancy" display="More info" xr:uid="{92FAB1D0-4953-499E-92F5-BDBCC2F071EF}"/>
    <hyperlink ref="L547" r:id="rId2585" tooltip="https://learn.microsoft.com/azure/azure-cache-for-redis/cache-how-to-premium-persistence?tabs=premium" display="More info" xr:uid="{F0BC5416-07C9-47B3-BAF6-6F73A6B8708F}"/>
    <hyperlink ref="L548" r:id="rId2586" tooltip="https://learn.microsoft.com/azure/azure-cache-for-redis/cache-how-to-premium-persistence?tabs=premium" display="More info" xr:uid="{7F2FA7AC-67B8-4800-B7EE-B6646BD4CF84}"/>
    <hyperlink ref="L549" r:id="rId2587" tooltip="https://learn.microsoft.com/azure/azure-cache-for-redis/cache-how-to-geo-replication" display="More info" xr:uid="{127437CC-7D81-4026-8133-B8B6CA6D0C09}"/>
    <hyperlink ref="L550" r:id="rId2588" tooltip="https://learn.microsoft.com/azure/virtual-machine-scale-sets/virtual-machine-scale-sets-automatic-instance-repairs" display="More info" xr:uid="{88A28AA2-1682-4879-B535-77446A8FFDE0}"/>
    <hyperlink ref="L551" r:id="rId2589" tooltip="https://learn.microsoft.com/azure/backup/backup-azure-vms-introduction" display="More info" xr:uid="{9A9D517C-45AB-4F30-B888-E6CE1B5FC802}"/>
    <hyperlink ref="L552" r:id="rId2590" tooltip="https://learn.microsoft.com/azure/virtual-machines/disks-types" display="More info" xr:uid="{B7AC67B4-136C-45D5-AA87-15E38CA78AB2}"/>
    <hyperlink ref="L553" r:id="rId2591" tooltip="https://learn.microsoft.com/azure/virtual-machines/managed-disks-overview" display="More info" xr:uid="{AC550543-6936-4212-B9FD-4A164C2EF254}"/>
    <hyperlink ref="L554" r:id="rId2592" location="temporary-disk" tooltip="https://learn.microsoft.com/azure/virtual-machines/managed-disks-overview#temporary-disk" display="More info" xr:uid="{F9BF5923-98CB-4FFD-B0AF-645E085740A5}"/>
    <hyperlink ref="L555" r:id="rId2593" tooltip="https://learn.microsoft.com/azure/reliability/availability-zones-overview" display="More info" xr:uid="{A489340E-4011-4191-A99E-F50C74F88FB9}"/>
    <hyperlink ref="L556" r:id="rId2594" tooltip="https://learn.microsoft.com/azure/virtual-machines/availability-set-overview" display="More info" xr:uid="{11A02C20-E6C1-4739-8029-C4DB949A55D1}"/>
    <hyperlink ref="L557" r:id="rId2595" tooltip="https://learn.microsoft.com/azure/virtual-machines/availability" display="More info" xr:uid="{BB001A55-7861-48EC-9BC4-FB0EF09C4ECD}"/>
    <hyperlink ref="L558" r:id="rId2596" tooltip="https://learn.microsoft.com/azure/site-recovery/site-recovery-overview" display="More info" xr:uid="{ECC09AD0-35DE-4A3F-B838-7B618D28EB4E}"/>
    <hyperlink ref="L559" r:id="rId2597" tooltip="https://learn.microsoft.com/azure/virtual-machines/capacity-reservation-overview" display="More info" xr:uid="{3AC8F8E8-582C-428E-8D39-AFD99EE15CA0}"/>
    <hyperlink ref="L560" r:id="rId2598" tooltip="https://learn.microsoft.com/azure/quotas/per-vm-quota-requests" display="More info" xr:uid="{40968964-82EC-42B0-B907-C89C6C542A13}"/>
    <hyperlink ref="L561" r:id="rId2599" tooltip="https://learn.microsoft.com/azure/virtual-machines/windows/scheduled-events" display="More info" xr:uid="{5CF6F041-2408-4A05-B534-1B7D01DBD507}"/>
    <hyperlink ref="L562" r:id="rId2600" tooltip="https://learn.microsoft.com/azure/storage/common/storage-redundancy" display="More info" xr:uid="{7487A711-742F-453C-8872-656438EEA820}"/>
    <hyperlink ref="L563" r:id="rId2601" tooltip="https://learn.microsoft.com/azure/storage/common/lock-account-resource" display="More info" xr:uid="{38C36488-3D2B-44C0-875E-26D4C24B07DE}"/>
    <hyperlink ref="L564" r:id="rId2602" tooltip="https://learn.microsoft.com/azure/storage/blobs/soft-delete-container-enable" display="More info" xr:uid="{AC77F235-D895-4BF9-A897-71A70035FDF3}"/>
    <hyperlink ref="L565" r:id="rId2603" tooltip="https://learn.microsoft.com/azure/storage/blobs/soft-delete-blob-enable" display="More info" xr:uid="{F02B5810-9A0F-4C72-A14F-62EEBD1AB3A3}"/>
    <hyperlink ref="L566" r:id="rId2604" tooltip="https://learn.microsoft.com/azure/backup/backup-azure-enhanced-soft-delete-about" display="More info" xr:uid="{7303C67C-15FF-49F8-8F07-DF6542A784A7}"/>
    <hyperlink ref="L567" r:id="rId2605" tooltip="https://learn.microsoft.com/azure/backup/multi-user-authorization-concept" display="More info" xr:uid="{80853EF6-339E-4367-A12D-7920F8D0ADA1}"/>
    <hyperlink ref="L568" r:id="rId2606" tooltip="https://learn.microsoft.com/azure/backup/backup-azure-immutable-vault-concept?source=recommendations&amp;tabs=recovery-services-vault" display="More info" xr:uid="{3CCF2CEC-5525-49D1-A897-98EA7EBB7474}"/>
    <hyperlink ref="L569" r:id="rId2607" tooltip="https://learn.microsoft.com/azure/dns/tutorial-dns-private-resolver-failover" display="More info" xr:uid="{9D7089F8-7E22-4CFD-84F3-0DD2453246AC}"/>
    <hyperlink ref="L570" r:id="rId2608" tooltip="https://learn.microsoft.com/data-integration/gateway/service-gateway-high-availability-clusters" display="More info" xr:uid="{FCA30444-37A0-44F1-9124-04A813CCCDAA}"/>
    <hyperlink ref="L571" r:id="rId2609" tooltip="https://learn.microsoft.com/azure/architecture/reference-architectures/dmz/nva-ha" display="More info" xr:uid="{5E434587-47E5-461F-B2EF-8D4786A03EC5}"/>
  </hyperlinks>
  <pageMargins left="0.7" right="0.7" top="0.75" bottom="0.75" header="0.3" footer="0.3"/>
  <pageSetup paperSize="9" orientation="portrait" horizontalDpi="4294967293" r:id="rId2610"/>
  <drawing r:id="rId2611"/>
  <legacyDrawing r:id="rId26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13" name="Button 1">
              <controlPr defaultSize="0" print="0" autoFill="0" autoPict="0" macro="[0]!Sheet1.export_json">
                <anchor>
                  <from>
                    <xdr:col>9</xdr:col>
                    <xdr:colOff>4638675</xdr:colOff>
                    <xdr:row>1</xdr:row>
                    <xdr:rowOff>619125</xdr:rowOff>
                  </from>
                  <to>
                    <xdr:col>12</xdr:col>
                    <xdr:colOff>257175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14" name="Button 3">
              <controlPr defaultSize="0" print="0" autoFill="0" autoPict="0" macro="[0]!Sheet1.import_checklist">
                <anchor>
                  <from>
                    <xdr:col>9</xdr:col>
                    <xdr:colOff>4638675</xdr:colOff>
                    <xdr:row>1</xdr:row>
                    <xdr:rowOff>314325</xdr:rowOff>
                  </from>
                  <to>
                    <xdr:col>12</xdr:col>
                    <xdr:colOff>257175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15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16" name="Button 19">
              <controlPr defaultSize="0" print="0" autoFill="0" autoPict="0" macro="[0]!Sheet1.import_graph_results">
                <anchor>
                  <from>
                    <xdr:col>9</xdr:col>
                    <xdr:colOff>4638675</xdr:colOff>
                    <xdr:row>3</xdr:row>
                    <xdr:rowOff>0</xdr:rowOff>
                  </from>
                  <to>
                    <xdr:col>12</xdr:col>
                    <xdr:colOff>257175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17" name="Group Box 5">
              <controlPr defaultSize="0" autoFill="0" autoPict="0">
                <anchor>
                  <from>
                    <xdr:col>9</xdr:col>
                    <xdr:colOff>4448175</xdr:colOff>
                    <xdr:row>1</xdr:row>
                    <xdr:rowOff>123825</xdr:rowOff>
                  </from>
                  <to>
                    <xdr:col>14</xdr:col>
                    <xdr:colOff>971550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18" name="Button 31">
              <controlPr defaultSize="0" print="0" autoFill="0" autoPict="0" macro="[0]!Sheet1.ProcessGraphQueries">
                <anchor>
                  <from>
                    <xdr:col>12</xdr:col>
                    <xdr:colOff>314325</xdr:colOff>
                    <xdr:row>1</xdr:row>
                    <xdr:rowOff>323850</xdr:rowOff>
                  </from>
                  <to>
                    <xdr:col>14</xdr:col>
                    <xdr:colOff>752475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19" name="Button 32">
              <controlPr defaultSize="0" print="0" autoFill="0" autoPict="0" macro="[0]!Sheet1.ShowAllColumns">
                <anchor>
                  <from>
                    <xdr:col>12</xdr:col>
                    <xdr:colOff>314325</xdr:colOff>
                    <xdr:row>1</xdr:row>
                    <xdr:rowOff>609600</xdr:rowOff>
                  </from>
                  <to>
                    <xdr:col>14</xdr:col>
                    <xdr:colOff>752475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>Identity and Access Management</v>
      </c>
      <c r="J6" cm="1">
        <f t="array" ref="J6">IF($I6="","",SUMPRODUCT(--(Checklist!$B$10:$B$487=$I6)*--(Checklist!$I$10:$I$487=J$5)))</f>
        <v>0</v>
      </c>
      <c r="K6" cm="1">
        <f t="array" ref="K6">IF($I6="","",SUMPRODUCT(--(Checklist!$B$10:$B$487=$I6)*--(Checklist!$I$10:$I$487=K$5)))</f>
        <v>0</v>
      </c>
      <c r="L6" cm="1">
        <f t="array" ref="L6">IF($I6="","",SUMPRODUCT(--(Checklist!$B$10:$B$487=$I6)*--(Checklist!$I$10:$I$487=L$5)))</f>
        <v>0</v>
      </c>
      <c r="M6" cm="1">
        <f t="array" ref="M6">IF($I6="","",SUMPRODUCT(--(Checklist!$B$10:$B$487=$I6)*--(Checklist!$I$10:$I$487=M$5)))</f>
        <v>0</v>
      </c>
      <c r="N6" cm="1">
        <f t="array" ref="N6">IF($I6="","",SUMPRODUCT(--(Checklist!$B$10:$B$487=$I6)*--(Checklist!$I$10:$I$487=N$5)))</f>
        <v>0</v>
      </c>
      <c r="O6">
        <f>IF($I6="","",SUM(J6:N6))</f>
        <v>0</v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>Network Topology and Connectivity</v>
      </c>
      <c r="J7" cm="1">
        <f t="array" ref="J7">IF($I7="","",SUMPRODUCT(--(Checklist!$B$10:$B$487=$I7)*--(Checklist!$I$10:$I$487=J$5)))</f>
        <v>0</v>
      </c>
      <c r="K7" cm="1">
        <f t="array" ref="K7">IF($I7="","",SUMPRODUCT(--(Checklist!$B$10:$B$487=$I7)*--(Checklist!$I$10:$I$487=K$5)))</f>
        <v>0</v>
      </c>
      <c r="L7" cm="1">
        <f t="array" ref="L7">IF($I7="","",SUMPRODUCT(--(Checklist!$B$10:$B$487=$I7)*--(Checklist!$I$10:$I$487=L$5)))</f>
        <v>0</v>
      </c>
      <c r="M7" cm="1">
        <f t="array" ref="M7">IF($I7="","",SUMPRODUCT(--(Checklist!$B$10:$B$487=$I7)*--(Checklist!$I$10:$I$487=M$5)))</f>
        <v>0</v>
      </c>
      <c r="N7" cm="1">
        <f t="array" ref="N7">IF($I7="","",SUMPRODUCT(--(Checklist!$B$10:$B$487=$I7)*--(Checklist!$I$10:$I$487=N$5)))</f>
        <v>0</v>
      </c>
      <c r="O7">
        <f t="shared" ref="O7:O13" si="0">IF($I7="","",SUM(J7:N7))</f>
        <v>0</v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>BC and DR</v>
      </c>
      <c r="J8" cm="1">
        <f t="array" ref="J8">IF($I8="","",SUMPRODUCT(--(Checklist!$B$10:$B$487=$I8)*--(Checklist!$I$10:$I$487=J$5)))</f>
        <v>0</v>
      </c>
      <c r="K8" cm="1">
        <f t="array" ref="K8">IF($I8="","",SUMPRODUCT(--(Checklist!$B$10:$B$487=$I8)*--(Checklist!$I$10:$I$487=K$5)))</f>
        <v>0</v>
      </c>
      <c r="L8" cm="1">
        <f t="array" ref="L8">IF($I8="","",SUMPRODUCT(--(Checklist!$B$10:$B$487=$I8)*--(Checklist!$I$10:$I$487=L$5)))</f>
        <v>0</v>
      </c>
      <c r="M8" cm="1">
        <f t="array" ref="M8">IF($I8="","",SUMPRODUCT(--(Checklist!$B$10:$B$487=$I8)*--(Checklist!$I$10:$I$487=M$5)))</f>
        <v>0</v>
      </c>
      <c r="N8" cm="1">
        <f t="array" ref="N8">IF($I8="","",SUMPRODUCT(--(Checklist!$B$10:$B$487=$I8)*--(Checklist!$I$10:$I$487=N$5)))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>Governance and Security</v>
      </c>
      <c r="J9" cm="1">
        <f t="array" ref="J9">IF($I9="","",SUMPRODUCT(--(Checklist!$B$10:$B$487=$I9)*--(Checklist!$I$10:$I$487=J$5)))</f>
        <v>0</v>
      </c>
      <c r="K9" cm="1">
        <f t="array" ref="K9">IF($I9="","",SUMPRODUCT(--(Checklist!$B$10:$B$487=$I9)*--(Checklist!$I$10:$I$487=K$5)))</f>
        <v>0</v>
      </c>
      <c r="L9" cm="1">
        <f t="array" ref="L9">IF($I9="","",SUMPRODUCT(--(Checklist!$B$10:$B$487=$I9)*--(Checklist!$I$10:$I$487=L$5)))</f>
        <v>0</v>
      </c>
      <c r="M9" cm="1">
        <f t="array" ref="M9">IF($I9="","",SUMPRODUCT(--(Checklist!$B$10:$B$487=$I9)*--(Checklist!$I$10:$I$487=M$5)))</f>
        <v>0</v>
      </c>
      <c r="N9" cm="1">
        <f t="array" ref="N9">IF($I9="","",SUMPRODUCT(--(Checklist!$B$10:$B$487=$I9)*--(Checklist!$I$10:$I$487=N$5)))</f>
        <v>0</v>
      </c>
      <c r="O9">
        <f t="shared" si="0"/>
        <v>0</v>
      </c>
    </row>
    <row r="10" spans="1:15">
      <c r="I10" s="12" t="str">
        <f>IF(Values!$C6="","",Values!$C6)</f>
        <v>Cost Governance</v>
      </c>
      <c r="J10" cm="1">
        <f t="array" ref="J10">IF($I10="","",SUMPRODUCT(--(Checklist!$B$10:$B$487=$I10)*--(Checklist!$I$10:$I$487=J$5)))</f>
        <v>0</v>
      </c>
      <c r="K10" s="41" cm="1">
        <f t="array" ref="K10">IF($I10="","",SUMPRODUCT(--(Checklist!$B$10:$B$487=$I10)*--(Checklist!$I$10:$I$487=K$5)))</f>
        <v>0</v>
      </c>
      <c r="L10" cm="1">
        <f t="array" ref="L10">IF($I10="","",SUMPRODUCT(--(Checklist!$B$10:$B$487=$I10)*--(Checklist!$I$10:$I$487=L$5)))</f>
        <v>0</v>
      </c>
      <c r="M10" cm="1">
        <f t="array" ref="M10">IF($I10="","",SUMPRODUCT(--(Checklist!$B$10:$B$487=$I10)*--(Checklist!$I$10:$I$487=M$5)))</f>
        <v>0</v>
      </c>
      <c r="N10" cm="1">
        <f t="array" ref="N10">IF($I10="","",SUMPRODUCT(--(Checklist!$B$10:$B$487=$I10)*--(Checklist!$I$10:$I$487=N$5)))</f>
        <v>0</v>
      </c>
      <c r="O10">
        <f t="shared" si="0"/>
        <v>0</v>
      </c>
    </row>
    <row r="11" spans="1:15">
      <c r="I11" s="12" t="str">
        <f>IF(Values!$C7="","",Values!$C7)</f>
        <v>Operations</v>
      </c>
      <c r="J11" cm="1">
        <f t="array" ref="J11">IF($I11="","",SUMPRODUCT(--(Checklist!$B$10:$B$487=$I11)*--(Checklist!$I$10:$I$487=J$5)))</f>
        <v>0</v>
      </c>
      <c r="K11" s="41" cm="1">
        <f t="array" ref="K11">IF($I11="","",SUMPRODUCT(--(Checklist!$B$10:$B$487=$I11)*--(Checklist!$I$10:$I$487=K$5)))</f>
        <v>0</v>
      </c>
      <c r="L11" cm="1">
        <f t="array" ref="L11">IF($I11="","",SUMPRODUCT(--(Checklist!$B$10:$B$487=$I11)*--(Checklist!$I$10:$I$487=L$5)))</f>
        <v>0</v>
      </c>
      <c r="M11" cm="1">
        <f t="array" ref="M11">IF($I11="","",SUMPRODUCT(--(Checklist!$B$10:$B$487=$I11)*--(Checklist!$I$10:$I$487=M$5)))</f>
        <v>0</v>
      </c>
      <c r="N11" cm="1">
        <f t="array" ref="N11">IF($I11="","",SUMPRODUCT(--(Checklist!$B$10:$B$487=$I11)*--(Checklist!$I$10:$I$487=N$5)))</f>
        <v>0</v>
      </c>
      <c r="O11">
        <f t="shared" si="0"/>
        <v>0</v>
      </c>
    </row>
    <row r="12" spans="1:15">
      <c r="I12" s="12" t="str">
        <f>IF(Values!$C8="","",Values!$C8)</f>
        <v>Application Deployment</v>
      </c>
      <c r="J12" cm="1">
        <f t="array" ref="J12">IF($I12="","",SUMPRODUCT(--(Checklist!$B$10:$B$487=$I12)*--(Checklist!$I$10:$I$487=J$5)))</f>
        <v>0</v>
      </c>
      <c r="K12" s="41" cm="1">
        <f t="array" ref="K12">IF($I12="","",SUMPRODUCT(--(Checklist!$B$10:$B$487=$I12)*--(Checklist!$I$10:$I$487=K$5)))</f>
        <v>0</v>
      </c>
      <c r="L12" cm="1">
        <f t="array" ref="L12">IF($I12="","",SUMPRODUCT(--(Checklist!$B$10:$B$487=$I12)*--(Checklist!$I$10:$I$487=L$5)))</f>
        <v>0</v>
      </c>
      <c r="M12" cm="1">
        <f t="array" ref="M12">IF($I12="","",SUMPRODUCT(--(Checklist!$B$10:$B$487=$I12)*--(Checklist!$I$10:$I$487=M$5)))</f>
        <v>0</v>
      </c>
      <c r="N12" cm="1">
        <f t="array" ref="N12">IF($I12="","",SUMPRODUCT(--(Checklist!$B$10:$B$487=$I12)*--(Checklist!$I$10:$I$487=N$5)))</f>
        <v>0</v>
      </c>
      <c r="O12">
        <f t="shared" si="0"/>
        <v>0</v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>Identity and Access Management</v>
      </c>
      <c r="Q21" cm="1">
        <f t="array" ref="Q21">IF($P21="","",SUMPRODUCT(--(Checklist!$B$10:$B$487=$P21)*--(Checklist!$I$10:$I$487=Q$20)))</f>
        <v>0</v>
      </c>
      <c r="R21" cm="1">
        <f t="array" ref="R21">IF($P21="","",SUMPRODUCT(--(Checklist!$B$10:$B$487=$P21)*--(Checklist!$I$10:$I$487=R$20)))</f>
        <v>0</v>
      </c>
      <c r="S21" cm="1">
        <f t="array" ref="S21">IF($P21="","",SUMPRODUCT(--(Checklist!$B$10:$B$487=$P21)*(--(Checklist!$I$10:$I$487=Values!$B$4)+--(Checklist!$I$10:$I$487=Values!$B$5)+--(Checklist!$I$10:$I$487=Values!$B$6))))</f>
        <v>0</v>
      </c>
      <c r="T21">
        <f>IF($P21="","",SUM(Q21:S21))</f>
        <v>0</v>
      </c>
      <c r="U21" s="14">
        <f>IF($P21="","",IF(T21=0,0,S21/T21))</f>
        <v>0</v>
      </c>
    </row>
    <row r="22" spans="11:21">
      <c r="K22" s="41"/>
      <c r="P22" s="12" t="str">
        <f>IF(Values!$C3="","",Values!$C3)</f>
        <v>Network Topology and Connectivity</v>
      </c>
      <c r="Q22" cm="1">
        <f t="array" ref="Q22">IF($P22="","",SUMPRODUCT(--(Checklist!$B$10:$B$487=$P22)*--(Checklist!$I$10:$I$487=Q$20)))</f>
        <v>0</v>
      </c>
      <c r="R22" cm="1">
        <f t="array" ref="R22">IF($P22="","",SUMPRODUCT(--(Checklist!$B$10:$B$487=$P22)*--(Checklist!$I$10:$I$487=R$20)))</f>
        <v>0</v>
      </c>
      <c r="S22" cm="1">
        <f t="array" ref="S22">IF($P22="","",SUMPRODUCT(--(Checklist!$B$10:$B$487=$P22)*(--(Checklist!$I$10:$I$487=Values!$B$4)+--(Checklist!$I$10:$I$487=Values!$B$5)+--(Checklist!$I$10:$I$487=Values!$B$6))))</f>
        <v>0</v>
      </c>
      <c r="T22">
        <f t="shared" ref="T22:T27" si="3">IF($P22="","",SUM(Q22:S22))</f>
        <v>0</v>
      </c>
      <c r="U22" s="14">
        <f t="shared" ref="U22:U28" si="4">IF($P22="","",IF(T22=0,0,S22/T22))</f>
        <v>0</v>
      </c>
    </row>
    <row r="23" spans="11:21">
      <c r="K23" s="41"/>
      <c r="P23" s="12" t="str">
        <f>IF(Values!$C4="","",Values!$C4)</f>
        <v>BC and DR</v>
      </c>
      <c r="Q23" cm="1">
        <f t="array" ref="Q23">IF($P23="","",SUMPRODUCT(--(Checklist!$B$10:$B$487=$P23)*--(Checklist!$I$10:$I$487=Q$20)))</f>
        <v>0</v>
      </c>
      <c r="R23" cm="1">
        <f t="array" ref="R23">IF($P23="","",SUMPRODUCT(--(Checklist!$B$10:$B$487=$P23)*--(Checklist!$I$10:$I$487=R$20)))</f>
        <v>0</v>
      </c>
      <c r="S23" cm="1">
        <f t="array" ref="S23">IF($P23="","",SUMPRODUCT(--(Checklist!$B$10:$B$487=$P23)*(--(Checklist!$I$10:$I$487=Values!$B$4)+--(Checklist!$I$10:$I$487=Values!$B$5)+--(Checklist!$I$10:$I$487=Values!$B$6))))</f>
        <v>0</v>
      </c>
      <c r="T23">
        <f t="shared" si="3"/>
        <v>0</v>
      </c>
      <c r="U23" s="14">
        <f t="shared" si="4"/>
        <v>0</v>
      </c>
    </row>
    <row r="24" spans="11:21">
      <c r="K24" s="41"/>
      <c r="P24" s="12" t="str">
        <f>IF(Values!$C5="","",Values!$C5)</f>
        <v>Governance and Security</v>
      </c>
      <c r="Q24" cm="1">
        <f t="array" ref="Q24">IF($P24="","",SUMPRODUCT(--(Checklist!$B$10:$B$487=$P24)*--(Checklist!$I$10:$I$487=Q$20)))</f>
        <v>0</v>
      </c>
      <c r="R24" cm="1">
        <f t="array" ref="R24">IF($P24="","",SUMPRODUCT(--(Checklist!$B$10:$B$487=$P24)*--(Checklist!$I$10:$I$487=R$20)))</f>
        <v>0</v>
      </c>
      <c r="S24" cm="1">
        <f t="array" ref="S24">IF($P24="","",SUMPRODUCT(--(Checklist!$B$10:$B$487=$P24)*(--(Checklist!$I$10:$I$487=Values!$B$4)+--(Checklist!$I$10:$I$487=Values!$B$5)+--(Checklist!$I$10:$I$487=Values!$B$6))))</f>
        <v>0</v>
      </c>
      <c r="T24">
        <f t="shared" si="3"/>
        <v>0</v>
      </c>
      <c r="U24" s="14">
        <f t="shared" si="4"/>
        <v>0</v>
      </c>
    </row>
    <row r="25" spans="11:21">
      <c r="K25" s="41"/>
      <c r="P25" s="12" t="str">
        <f>IF(Values!$C6="","",Values!$C6)</f>
        <v>Cost Governance</v>
      </c>
      <c r="Q25" cm="1">
        <f t="array" ref="Q25">IF($P25="","",SUMPRODUCT(--(Checklist!$B$10:$B$487=$P25)*--(Checklist!$I$10:$I$487=Q$20)))</f>
        <v>0</v>
      </c>
      <c r="R25" cm="1">
        <f t="array" ref="R25">IF($P25="","",SUMPRODUCT(--(Checklist!$B$10:$B$487=$P25)*--(Checklist!$I$10:$I$487=R$20)))</f>
        <v>0</v>
      </c>
      <c r="S25" cm="1">
        <f t="array" ref="S25">IF($P25="","",SUMPRODUCT(--(Checklist!$B$10:$B$487=$P25)*(--(Checklist!$I$10:$I$487=Values!$B$4)+--(Checklist!$I$10:$I$487=Values!$B$5)+--(Checklist!$I$10:$I$487=Values!$B$6))))</f>
        <v>0</v>
      </c>
      <c r="T25">
        <f t="shared" si="3"/>
        <v>0</v>
      </c>
      <c r="U25" s="14">
        <f t="shared" si="4"/>
        <v>0</v>
      </c>
    </row>
    <row r="26" spans="11:21">
      <c r="K26" s="41"/>
      <c r="P26" s="12" t="str">
        <f>IF(Values!$C7="","",Values!$C7)</f>
        <v>Operations</v>
      </c>
      <c r="Q26" cm="1">
        <f t="array" ref="Q26">IF($P26="","",SUMPRODUCT(--(Checklist!$B$10:$B$487=$P26)*--(Checklist!$I$10:$I$487=Q$20)))</f>
        <v>0</v>
      </c>
      <c r="R26" cm="1">
        <f t="array" ref="R26">IF($P26="","",SUMPRODUCT(--(Checklist!$B$10:$B$487=$P26)*--(Checklist!$I$10:$I$487=R$20)))</f>
        <v>0</v>
      </c>
      <c r="S26" cm="1">
        <f t="array" ref="S26">IF($P26="","",SUMPRODUCT(--(Checklist!$B$10:$B$487=$P26)*(--(Checklist!$I$10:$I$487=Values!$B$4)+--(Checklist!$I$10:$I$487=Values!$B$5)+--(Checklist!$I$10:$I$487=Values!$B$6))))</f>
        <v>0</v>
      </c>
      <c r="T26">
        <f t="shared" si="3"/>
        <v>0</v>
      </c>
      <c r="U26" s="14">
        <f t="shared" si="4"/>
        <v>0</v>
      </c>
    </row>
    <row r="27" spans="11:21">
      <c r="K27" s="41"/>
      <c r="P27" s="12" t="str">
        <f>IF(Values!$C8="","",Values!$C8)</f>
        <v>Application Deployment</v>
      </c>
      <c r="Q27" cm="1">
        <f t="array" ref="Q27">IF($P27="","",SUMPRODUCT(--(Checklist!$B$10:$B$487=$P27)*--(Checklist!$I$10:$I$487=Q$20)))</f>
        <v>0</v>
      </c>
      <c r="R27" cm="1">
        <f t="array" ref="R27">IF($P27="","",SUMPRODUCT(--(Checklist!$B$10:$B$487=$P27)*--(Checklist!$I$10:$I$487=R$20)))</f>
        <v>0</v>
      </c>
      <c r="S27" cm="1">
        <f t="array" ref="S27">IF($P27="","",SUMPRODUCT(--(Checklist!$B$10:$B$487=$P27)*(--(Checklist!$I$10:$I$487=Values!$B$4)+--(Checklist!$I$10:$I$487=Values!$B$5)+--(Checklist!$I$10:$I$487=Values!$B$6))))</f>
        <v>0</v>
      </c>
      <c r="T27">
        <f t="shared" si="3"/>
        <v>0</v>
      </c>
      <c r="U27" s="14">
        <f t="shared" si="4"/>
        <v>0</v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163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164</v>
      </c>
      <c r="H50" s="12" t="s">
        <v>114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160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161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162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157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9"/>
  <sheetViews>
    <sheetView topLeftCell="E1" workbookViewId="0">
      <selection activeCell="F19" sqref="F19"/>
    </sheetView>
  </sheetViews>
  <sheetFormatPr defaultRowHeight="15"/>
  <cols>
    <col min="1" max="1" width="8.42578125" bestFit="1" customWidth="1"/>
    <col min="2" max="2" width="12.42578125" bestFit="1" customWidth="1"/>
    <col min="3" max="3" width="8.85546875" bestFit="1" customWidth="1"/>
    <col min="4" max="4" width="62.5703125" bestFit="1" customWidth="1"/>
    <col min="5" max="5" width="78" bestFit="1" customWidth="1"/>
    <col min="6" max="6" width="20.85546875" bestFit="1" customWidth="1"/>
    <col min="7" max="7" width="20.5703125" bestFit="1" customWidth="1"/>
    <col min="8" max="8" width="9.5703125" bestFit="1" customWidth="1"/>
    <col min="9" max="9" width="19.42578125" bestFit="1" customWidth="1"/>
    <col min="10" max="10" width="75.42578125" bestFit="1" customWidth="1"/>
    <col min="11" max="11" width="18.42578125" bestFit="1" customWidth="1"/>
    <col min="12" max="12" width="12.42578125" bestFit="1" customWidth="1"/>
    <col min="13" max="13" width="6.7109375" bestFit="1" customWidth="1"/>
    <col min="14" max="14" width="22.42578125" bestFit="1" customWidth="1"/>
    <col min="15" max="15" width="12.85546875" bestFit="1" customWidth="1"/>
    <col min="16" max="16" width="14.140625" bestFit="1" customWidth="1"/>
    <col min="17" max="17" width="8.28515625" bestFit="1" customWidth="1"/>
    <col min="18" max="18" width="20.5703125" bestFit="1" customWidth="1"/>
    <col min="19" max="19" width="7.28515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166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84</v>
      </c>
      <c r="N1" s="12" t="s">
        <v>106</v>
      </c>
      <c r="O1" s="12" t="s">
        <v>109</v>
      </c>
      <c r="P1" s="12" t="s">
        <v>108</v>
      </c>
      <c r="Q1" s="12" t="s">
        <v>114</v>
      </c>
      <c r="R1" s="12" t="s">
        <v>170</v>
      </c>
      <c r="S1" s="12" t="s">
        <v>178</v>
      </c>
    </row>
    <row r="2" spans="1:19">
      <c r="A2" t="s">
        <v>4</v>
      </c>
      <c r="B2" s="10" t="s">
        <v>5</v>
      </c>
      <c r="C2" t="s">
        <v>213</v>
      </c>
      <c r="D2" t="s">
        <v>176</v>
      </c>
      <c r="E2" t="s">
        <v>35</v>
      </c>
      <c r="F2" t="str" cm="1">
        <f t="array" ref="F2:H19">_xlfn._xlws.FILTER(ChecklistIndex!B1:D52,ChecklistIndex!A1:A52=Checklist!G5)</f>
        <v>Azure Landing Zone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85</v>
      </c>
      <c r="N2" t="s">
        <v>104</v>
      </c>
      <c r="O2" t="str">
        <f>IF(Checklist!F4=Values!M3,"no","yes")</f>
        <v>yes</v>
      </c>
      <c r="P2" t="s">
        <v>107</v>
      </c>
      <c r="Q2" t="e" cm="1" vm="1">
        <f t="array" ref="Q2">_xlfn._xlws.SORT(_xlfn.UNIQUE(_xlfn._xlws.FILTER(Checklist!$E$10:$E$2513, Checklist!$E$10:$E$2513&lt;&gt;"")))</f>
        <v>#VALUE!</v>
      </c>
      <c r="R2" t="s">
        <v>169</v>
      </c>
      <c r="S2" t="s">
        <v>179</v>
      </c>
    </row>
    <row r="3" spans="1:19">
      <c r="A3" t="s">
        <v>7</v>
      </c>
      <c r="B3" s="7" t="s">
        <v>8</v>
      </c>
      <c r="C3" t="s">
        <v>214</v>
      </c>
      <c r="F3" t="str">
        <v>AI Landing Zone</v>
      </c>
      <c r="G3" t="str">
        <v>ai_lz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86</v>
      </c>
      <c r="N3" t="s">
        <v>110</v>
      </c>
      <c r="O3" t="s">
        <v>105</v>
      </c>
      <c r="P3" t="s">
        <v>107</v>
      </c>
      <c r="R3" t="s">
        <v>172</v>
      </c>
      <c r="S3" t="s">
        <v>180</v>
      </c>
    </row>
    <row r="4" spans="1:19">
      <c r="A4" t="s">
        <v>6</v>
      </c>
      <c r="B4" s="8" t="s">
        <v>9</v>
      </c>
      <c r="C4" t="s">
        <v>216</v>
      </c>
      <c r="F4" t="str">
        <v>WAF</v>
      </c>
      <c r="G4" t="str">
        <v>waf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171</v>
      </c>
      <c r="S4" t="s">
        <v>159</v>
      </c>
    </row>
    <row r="5" spans="1:19">
      <c r="B5" s="8" t="s">
        <v>62</v>
      </c>
      <c r="C5" t="s">
        <v>218</v>
      </c>
      <c r="F5" t="str">
        <v>AKS</v>
      </c>
      <c r="G5" t="str">
        <v>aks</v>
      </c>
      <c r="H5" t="str">
        <v>checklists</v>
      </c>
      <c r="I5" t="s">
        <v>33</v>
      </c>
      <c r="J5" t="s">
        <v>113</v>
      </c>
      <c r="K5" t="s">
        <v>51</v>
      </c>
      <c r="L5" t="s">
        <v>72</v>
      </c>
      <c r="R5" t="s">
        <v>184</v>
      </c>
      <c r="S5" t="s">
        <v>79</v>
      </c>
    </row>
    <row r="6" spans="1:19">
      <c r="B6" s="9" t="s">
        <v>10</v>
      </c>
      <c r="C6" t="s">
        <v>217</v>
      </c>
      <c r="F6" t="str">
        <v>AVD</v>
      </c>
      <c r="G6" t="str">
        <v>avd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206</v>
      </c>
    </row>
    <row r="7" spans="1:19">
      <c r="C7" t="s">
        <v>72</v>
      </c>
      <c r="F7" t="str">
        <v>AVS Design</v>
      </c>
      <c r="G7" t="str">
        <v>avs</v>
      </c>
      <c r="H7" t="str">
        <v>checklists</v>
      </c>
      <c r="I7" t="s">
        <v>99</v>
      </c>
      <c r="K7" t="s">
        <v>98</v>
      </c>
    </row>
    <row r="8" spans="1:19">
      <c r="C8" t="s">
        <v>215</v>
      </c>
      <c r="F8" t="str">
        <v>AVS Implementation</v>
      </c>
      <c r="G8" t="str">
        <v>avs_implementation</v>
      </c>
      <c r="H8" t="str">
        <v>checklists</v>
      </c>
    </row>
    <row r="9" spans="1:19">
      <c r="F9" t="str">
        <v>Multitenancy</v>
      </c>
      <c r="G9" t="str">
        <v>multitenancy</v>
      </c>
      <c r="H9" t="str">
        <v>checklists</v>
      </c>
    </row>
    <row r="10" spans="1:19">
      <c r="F10" t="str">
        <v>Network App Delivery</v>
      </c>
      <c r="G10" t="str">
        <v>network_appdelivery</v>
      </c>
      <c r="H10" t="str">
        <v>checklists</v>
      </c>
    </row>
    <row r="11" spans="1:19">
      <c r="F11" t="str">
        <v>SAP</v>
      </c>
      <c r="G11" t="str">
        <v>sap</v>
      </c>
      <c r="H11" t="str">
        <v>checklists</v>
      </c>
    </row>
    <row r="12" spans="1:19">
      <c r="F12" t="str">
        <v>API Management</v>
      </c>
      <c r="G12" t="str">
        <v>apim</v>
      </c>
      <c r="H12" t="str">
        <v>checklists</v>
      </c>
    </row>
    <row r="13" spans="1:19">
      <c r="F13" t="str">
        <v>Cost Optimization</v>
      </c>
      <c r="G13" t="str">
        <v>cost</v>
      </c>
      <c r="H13" t="str">
        <v>checklists</v>
      </c>
    </row>
    <row r="14" spans="1:19">
      <c r="F14" t="str">
        <v>ARO</v>
      </c>
      <c r="G14" t="str">
        <v>aro</v>
      </c>
      <c r="H14" t="str">
        <v>checklists</v>
      </c>
    </row>
    <row r="15" spans="1:19">
      <c r="F15" t="str">
        <v>Spring Apps</v>
      </c>
      <c r="G15" t="str">
        <v>azurespringapps</v>
      </c>
      <c r="H15" t="str">
        <v>checklists</v>
      </c>
    </row>
    <row r="16" spans="1:19">
      <c r="F16" t="str">
        <v>Front Door</v>
      </c>
      <c r="G16" t="str">
        <v>afd</v>
      </c>
      <c r="H16" t="str">
        <v>checklists</v>
      </c>
    </row>
    <row r="17" spans="6:8">
      <c r="F17" t="str">
        <v>Azure Devops</v>
      </c>
      <c r="G17" t="str">
        <v>ado</v>
      </c>
      <c r="H17" t="str">
        <v>checklists</v>
      </c>
    </row>
    <row r="18" spans="6:8">
      <c r="F18" t="str">
        <v>Azure Arc</v>
      </c>
      <c r="G18" t="str">
        <v>azure_arc</v>
      </c>
      <c r="H18" t="str">
        <v>checklists</v>
      </c>
    </row>
    <row r="19" spans="6:8">
      <c r="F19" t="str">
        <v>SQL Migration</v>
      </c>
      <c r="G19" t="str">
        <v>sql</v>
      </c>
      <c r="H19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4"/>
  <sheetViews>
    <sheetView workbookViewId="0">
      <selection activeCell="H2" sqref="H2"/>
    </sheetView>
  </sheetViews>
  <sheetFormatPr defaultRowHeight="15"/>
  <cols>
    <col min="1" max="1" width="20.5703125" bestFit="1" customWidth="1"/>
    <col min="2" max="2" width="20.85546875" bestFit="1" customWidth="1"/>
    <col min="3" max="3" width="25.7109375" bestFit="1" customWidth="1"/>
    <col min="4" max="4" width="13.28515625" bestFit="1" customWidth="1"/>
    <col min="5" max="5" width="7.28515625" bestFit="1" customWidth="1"/>
  </cols>
  <sheetData>
    <row r="1" spans="1:5">
      <c r="A1" s="12" t="s">
        <v>168</v>
      </c>
      <c r="B1" s="12" t="s">
        <v>143</v>
      </c>
      <c r="C1" s="12" t="s">
        <v>181</v>
      </c>
      <c r="D1" s="12" t="s">
        <v>166</v>
      </c>
      <c r="E1" s="12" t="s">
        <v>177</v>
      </c>
    </row>
    <row r="2" spans="1:5">
      <c r="A2" t="s">
        <v>169</v>
      </c>
      <c r="B2" t="s">
        <v>210</v>
      </c>
      <c r="C2" t="s">
        <v>79</v>
      </c>
      <c r="D2" t="s">
        <v>167</v>
      </c>
      <c r="E2" t="s">
        <v>79</v>
      </c>
    </row>
    <row r="3" spans="1:5">
      <c r="A3" t="s">
        <v>169</v>
      </c>
      <c r="B3" t="s">
        <v>211</v>
      </c>
      <c r="C3" t="s">
        <v>212</v>
      </c>
      <c r="D3" t="s">
        <v>167</v>
      </c>
      <c r="E3" t="s">
        <v>180</v>
      </c>
    </row>
    <row r="4" spans="1:5">
      <c r="A4" t="s">
        <v>169</v>
      </c>
      <c r="B4" t="s">
        <v>158</v>
      </c>
      <c r="C4" t="s">
        <v>159</v>
      </c>
      <c r="D4" t="s">
        <v>167</v>
      </c>
      <c r="E4" t="s">
        <v>159</v>
      </c>
    </row>
    <row r="5" spans="1:5">
      <c r="A5" t="s">
        <v>169</v>
      </c>
      <c r="B5" t="s">
        <v>27</v>
      </c>
      <c r="C5" t="s">
        <v>44</v>
      </c>
      <c r="D5" t="s">
        <v>167</v>
      </c>
      <c r="E5" t="s">
        <v>180</v>
      </c>
    </row>
    <row r="6" spans="1:5">
      <c r="A6" t="s">
        <v>169</v>
      </c>
      <c r="B6" t="s">
        <v>28</v>
      </c>
      <c r="C6" t="s">
        <v>45</v>
      </c>
      <c r="D6" t="s">
        <v>167</v>
      </c>
      <c r="E6" t="s">
        <v>180</v>
      </c>
    </row>
    <row r="7" spans="1:5">
      <c r="A7" t="s">
        <v>169</v>
      </c>
      <c r="B7" t="s">
        <v>93</v>
      </c>
      <c r="C7" t="s">
        <v>46</v>
      </c>
      <c r="D7" t="s">
        <v>167</v>
      </c>
      <c r="E7" t="s">
        <v>180</v>
      </c>
    </row>
    <row r="8" spans="1:5">
      <c r="A8" t="s">
        <v>169</v>
      </c>
      <c r="B8" t="s">
        <v>92</v>
      </c>
      <c r="C8" t="s">
        <v>91</v>
      </c>
      <c r="D8" t="s">
        <v>167</v>
      </c>
      <c r="E8" t="s">
        <v>180</v>
      </c>
    </row>
    <row r="9" spans="1:5">
      <c r="A9" t="s">
        <v>169</v>
      </c>
      <c r="B9" t="s">
        <v>42</v>
      </c>
      <c r="C9" t="s">
        <v>53</v>
      </c>
      <c r="D9" t="s">
        <v>167</v>
      </c>
      <c r="E9" t="s">
        <v>180</v>
      </c>
    </row>
    <row r="10" spans="1:5">
      <c r="A10" t="s">
        <v>169</v>
      </c>
      <c r="B10" t="s">
        <v>94</v>
      </c>
      <c r="C10" t="s">
        <v>95</v>
      </c>
      <c r="D10" t="s">
        <v>167</v>
      </c>
      <c r="E10" t="s">
        <v>180</v>
      </c>
    </row>
    <row r="11" spans="1:5">
      <c r="A11" t="s">
        <v>169</v>
      </c>
      <c r="B11" t="s">
        <v>67</v>
      </c>
      <c r="C11" t="s">
        <v>68</v>
      </c>
      <c r="D11" t="s">
        <v>167</v>
      </c>
      <c r="E11" t="s">
        <v>180</v>
      </c>
    </row>
    <row r="12" spans="1:5">
      <c r="A12" t="s">
        <v>169</v>
      </c>
      <c r="B12" t="s">
        <v>70</v>
      </c>
      <c r="C12" t="s">
        <v>69</v>
      </c>
      <c r="D12" t="s">
        <v>167</v>
      </c>
      <c r="E12" t="s">
        <v>180</v>
      </c>
    </row>
    <row r="13" spans="1:5">
      <c r="A13" t="s">
        <v>169</v>
      </c>
      <c r="B13" t="s">
        <v>89</v>
      </c>
      <c r="C13" t="s">
        <v>90</v>
      </c>
      <c r="D13" t="s">
        <v>167</v>
      </c>
      <c r="E13" t="s">
        <v>180</v>
      </c>
    </row>
    <row r="14" spans="1:5">
      <c r="A14" t="s">
        <v>169</v>
      </c>
      <c r="B14" t="s">
        <v>87</v>
      </c>
      <c r="C14" t="s">
        <v>88</v>
      </c>
      <c r="D14" t="s">
        <v>167</v>
      </c>
      <c r="E14" t="s">
        <v>180</v>
      </c>
    </row>
    <row r="15" spans="1:5">
      <c r="A15" t="s">
        <v>169</v>
      </c>
      <c r="B15" t="s">
        <v>96</v>
      </c>
      <c r="C15" t="s">
        <v>97</v>
      </c>
      <c r="D15" t="s">
        <v>167</v>
      </c>
      <c r="E15" t="s">
        <v>180</v>
      </c>
    </row>
    <row r="16" spans="1:5">
      <c r="A16" t="s">
        <v>169</v>
      </c>
      <c r="B16" t="s">
        <v>196</v>
      </c>
      <c r="C16" t="s">
        <v>209</v>
      </c>
      <c r="D16" t="s">
        <v>167</v>
      </c>
      <c r="E16" t="s">
        <v>180</v>
      </c>
    </row>
    <row r="17" spans="1:5">
      <c r="A17" t="s">
        <v>169</v>
      </c>
      <c r="B17" t="s">
        <v>100</v>
      </c>
      <c r="C17" t="s">
        <v>101</v>
      </c>
      <c r="D17" t="s">
        <v>167</v>
      </c>
      <c r="E17" t="s">
        <v>180</v>
      </c>
    </row>
    <row r="18" spans="1:5">
      <c r="A18" t="s">
        <v>169</v>
      </c>
      <c r="B18" t="s">
        <v>76</v>
      </c>
      <c r="C18" t="s">
        <v>77</v>
      </c>
      <c r="D18" t="s">
        <v>167</v>
      </c>
      <c r="E18" t="s">
        <v>180</v>
      </c>
    </row>
    <row r="19" spans="1:5">
      <c r="A19" t="s">
        <v>169</v>
      </c>
      <c r="B19" t="s">
        <v>102</v>
      </c>
      <c r="C19" t="s">
        <v>103</v>
      </c>
      <c r="D19" t="s">
        <v>167</v>
      </c>
      <c r="E19" t="s">
        <v>180</v>
      </c>
    </row>
    <row r="20" spans="1:5">
      <c r="A20" t="s">
        <v>171</v>
      </c>
      <c r="B20" t="s">
        <v>27</v>
      </c>
      <c r="C20" t="s">
        <v>165</v>
      </c>
      <c r="D20" t="s">
        <v>174</v>
      </c>
      <c r="E20" t="s">
        <v>180</v>
      </c>
    </row>
    <row r="21" spans="1:5">
      <c r="A21" t="s">
        <v>172</v>
      </c>
      <c r="B21" t="s">
        <v>190</v>
      </c>
      <c r="C21" t="s">
        <v>191</v>
      </c>
      <c r="D21" t="s">
        <v>174</v>
      </c>
      <c r="E21" t="s">
        <v>159</v>
      </c>
    </row>
    <row r="22" spans="1:5">
      <c r="A22" t="s">
        <v>172</v>
      </c>
      <c r="B22" t="s">
        <v>27</v>
      </c>
      <c r="C22" t="s">
        <v>173</v>
      </c>
      <c r="D22" t="s">
        <v>174</v>
      </c>
      <c r="E22" t="s">
        <v>159</v>
      </c>
    </row>
    <row r="23" spans="1:5">
      <c r="A23" t="s">
        <v>172</v>
      </c>
      <c r="B23" t="s">
        <v>182</v>
      </c>
      <c r="C23" t="s">
        <v>183</v>
      </c>
      <c r="D23" t="s">
        <v>174</v>
      </c>
      <c r="E23" t="s">
        <v>159</v>
      </c>
    </row>
    <row r="24" spans="1:5">
      <c r="A24" t="s">
        <v>172</v>
      </c>
      <c r="B24" t="s">
        <v>186</v>
      </c>
      <c r="C24" t="s">
        <v>188</v>
      </c>
      <c r="D24" t="s">
        <v>174</v>
      </c>
      <c r="E24" t="s">
        <v>159</v>
      </c>
    </row>
    <row r="25" spans="1:5">
      <c r="A25" t="s">
        <v>172</v>
      </c>
      <c r="B25" t="s">
        <v>187</v>
      </c>
      <c r="C25" t="s">
        <v>189</v>
      </c>
      <c r="D25" t="s">
        <v>174</v>
      </c>
      <c r="E25" t="s">
        <v>159</v>
      </c>
    </row>
    <row r="26" spans="1:5">
      <c r="A26" t="s">
        <v>172</v>
      </c>
      <c r="B26" t="s">
        <v>192</v>
      </c>
      <c r="C26" t="s">
        <v>193</v>
      </c>
      <c r="D26" t="s">
        <v>174</v>
      </c>
      <c r="E26" t="s">
        <v>159</v>
      </c>
    </row>
    <row r="27" spans="1:5">
      <c r="A27" t="s">
        <v>172</v>
      </c>
      <c r="B27" t="s">
        <v>194</v>
      </c>
      <c r="C27" t="s">
        <v>195</v>
      </c>
      <c r="D27" t="s">
        <v>174</v>
      </c>
      <c r="E27" t="s">
        <v>159</v>
      </c>
    </row>
    <row r="28" spans="1:5">
      <c r="A28" t="s">
        <v>172</v>
      </c>
      <c r="B28" t="s">
        <v>200</v>
      </c>
      <c r="C28" t="s">
        <v>201</v>
      </c>
      <c r="D28" t="s">
        <v>174</v>
      </c>
      <c r="E28" t="s">
        <v>159</v>
      </c>
    </row>
    <row r="29" spans="1:5">
      <c r="A29" t="s">
        <v>172</v>
      </c>
      <c r="B29" t="s">
        <v>204</v>
      </c>
      <c r="C29" t="s">
        <v>205</v>
      </c>
      <c r="D29" t="s">
        <v>174</v>
      </c>
      <c r="E29" t="s">
        <v>159</v>
      </c>
    </row>
    <row r="30" spans="1:5">
      <c r="A30" t="s">
        <v>172</v>
      </c>
      <c r="B30" t="s">
        <v>196</v>
      </c>
      <c r="C30" t="s">
        <v>197</v>
      </c>
      <c r="D30" t="s">
        <v>174</v>
      </c>
      <c r="E30" t="s">
        <v>159</v>
      </c>
    </row>
    <row r="31" spans="1:5">
      <c r="A31" t="s">
        <v>172</v>
      </c>
      <c r="B31" t="s">
        <v>198</v>
      </c>
      <c r="C31" t="s">
        <v>199</v>
      </c>
      <c r="D31" t="s">
        <v>174</v>
      </c>
      <c r="E31" t="s">
        <v>159</v>
      </c>
    </row>
    <row r="32" spans="1:5">
      <c r="A32" t="s">
        <v>172</v>
      </c>
      <c r="B32" t="s">
        <v>202</v>
      </c>
      <c r="C32" t="s">
        <v>203</v>
      </c>
      <c r="D32" t="s">
        <v>174</v>
      </c>
      <c r="E32" t="s">
        <v>159</v>
      </c>
    </row>
    <row r="33" spans="1:5">
      <c r="A33" t="s">
        <v>184</v>
      </c>
      <c r="B33" t="s">
        <v>184</v>
      </c>
      <c r="C33" t="s">
        <v>185</v>
      </c>
      <c r="D33" t="s">
        <v>174</v>
      </c>
      <c r="E33" t="s">
        <v>180</v>
      </c>
    </row>
    <row r="34" spans="1:5">
      <c r="A34" t="s">
        <v>206</v>
      </c>
      <c r="B34" t="s">
        <v>208</v>
      </c>
      <c r="C34" t="s">
        <v>207</v>
      </c>
      <c r="D34" t="s">
        <v>174</v>
      </c>
      <c r="E34" t="s">
        <v>159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E2:E32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120</v>
      </c>
      <c r="C2" s="47"/>
    </row>
    <row r="3" spans="1:9">
      <c r="A3" t="s">
        <v>153</v>
      </c>
    </row>
    <row r="4" spans="1:9">
      <c r="A4" t="s">
        <v>154</v>
      </c>
    </row>
    <row r="5" spans="1:9">
      <c r="A5" t="s">
        <v>155</v>
      </c>
      <c r="C5">
        <v>100</v>
      </c>
    </row>
    <row r="7" spans="1:9">
      <c r="A7" s="12" t="s">
        <v>121</v>
      </c>
      <c r="B7" s="12" t="s">
        <v>122</v>
      </c>
      <c r="C7" s="12" t="s">
        <v>123</v>
      </c>
      <c r="D7" s="12" t="s">
        <v>124</v>
      </c>
      <c r="E7" s="12" t="s">
        <v>125</v>
      </c>
      <c r="F7" s="12" t="s">
        <v>141</v>
      </c>
      <c r="G7" s="12" t="s">
        <v>142</v>
      </c>
      <c r="H7" s="12" t="s">
        <v>143</v>
      </c>
      <c r="I7" s="12" t="s">
        <v>126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118</v>
      </c>
      <c r="B1240" t="s">
        <v>119</v>
      </c>
    </row>
    <row r="1241" spans="1:9">
      <c r="A1241" t="s">
        <v>118</v>
      </c>
      <c r="B1241" t="s">
        <v>119</v>
      </c>
      <c r="C1241" t="s">
        <v>129</v>
      </c>
      <c r="D1241" t="s">
        <v>127</v>
      </c>
      <c r="E1241" t="s">
        <v>130</v>
      </c>
      <c r="F1241" t="s">
        <v>146</v>
      </c>
      <c r="G1241" t="s">
        <v>145</v>
      </c>
      <c r="H1241" t="s">
        <v>128</v>
      </c>
      <c r="I1241" t="s">
        <v>144</v>
      </c>
    </row>
    <row r="1242" spans="1:9">
      <c r="A1242" t="s">
        <v>118</v>
      </c>
      <c r="B1242" t="s">
        <v>119</v>
      </c>
      <c r="C1242" t="s">
        <v>133</v>
      </c>
      <c r="D1242" t="s">
        <v>131</v>
      </c>
      <c r="E1242" t="s">
        <v>132</v>
      </c>
      <c r="F1242" t="s">
        <v>146</v>
      </c>
      <c r="G1242" t="s">
        <v>145</v>
      </c>
      <c r="H1242" t="s">
        <v>147</v>
      </c>
    </row>
    <row r="1243" spans="1:9">
      <c r="A1243" t="s">
        <v>118</v>
      </c>
      <c r="B1243" t="s">
        <v>119</v>
      </c>
      <c r="C1243" t="s">
        <v>134</v>
      </c>
      <c r="D1243" t="s">
        <v>131</v>
      </c>
      <c r="E1243" t="s">
        <v>132</v>
      </c>
      <c r="F1243" t="s">
        <v>146</v>
      </c>
      <c r="G1243" t="s">
        <v>145</v>
      </c>
      <c r="H1243" t="s">
        <v>148</v>
      </c>
    </row>
    <row r="1244" spans="1:9">
      <c r="A1244" t="s">
        <v>118</v>
      </c>
      <c r="B1244" t="s">
        <v>119</v>
      </c>
      <c r="C1244" t="s">
        <v>136</v>
      </c>
      <c r="D1244" t="s">
        <v>131</v>
      </c>
      <c r="E1244" t="s">
        <v>135</v>
      </c>
      <c r="F1244" t="s">
        <v>146</v>
      </c>
      <c r="G1244" t="s">
        <v>145</v>
      </c>
      <c r="H1244" t="s">
        <v>149</v>
      </c>
    </row>
    <row r="1245" spans="1:9">
      <c r="A1245" t="s">
        <v>118</v>
      </c>
      <c r="B1245" t="s">
        <v>119</v>
      </c>
      <c r="C1245" t="s">
        <v>137</v>
      </c>
      <c r="D1245" t="s">
        <v>131</v>
      </c>
      <c r="E1245" t="s">
        <v>138</v>
      </c>
      <c r="F1245" t="s">
        <v>146</v>
      </c>
      <c r="G1245" t="s">
        <v>145</v>
      </c>
      <c r="H1245" t="s">
        <v>150</v>
      </c>
    </row>
    <row r="1246" spans="1:9">
      <c r="A1246" t="s">
        <v>118</v>
      </c>
      <c r="B1246" t="s">
        <v>119</v>
      </c>
      <c r="C1246" t="s">
        <v>139</v>
      </c>
      <c r="D1246" t="s">
        <v>131</v>
      </c>
      <c r="E1246" t="s">
        <v>140</v>
      </c>
      <c r="F1246" t="s">
        <v>146</v>
      </c>
      <c r="G1246" t="s">
        <v>145</v>
      </c>
      <c r="H1246" t="s">
        <v>151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</vt:lpstr>
      <vt:lpstr>Dashboard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Saul Dolgin</cp:lastModifiedBy>
  <cp:revision/>
  <dcterms:created xsi:type="dcterms:W3CDTF">2021-01-25T16:35:48Z</dcterms:created>
  <dcterms:modified xsi:type="dcterms:W3CDTF">2025-05-07T01:14:10Z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