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346B9A4-359C-45E9-A65B-67E3E7ABA021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8" i="7" l="1" a="1"/>
  <c r="S28" i="7" s="1"/>
  <c r="S27" i="7" a="1"/>
  <c r="S27" i="7" s="1"/>
  <c r="S26" i="7" a="1"/>
  <c r="S26" i="7" s="1"/>
  <c r="S25" i="7" a="1"/>
  <c r="S25" i="7" s="1"/>
  <c r="S24" i="7" a="1"/>
  <c r="S24" i="7" s="1"/>
  <c r="S23" i="7" a="1"/>
  <c r="S23" i="7" s="1"/>
  <c r="S22" i="7" a="1"/>
  <c r="S22" i="7" s="1"/>
  <c r="S21" i="7" a="1"/>
  <c r="S21" i="7" s="1"/>
  <c r="O13" i="7"/>
  <c r="N5" i="7"/>
  <c r="N13" i="7" a="1"/>
  <c r="N13" i="7" s="1"/>
  <c r="N12" i="7" a="1"/>
  <c r="N12" i="7" s="1"/>
  <c r="N11" i="7" a="1"/>
  <c r="N11" i="7" s="1"/>
  <c r="N10" i="7" a="1"/>
  <c r="N10" i="7" s="1"/>
  <c r="N9" i="7" a="1"/>
  <c r="N9" i="7" s="1"/>
  <c r="N8" i="7" a="1"/>
  <c r="N8" i="7" s="1"/>
  <c r="N7" i="7" a="1"/>
  <c r="N7" i="7" s="1"/>
  <c r="N6" i="7" a="1"/>
  <c r="N6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P26" i="7"/>
  <c r="P25" i="7"/>
  <c r="P24" i="7"/>
  <c r="P23" i="7"/>
  <c r="P22" i="7"/>
  <c r="P21" i="7"/>
  <c r="I13" i="7"/>
  <c r="I12" i="7"/>
  <c r="I11" i="7"/>
  <c r="I10" i="7"/>
  <c r="I9" i="7"/>
  <c r="I8" i="7"/>
  <c r="I7" i="7"/>
  <c r="I6" i="7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<sst xmlns="http://schemas.openxmlformats.org/spreadsheetml/2006/main" count="95" uniqueCount="83">
  <si>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</si>
  <si>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</si>
  <si>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</si>
  <si>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</si>
  <si>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</si>
  <si>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</si>
  <si>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</si>
  <si>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</si>
  <si>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</si>
  <si>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</si>
  <si>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</si>
  <si>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</si>
  <si>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</si>
  <si>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</si>
  <si>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</si>
  <si>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</si>
  <si>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</si>
  <si>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</si>
  <si>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</si>
  <si>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</si>
  <si>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</si>
  <si>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</si>
  <si>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</si>
  <si>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</si>
  <si>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</si>
  <si>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</si>
  <si>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</si>
  <si>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</si>
  <si>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</si>
  <si>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</si>
  <si>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</si>
  <si>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</si>
  <si>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</si>
  <si>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</si>
  <si>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</si>
  <si>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</si>
  <si>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</si>
  <si>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</si>
  <si>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</si>
  <si>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</si>
  <si>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</si>
  <si>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</si>
  <si>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</si>
  <si>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</si>
  <si>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</si>
  <si>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</si>
  <si>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</si>
  <si>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</si>
  <si>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</si>
  <si>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</si>
  <si>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</si>
  <si>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</si>
  <si>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</si>
  <si>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</si>
  <si>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</si>
  <si>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</si>
  <si>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</si>
  <si>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</si>
  <si>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</si>
  <si>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</si>
  <si>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</si>
  <si>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</si>
  <si>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</si>
  <si>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</si>
  <si>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</si>
  <si>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</si>
  <si>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</si>
  <si>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</si>
  <si>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</si>
  <si>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</si>
  <si>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</si>
  <si>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</si>
  <si>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</si>
  <si>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</si>
  <si>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</si>
  <si>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</si>
  <si>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</si>
  <si>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</si>
  <si>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BC and DR</t>
  </si>
  <si>
    <t>Identity and Access Management</t>
  </si>
  <si>
    <t>Governance and Security</t>
  </si>
  <si>
    <t>Cost Governance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</si>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</sst>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3D7ECA2-2FFA-485B-A456-7E920D793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887730</xdr:colOff>
          <xdr:row>2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925830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163830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4.4"/>
  <cols>
    <col min="1" max="1" width="28.26171875" customWidth="1"/>
    <col min="4" max="4" width="15" customWidth="1"/>
    <col min="5" max="6" width="12.83984375" customWidth="1"/>
  </cols>
  <sheetData>
    <row r="1" spans="1:15" ht="36.6">
      <c r="D1" s="21" t="s">
        <v>23</v>
      </c>
      <c r="E1" s="21" t="s">
        <v>24</v>
      </c>
      <c r="F1" s="21"/>
    </row>
    <row r="2" spans="1:15" ht="30.6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BC and DR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>
        <f>SUM(F6:F8)</f>
        <v>0</v>
      </c>
      <c r="G9" s="13">
        <f>SUM(G6:G8)</f>
        <v>0</v>
      </c>
      <c r="I9" s="13" t="str">
        <f>IF(Values!$C5="","",Values!$C5)</f>
        <v>Governance and Security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Cost Governance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1">IF($P22="","",SUM(Q22:S22))</f>
        <v>0</v>
      </c>
      <c r="U22" s="15" t="e">
        <f t="shared" ref="U22:U27" si="2">IF($P22="","",S22/T22)</f>
        <v>#DIV/0!</v>
      </c>
    </row>
    <row r="23" spans="16:21">
      <c r="P23" s="13" t="str">
        <f>IF(Values!$C4="","",Values!$C4)</f>
        <v>BC and DR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1"/>
        <v>0</v>
      </c>
      <c r="U23" s="15" t="e">
        <f t="shared" si="2"/>
        <v>#DIV/0!</v>
      </c>
    </row>
    <row r="24" spans="16:21">
      <c r="P24" s="13" t="str">
        <f>IF(Values!$C5="","",Values!$C5)</f>
        <v>Governance and Security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1"/>
        <v>0</v>
      </c>
      <c r="U24" s="15" t="e">
        <f t="shared" si="2"/>
        <v>#DIV/0!</v>
      </c>
    </row>
    <row r="25" spans="16:21">
      <c r="P25" s="13" t="str">
        <f>IF(Values!$C6="","",Values!$C6)</f>
        <v>Cost Governance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1"/>
        <v>0</v>
      </c>
      <c r="U25" s="15" t="e">
        <f t="shared" si="2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1"/>
        <v>0</v>
      </c>
      <c r="U26" s="15" t="e">
        <f t="shared" si="2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1"/>
        <v>0</v>
      </c>
      <c r="U27" s="15" t="e">
        <f t="shared" si="2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76</v>
      </c>
    </row>
    <row r="50" spans="1:6">
      <c r="B50" t="s">
        <v>73</v>
      </c>
      <c r="C50" t="s">
        <v>74</v>
      </c>
      <c r="D50" s="38" t="s">
        <v>75</v>
      </c>
      <c r="E50" t="s">
        <v>17</v>
      </c>
    </row>
    <row r="51" spans="1:6">
      <c r="A51" t="s">
        <v>66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69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3">IF((C52-B52)=0,1,(D52-B52)/(C52-B52))</f>
        <v>1</v>
      </c>
      <c r="F52" s="15"/>
    </row>
    <row r="53" spans="1:6">
      <c r="A53" t="s">
        <v>71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3"/>
        <v>1</v>
      </c>
      <c r="F53" s="15"/>
    </row>
    <row r="54" spans="1:6">
      <c r="A54" t="s">
        <v>67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3"/>
        <v>1</v>
      </c>
      <c r="F54" s="15"/>
    </row>
    <row r="55" spans="1:6">
      <c r="A55" t="s">
        <v>70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3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A10" sqref="A10"/>
    </sheetView>
  </sheetViews>
  <sheetFormatPr defaultColWidth="9" defaultRowHeight="16.2"/>
  <cols>
    <col min="1" max="1" width="19" style="1" customWidth="1"/>
    <col min="2" max="2" width="22.26171875" style="1" customWidth="1"/>
    <col min="3" max="3" width="94.578125" style="2" customWidth="1"/>
    <col min="4" max="4" width="34.15625" style="2" customWidth="1"/>
    <col min="5" max="5" width="16.15625" style="2" customWidth="1"/>
    <col min="6" max="6" width="18.68359375" style="2" customWidth="1"/>
    <col min="7" max="7" width="76" style="2" customWidth="1"/>
    <col min="8" max="8" width="18.41796875" style="2" customWidth="1"/>
    <col min="9" max="9" width="14.578125" style="2" customWidth="1"/>
    <col min="10" max="10" width="11.41796875" style="2" customWidth="1"/>
    <col min="11" max="11" width="46.15625" style="2" customWidth="1"/>
    <col min="12" max="12" width="10.83984375" style="2" customWidth="1"/>
    <col min="13" max="13" width="10.26171875" style="2" customWidth="1"/>
    <col min="14" max="14" width="9.83984375" style="2" customWidth="1"/>
    <col min="15" max="16" width="10.26171875" style="2" customWidth="1"/>
    <col min="17" max="16384" width="9" style="2"/>
  </cols>
  <sheetData>
    <row r="1" spans="1:16" ht="16.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399999999999999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">
        <v>72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">
        <v>11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2.8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77</v>
      </c>
      <c r="K9" s="19" t="s">
        <v>21</v>
      </c>
      <c r="L9" s="36" t="s">
        <v>66</v>
      </c>
      <c r="M9" s="36" t="s">
        <v>64</v>
      </c>
      <c r="N9" s="36" t="s">
        <v>65</v>
      </c>
      <c r="O9" s="36" t="s">
        <v>67</v>
      </c>
      <c r="P9" s="36" t="s">
        <v>68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887730</xdr:colOff>
                    <xdr:row>2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925830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163830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B5" sqref="B5"/>
    </sheetView>
  </sheetViews>
  <sheetFormatPr defaultRowHeight="14.4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79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47</v>
      </c>
      <c r="F3" t="s">
        <v>31</v>
      </c>
      <c r="G3" t="s">
        <v>35</v>
      </c>
      <c r="H3" t="s">
        <v>44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78</v>
      </c>
      <c r="F4" t="s">
        <v>32</v>
      </c>
      <c r="G4" t="s">
        <v>36</v>
      </c>
      <c r="H4" t="s">
        <v>46</v>
      </c>
      <c r="J4" t="s">
        <v>54</v>
      </c>
      <c r="K4" t="s">
        <v>60</v>
      </c>
    </row>
    <row r="5" spans="1:11">
      <c r="B5" s="9" t="s">
        <v>72</v>
      </c>
      <c r="C5" t="s">
        <v>80</v>
      </c>
      <c r="F5" t="s">
        <v>40</v>
      </c>
      <c r="G5" t="s">
        <v>37</v>
      </c>
      <c r="H5" t="s">
        <v>82</v>
      </c>
      <c r="J5" t="s">
        <v>55</v>
      </c>
      <c r="K5" t="s">
        <v>61</v>
      </c>
    </row>
    <row r="6" spans="1:11">
      <c r="B6" s="10" t="s">
        <v>11</v>
      </c>
      <c r="C6" t="s">
        <v>81</v>
      </c>
      <c r="F6" t="s">
        <v>33</v>
      </c>
      <c r="G6" t="s">
        <v>38</v>
      </c>
      <c r="H6" t="s">
        <v>45</v>
      </c>
      <c r="J6" t="s">
        <v>56</v>
      </c>
      <c r="K6" t="s">
        <v>62</v>
      </c>
    </row>
    <row r="7" spans="1:11">
      <c r="C7" t="s">
        <v>48</v>
      </c>
      <c r="F7" t="s">
        <v>50</v>
      </c>
      <c r="J7" t="s">
        <v>63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2022-04-09T13:34:19Z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