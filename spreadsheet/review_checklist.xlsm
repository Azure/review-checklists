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5694B8D5-7424-4183-9747-52DDE010E403}" xr6:coauthVersionLast="47" xr6:coauthVersionMax="47" xr10:uidLastSave="{00000000-0000-0000-0000-000000000000}"/>
  <bookViews>
    <workbookView xWindow="-110" yWindow="-110" windowWidth="25180" windowHeight="16140" tabRatio="312" activeTab="1" xr2:uid="{7C48A3BA-F709-465A-898F-4602D688CCF0}"/>
  </bookViews>
  <sheets>
    <sheet name="Dashboard" sheetId="7" r:id="rId1"/>
    <sheet name="Checklist" sheetId="5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7" l="1"/>
  <c r="P27" i="7"/>
  <c r="P28" i="7"/>
  <c r="I11" i="7"/>
  <c r="I12" i="7"/>
  <c r="I13" i="7"/>
  <c r="F2" i="6" a="1"/>
  <c r="H12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S28" i="7" a="1"/>
  <c r="S28" i="7" s="1"/>
  <c r="S27" i="7" a="1"/>
  <c r="S27" i="7" s="1"/>
  <c r="S26" i="7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0" i="7"/>
  <c r="I9" i="7"/>
  <c r="I8" i="7"/>
  <c r="I7" i="7"/>
  <c r="I6" i="7"/>
  <c r="F2" i="6" l="1"/>
  <c r="Z80" i="7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<sst xmlns="http://schemas.openxmlformats.org/spreadsheetml/2006/main" count="356" uniqueCount="212">
  <si>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</si>
  <si>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</si>
  <si>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</si>
  <si>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</si>
  <si>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</si>
  <si>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</si>
  <si>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</si>
  <si>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</si>
  <si>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</si>
  <si>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</si>
  <si>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</si>
  <si>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</si>
  <si>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</si>
  <si>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</si>
  <si>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</si>
  <si>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</si>
  <si>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</si>
  <si>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</si>
  <si>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</si>
  <si>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</si>
  <si>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</si>
  <si>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</si>
  <si>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</si>
  <si>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</si>
  <si>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</si>
  <si>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</si>
  <si>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</si>
  <si>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</si>
  <si>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</si>
  <si>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</si>
  <si>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</si>
  <si>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</si>
  <si>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</si>
  <si>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</si>
  <si>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</si>
  <si>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</si>
  <si>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</si>
  <si>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</si>
  <si>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</si>
  <si>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</si>
  <si>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</si>
  <si>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</si>
  <si>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</si>
  <si>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</si>
  <si>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</si>
  <si>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</si>
  <si>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</si>
  <si>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</si>
  <si>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</si>
  <si>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</si>
  <si>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</si>
  <si>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</si>
  <si>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</si>
  <si>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</si>
  <si>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</si>
  <si>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</si>
  <si>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</si>
  <si>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</si>
  <si>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</si>
  <si>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</si>
  <si>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</si>
  <si>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</si>
  <si>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</si>
  <si>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</si>
  <si>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</si>
  <si>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</si>
  <si>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</si>
  <si>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</si>
  <si>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</si>
  <si>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</si>
  <si>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</si>
  <si>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</si>
  <si>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</si>
  <si>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</si>
  <si>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</si>
  <si>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</si>
  <si>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</si>
  <si>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</si>
  <si>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</si>
  <si>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</si>
  <si>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</si>
  <si>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</si>
  <si>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</si>
  <si>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</si>
  <si>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</si>
  <si>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</si>
  <si>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</si>
  <si>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</si>
  <si>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</si>
  <si>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</si>
  <si>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</si>
  <si>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</si>
  <si>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</si>
  <si>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</si>
  <si>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</si>
  <si>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</si>
  <si>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</si>
  <si>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</si>
  <si>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</si>
  <si>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</si>
  <si>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</si>
  <si>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</si>
  <si>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</si>
  <si>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</si>
  <si>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</si>
  <si>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</si>
  <si>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</si>
  <si>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</si>
  <si>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</si>
  <si>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</si>
  <si>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</si>
  <si>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</si>
  <si>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</si>
  <si>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</si>
  <si>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</si>
  <si>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</si>
  <si>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</si>
  <si>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</si>
  <si>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</si>
  <si>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</si>
  <si>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</si>
  <si>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</si>
  <si>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</si>
  <si>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</si>
  <si>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</si>
  <si>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</si>
  <si>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</si>
  <si>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</si>
  <si>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</si>
  <si>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</si>
  <si>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</si>
  <si>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</si>
  <si>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</si>
  <si>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</si>
  <si>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</si>
  <si>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</si>
  <si>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</si>
  <si>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</si>
  <si>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</si>
  <si>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</si>
  <si>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</si>
  <si>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</si>
  <si>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</si>
  <si>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</si>
  <si>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</si>
  <si>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</si>
  <si>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</si>
  <si>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</si>
  <si>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</si>
  <si>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</si>
  <si>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</si>
  <si>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</si>
  <si>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</si>
  <si>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</si>
  <si>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</si>
  <si>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</si>
  <si>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</si>
  <si>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</si>
  <si>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</si>
  <si>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</si>
  <si>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</si>
  <si>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</si>
  <si>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</si>
  <si>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</si>
  <si>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</si>
  <si>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</si>
  <si>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</si>
  <si>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</si>
  <si>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</si>
  <si>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</si>
  <si>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</si>
  <si>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</si>
  <si>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</si>
  <si>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</si>
  <si>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</si>
  <si>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</si>
  <si>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</si>
  <si>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</si>
  <si>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</si>
  <si>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</si>
  <si>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</si>
  <si>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</si>
  <si>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</si>
  <si>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</si>
  <si>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</si>
  <si>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</si>
  <si>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</si>
  <si>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</si>
  <si>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</si>
  <si>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</si>
  <si>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</si>
  <si>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</si>
  <si>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</si>
  <si>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</si>
  <si>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</si>
  <si>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</si>
  <si>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</si>
  <si>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</si>
  <si>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</si>
  <si>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</si>
  <si>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</si>
  <si>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</si>
  <si>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</si>
  <si>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</si>
  <si>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</si>
  <si>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</si>
  <si>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</si>
  <si>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</si>
  <si>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</si>
  <si>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</si>
  <si>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</si>
  <si>
    <t>afd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</si>
</sst>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624839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603250</xdr:colOff>
          <xdr:row>1</xdr:row>
          <xdr:rowOff>622300</xdr:rowOff>
        </xdr:from>
        <xdr:to>
          <xdr:col>14</xdr:col>
          <xdr:colOff>1955800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603250</xdr:colOff>
          <xdr:row>1</xdr:row>
          <xdr:rowOff>317500</xdr:rowOff>
        </xdr:from>
        <xdr:to>
          <xdr:col>14</xdr:col>
          <xdr:colOff>1955800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165100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412750</xdr:colOff>
          <xdr:row>1</xdr:row>
          <xdr:rowOff>127000</xdr:rowOff>
        </xdr:from>
        <xdr:to>
          <xdr:col>16</xdr:col>
          <xdr:colOff>647700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LID4096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603250</xdr:colOff>
          <xdr:row>3</xdr:row>
          <xdr:rowOff>0</xdr:rowOff>
        </xdr:from>
        <xdr:to>
          <xdr:col>14</xdr:col>
          <xdr:colOff>1955800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2012950</xdr:colOff>
          <xdr:row>1</xdr:row>
          <xdr:rowOff>323850</xdr:rowOff>
        </xdr:from>
        <xdr:to>
          <xdr:col>16</xdr:col>
          <xdr:colOff>431800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2012950</xdr:colOff>
          <xdr:row>1</xdr:row>
          <xdr:rowOff>609600</xdr:rowOff>
        </xdr:from>
        <xdr:to>
          <xdr:col>16</xdr:col>
          <xdr:colOff>431800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J7" sqref="J7"/>
    </sheetView>
  </sheetViews>
  <sheetFormatPr defaultRowHeight="14.5"/>
  <cols>
    <col min="1" max="1" width="28.26953125" customWidth="1"/>
    <col min="4" max="4" width="15" customWidth="1"/>
    <col min="5" max="6" width="12.81640625" customWidth="1"/>
  </cols>
  <sheetData>
    <row r="1" spans="1:15" ht="37">
      <c r="D1" s="18" t="s">
        <v>20</v>
      </c>
      <c r="E1" s="18" t="s">
        <v>21</v>
      </c>
      <c r="F1" s="18"/>
    </row>
    <row r="2" spans="1:15" ht="31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164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165</v>
      </c>
      <c r="H50" s="12" t="s">
        <v>115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161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162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163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158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D1" zoomScale="80" zoomScaleNormal="80" workbookViewId="0">
      <selection activeCell="H2" sqref="H2"/>
    </sheetView>
  </sheetViews>
  <sheetFormatPr defaultColWidth="9" defaultRowHeight="16.5"/>
  <cols>
    <col min="1" max="1" width="10" style="2" hidden="1" customWidth="1"/>
    <col min="2" max="2" width="19" style="1" hidden="1" customWidth="1"/>
    <col min="3" max="3" width="22.26953125" style="1" hidden="1" customWidth="1"/>
    <col min="4" max="5" width="18.26953125" style="1" customWidth="1"/>
    <col min="6" max="6" width="94.54296875" style="2" customWidth="1"/>
    <col min="7" max="7" width="34.1796875" style="2" customWidth="1"/>
    <col min="8" max="9" width="18.7265625" style="2" customWidth="1"/>
    <col min="10" max="10" width="76" style="2" customWidth="1"/>
    <col min="11" max="11" width="13.453125" style="2" hidden="1" customWidth="1"/>
    <col min="12" max="12" width="18.453125" style="2" customWidth="1"/>
    <col min="13" max="13" width="14.54296875" style="2" customWidth="1"/>
    <col min="14" max="14" width="11.453125" style="2" customWidth="1"/>
    <col min="15" max="15" width="46.1796875" style="2" customWidth="1"/>
    <col min="16" max="16" width="10.81640625" style="2" customWidth="1"/>
    <col min="17" max="17" width="10.26953125" style="2" customWidth="1"/>
    <col min="18" max="18" width="9.81640625" style="2" customWidth="1"/>
    <col min="19" max="20" width="10.26953125" style="2" customWidth="1"/>
    <col min="21" max="21" width="122.54296875" style="2" customWidth="1"/>
    <col min="22" max="16384" width="9" style="2"/>
  </cols>
  <sheetData>
    <row r="1" spans="1:21" ht="17" thickBot="1">
      <c r="J1" s="49" t="s">
        <v>157</v>
      </c>
    </row>
    <row r="2" spans="1:21" ht="55.5" customHeight="1" thickBot="1">
      <c r="B2" s="51"/>
      <c r="C2" s="51"/>
      <c r="D2" s="23"/>
      <c r="E2" s="23"/>
      <c r="F2" s="42" t="s">
        <v>79</v>
      </c>
      <c r="G2" s="20"/>
      <c r="H2" s="35" t="s">
        <v>78</v>
      </c>
      <c r="I2" s="21" t="s">
        <v>30</v>
      </c>
      <c r="J2" s="26" t="s">
        <v>36</v>
      </c>
      <c r="K2" s="26"/>
    </row>
    <row r="3" spans="1:21" ht="17.5">
      <c r="B3" s="23"/>
      <c r="C3" s="23"/>
      <c r="D3" s="23"/>
      <c r="E3" s="23"/>
      <c r="F3" s="46" t="s">
        <v>116</v>
      </c>
      <c r="G3" s="11"/>
      <c r="H3" s="24"/>
      <c r="I3" s="25"/>
      <c r="J3" s="26"/>
      <c r="K3" s="26"/>
      <c r="T3" s="40" t="s">
        <v>82</v>
      </c>
    </row>
    <row r="4" spans="1:21" ht="17.25" customHeight="1">
      <c r="B4" s="23"/>
      <c r="C4" s="23"/>
      <c r="D4" s="23"/>
      <c r="E4" s="23"/>
      <c r="F4" s="46" t="s">
        <v>86</v>
      </c>
      <c r="G4" s="50" t="s">
        <v>177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166</v>
      </c>
    </row>
    <row r="5" spans="1:21">
      <c r="B5" s="23"/>
      <c r="C5" s="23"/>
      <c r="D5" s="23"/>
      <c r="E5" s="23"/>
      <c r="G5" s="50" t="s">
        <v>171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153</v>
      </c>
    </row>
    <row r="7" spans="1:21">
      <c r="A7" s="43"/>
      <c r="B7" s="44" t="s">
        <v>118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117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83</v>
      </c>
      <c r="B9" s="37" t="s">
        <v>81</v>
      </c>
      <c r="C9" s="37" t="s">
        <v>0</v>
      </c>
      <c r="D9" s="37" t="s">
        <v>71</v>
      </c>
      <c r="E9" s="37" t="s">
        <v>113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84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112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13</xdr:col>
                    <xdr:colOff>603250</xdr:colOff>
                    <xdr:row>1</xdr:row>
                    <xdr:rowOff>622300</xdr:rowOff>
                  </from>
                  <to>
                    <xdr:col>14</xdr:col>
                    <xdr:colOff>1955800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13</xdr:col>
                    <xdr:colOff>603250</xdr:colOff>
                    <xdr:row>1</xdr:row>
                    <xdr:rowOff>317500</xdr:rowOff>
                  </from>
                  <to>
                    <xdr:col>14</xdr:col>
                    <xdr:colOff>1955800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165100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13</xdr:col>
                    <xdr:colOff>603250</xdr:colOff>
                    <xdr:row>3</xdr:row>
                    <xdr:rowOff>0</xdr:rowOff>
                  </from>
                  <to>
                    <xdr:col>14</xdr:col>
                    <xdr:colOff>1955800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13</xdr:col>
                    <xdr:colOff>412750</xdr:colOff>
                    <xdr:row>1</xdr:row>
                    <xdr:rowOff>127000</xdr:rowOff>
                  </from>
                  <to>
                    <xdr:col>16</xdr:col>
                    <xdr:colOff>647700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14</xdr:col>
                    <xdr:colOff>2012950</xdr:colOff>
                    <xdr:row>1</xdr:row>
                    <xdr:rowOff>323850</xdr:rowOff>
                  </from>
                  <to>
                    <xdr:col>16</xdr:col>
                    <xdr:colOff>431800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14</xdr:col>
                    <xdr:colOff>2012950</xdr:colOff>
                    <xdr:row>1</xdr:row>
                    <xdr:rowOff>609600</xdr:rowOff>
                  </from>
                  <to>
                    <xdr:col>16</xdr:col>
                    <xdr:colOff>431800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8"/>
  <sheetViews>
    <sheetView workbookViewId="0">
      <selection activeCell="R6" sqref="R6"/>
    </sheetView>
  </sheetViews>
  <sheetFormatPr defaultRowHeight="14.5"/>
  <cols>
    <col min="2" max="2" width="10" bestFit="1" customWidth="1"/>
    <col min="3" max="3" width="16.81640625" customWidth="1"/>
    <col min="6" max="6" width="16.26953125" customWidth="1"/>
    <col min="7" max="7" width="18.1796875" customWidth="1"/>
    <col min="9" max="9" width="17.54296875" customWidth="1"/>
    <col min="10" max="10" width="25.7265625" customWidth="1"/>
    <col min="11" max="11" width="15.7265625" customWidth="1"/>
    <col min="14" max="14" width="22.453125" bestFit="1" customWidth="1"/>
    <col min="15" max="15" width="12.81640625" bestFit="1" customWidth="1"/>
    <col min="16" max="16" width="14.179687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168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85</v>
      </c>
      <c r="N1" s="12" t="s">
        <v>107</v>
      </c>
      <c r="O1" s="12" t="s">
        <v>110</v>
      </c>
      <c r="P1" s="12" t="s">
        <v>109</v>
      </c>
      <c r="Q1" s="12" t="s">
        <v>115</v>
      </c>
      <c r="R1" s="12" t="s">
        <v>172</v>
      </c>
      <c r="S1" s="12" t="s">
        <v>180</v>
      </c>
    </row>
    <row r="2" spans="1:19">
      <c r="A2" t="s">
        <v>4</v>
      </c>
      <c r="B2" s="10" t="s">
        <v>5</v>
      </c>
      <c r="D2" t="s">
        <v>178</v>
      </c>
      <c r="E2" t="s">
        <v>35</v>
      </c>
      <c r="F2" t="str" cm="1">
        <f t="array" ref="F2:H18">_xlfn._xlws.FILTER(ChecklistIndex!B1:D51,ChecklistIndex!A1:A51=Checklist!G5)</f>
        <v>ALZ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86</v>
      </c>
      <c r="N2" t="s">
        <v>105</v>
      </c>
      <c r="O2" t="str">
        <f>IF(Checklist!F4=Values!M3,"no","yes")</f>
        <v>yes</v>
      </c>
      <c r="P2" t="s">
        <v>108</v>
      </c>
      <c r="Q2" t="e" cm="1" vm="1">
        <f t="array" ref="Q2">_xlfn._xlws.SORT(_xlfn.UNIQUE(_xlfn._xlws.FILTER(Checklist!$E$10:$E$2513, Checklist!$E$10:$E$2513&lt;&gt;"")))</f>
        <v>#VALUE!</v>
      </c>
      <c r="R2" t="s">
        <v>171</v>
      </c>
      <c r="S2" t="s">
        <v>181</v>
      </c>
    </row>
    <row r="3" spans="1:19">
      <c r="A3" t="s">
        <v>7</v>
      </c>
      <c r="B3" s="7" t="s">
        <v>8</v>
      </c>
      <c r="F3" t="str">
        <v>WAF</v>
      </c>
      <c r="G3" t="str">
        <v>waf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87</v>
      </c>
      <c r="N3" t="s">
        <v>111</v>
      </c>
      <c r="O3" t="s">
        <v>106</v>
      </c>
      <c r="P3" t="s">
        <v>108</v>
      </c>
      <c r="R3" t="s">
        <v>174</v>
      </c>
      <c r="S3" t="s">
        <v>182</v>
      </c>
    </row>
    <row r="4" spans="1:19">
      <c r="A4" t="s">
        <v>6</v>
      </c>
      <c r="B4" s="8" t="s">
        <v>9</v>
      </c>
      <c r="F4" t="str">
        <v>AKS</v>
      </c>
      <c r="G4" t="str">
        <v>aks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173</v>
      </c>
      <c r="S4" t="s">
        <v>160</v>
      </c>
    </row>
    <row r="5" spans="1:19">
      <c r="B5" s="8" t="s">
        <v>62</v>
      </c>
      <c r="F5" t="str">
        <v>AVD</v>
      </c>
      <c r="G5" t="str">
        <v>avd</v>
      </c>
      <c r="H5" t="str">
        <v>checklists</v>
      </c>
      <c r="I5" t="s">
        <v>33</v>
      </c>
      <c r="J5" t="s">
        <v>114</v>
      </c>
      <c r="K5" t="s">
        <v>51</v>
      </c>
      <c r="L5" t="s">
        <v>72</v>
      </c>
      <c r="R5" t="s">
        <v>186</v>
      </c>
      <c r="S5" t="s">
        <v>80</v>
      </c>
    </row>
    <row r="6" spans="1:19">
      <c r="B6" s="9" t="s">
        <v>10</v>
      </c>
      <c r="F6" t="str">
        <v>AVS Design</v>
      </c>
      <c r="G6" t="str">
        <v>avs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208</v>
      </c>
    </row>
    <row r="7" spans="1:19">
      <c r="F7" t="str">
        <v>AVS Implementation</v>
      </c>
      <c r="G7" t="str">
        <v>avs_implementation</v>
      </c>
      <c r="H7" t="str">
        <v>checklists</v>
      </c>
      <c r="I7" t="s">
        <v>100</v>
      </c>
      <c r="K7" t="s">
        <v>99</v>
      </c>
    </row>
    <row r="8" spans="1:19">
      <c r="F8" t="str">
        <v>Multitenancy</v>
      </c>
      <c r="G8" t="str">
        <v>multitenancy</v>
      </c>
      <c r="H8" t="str">
        <v>checklists</v>
      </c>
    </row>
    <row r="9" spans="1:19">
      <c r="F9" t="str">
        <v>Network App Delivery</v>
      </c>
      <c r="G9" t="str">
        <v>network_appdelivery</v>
      </c>
      <c r="H9" t="str">
        <v>checklists</v>
      </c>
    </row>
    <row r="10" spans="1:19">
      <c r="F10" t="str">
        <v>SAP</v>
      </c>
      <c r="G10" t="str">
        <v>sap</v>
      </c>
      <c r="H10" t="str">
        <v>checklists</v>
      </c>
    </row>
    <row r="11" spans="1:19">
      <c r="F11" t="str">
        <v>API Management</v>
      </c>
      <c r="G11" t="str">
        <v>apim</v>
      </c>
      <c r="H11" t="str">
        <v>checklists</v>
      </c>
    </row>
    <row r="12" spans="1:19">
      <c r="F12" t="str">
        <v>Cost Optimization</v>
      </c>
      <c r="G12" t="str">
        <v>cost</v>
      </c>
      <c r="H12" t="str">
        <v>checklists</v>
      </c>
    </row>
    <row r="13" spans="1:19">
      <c r="F13" t="str">
        <v>ARO</v>
      </c>
      <c r="G13" t="str">
        <v>aro</v>
      </c>
      <c r="H13" t="str">
        <v>checklists</v>
      </c>
    </row>
    <row r="14" spans="1:19">
      <c r="F14" t="str">
        <v>Spring Apps</v>
      </c>
      <c r="G14" t="str">
        <v>azurespringapps</v>
      </c>
      <c r="H14" t="str">
        <v>checklists</v>
      </c>
    </row>
    <row r="15" spans="1:19">
      <c r="F15" t="str">
        <v>Front Door</v>
      </c>
      <c r="G15" t="str">
        <v>afd</v>
      </c>
      <c r="H15" t="str">
        <v>checklists</v>
      </c>
    </row>
    <row r="16" spans="1:19">
      <c r="F16" t="str">
        <v>Azure Devops</v>
      </c>
      <c r="G16" t="str">
        <v>ado</v>
      </c>
      <c r="H16" t="str">
        <v>checklists</v>
      </c>
    </row>
    <row r="17" spans="6:8">
      <c r="F17" t="str">
        <v>Azure Arc</v>
      </c>
      <c r="G17" t="str">
        <v>azure_arc</v>
      </c>
      <c r="H17" t="str">
        <v>checklists</v>
      </c>
    </row>
    <row r="18" spans="6:8">
      <c r="F18" t="str">
        <v>SQL Migration</v>
      </c>
      <c r="G18" t="str">
        <v>sql</v>
      </c>
      <c r="H18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3"/>
  <sheetViews>
    <sheetView workbookViewId="0">
      <selection activeCell="A15" sqref="A15"/>
    </sheetView>
  </sheetViews>
  <sheetFormatPr defaultRowHeight="14.5"/>
  <cols>
    <col min="1" max="1" width="20.54296875" bestFit="1" customWidth="1"/>
    <col min="2" max="2" width="20.81640625" bestFit="1" customWidth="1"/>
    <col min="3" max="3" width="9.453125" customWidth="1"/>
    <col min="4" max="4" width="13.26953125" bestFit="1" customWidth="1"/>
  </cols>
  <sheetData>
    <row r="1" spans="1:5">
      <c r="A1" s="12" t="s">
        <v>170</v>
      </c>
      <c r="B1" s="12" t="s">
        <v>144</v>
      </c>
      <c r="C1" s="12" t="s">
        <v>183</v>
      </c>
      <c r="D1" s="12" t="s">
        <v>168</v>
      </c>
      <c r="E1" s="12" t="s">
        <v>179</v>
      </c>
    </row>
    <row r="2" spans="1:5">
      <c r="A2" t="s">
        <v>171</v>
      </c>
      <c r="B2" t="s">
        <v>78</v>
      </c>
      <c r="C2" t="s">
        <v>80</v>
      </c>
      <c r="D2" t="s">
        <v>169</v>
      </c>
      <c r="E2" t="s">
        <v>80</v>
      </c>
    </row>
    <row r="3" spans="1:5">
      <c r="A3" t="s">
        <v>171</v>
      </c>
      <c r="B3" t="s">
        <v>159</v>
      </c>
      <c r="C3" t="s">
        <v>160</v>
      </c>
      <c r="D3" t="s">
        <v>169</v>
      </c>
      <c r="E3" t="s">
        <v>160</v>
      </c>
    </row>
    <row r="4" spans="1:5">
      <c r="A4" t="s">
        <v>171</v>
      </c>
      <c r="B4" t="s">
        <v>27</v>
      </c>
      <c r="C4" t="s">
        <v>44</v>
      </c>
      <c r="D4" t="s">
        <v>169</v>
      </c>
      <c r="E4" t="s">
        <v>182</v>
      </c>
    </row>
    <row r="5" spans="1:5">
      <c r="A5" t="s">
        <v>171</v>
      </c>
      <c r="B5" t="s">
        <v>28</v>
      </c>
      <c r="C5" t="s">
        <v>45</v>
      </c>
      <c r="D5" t="s">
        <v>169</v>
      </c>
      <c r="E5" t="s">
        <v>182</v>
      </c>
    </row>
    <row r="6" spans="1:5">
      <c r="A6" t="s">
        <v>171</v>
      </c>
      <c r="B6" t="s">
        <v>94</v>
      </c>
      <c r="C6" t="s">
        <v>46</v>
      </c>
      <c r="D6" t="s">
        <v>169</v>
      </c>
      <c r="E6" t="s">
        <v>182</v>
      </c>
    </row>
    <row r="7" spans="1:5">
      <c r="A7" t="s">
        <v>171</v>
      </c>
      <c r="B7" t="s">
        <v>93</v>
      </c>
      <c r="C7" t="s">
        <v>92</v>
      </c>
      <c r="D7" t="s">
        <v>169</v>
      </c>
      <c r="E7" t="s">
        <v>182</v>
      </c>
    </row>
    <row r="8" spans="1:5">
      <c r="A8" t="s">
        <v>171</v>
      </c>
      <c r="B8" t="s">
        <v>42</v>
      </c>
      <c r="C8" t="s">
        <v>53</v>
      </c>
      <c r="D8" t="s">
        <v>169</v>
      </c>
      <c r="E8" t="s">
        <v>182</v>
      </c>
    </row>
    <row r="9" spans="1:5">
      <c r="A9" t="s">
        <v>171</v>
      </c>
      <c r="B9" t="s">
        <v>95</v>
      </c>
      <c r="C9" t="s">
        <v>96</v>
      </c>
      <c r="D9" t="s">
        <v>169</v>
      </c>
      <c r="E9" t="s">
        <v>182</v>
      </c>
    </row>
    <row r="10" spans="1:5">
      <c r="A10" t="s">
        <v>171</v>
      </c>
      <c r="B10" t="s">
        <v>67</v>
      </c>
      <c r="C10" t="s">
        <v>68</v>
      </c>
      <c r="D10" t="s">
        <v>169</v>
      </c>
      <c r="E10" t="s">
        <v>182</v>
      </c>
    </row>
    <row r="11" spans="1:5">
      <c r="A11" t="s">
        <v>171</v>
      </c>
      <c r="B11" t="s">
        <v>70</v>
      </c>
      <c r="C11" t="s">
        <v>69</v>
      </c>
      <c r="D11" t="s">
        <v>169</v>
      </c>
      <c r="E11" t="s">
        <v>182</v>
      </c>
    </row>
    <row r="12" spans="1:5">
      <c r="A12" t="s">
        <v>171</v>
      </c>
      <c r="B12" t="s">
        <v>90</v>
      </c>
      <c r="C12" t="s">
        <v>91</v>
      </c>
      <c r="D12" t="s">
        <v>169</v>
      </c>
      <c r="E12" t="s">
        <v>182</v>
      </c>
    </row>
    <row r="13" spans="1:5">
      <c r="A13" t="s">
        <v>171</v>
      </c>
      <c r="B13" t="s">
        <v>88</v>
      </c>
      <c r="C13" t="s">
        <v>89</v>
      </c>
      <c r="D13" t="s">
        <v>169</v>
      </c>
      <c r="E13" t="s">
        <v>182</v>
      </c>
    </row>
    <row r="14" spans="1:5">
      <c r="A14" t="s">
        <v>171</v>
      </c>
      <c r="B14" t="s">
        <v>97</v>
      </c>
      <c r="C14" t="s">
        <v>98</v>
      </c>
      <c r="D14" t="s">
        <v>169</v>
      </c>
      <c r="E14" t="s">
        <v>182</v>
      </c>
    </row>
    <row r="15" spans="1:5">
      <c r="A15" t="s">
        <v>171</v>
      </c>
      <c r="B15" t="s">
        <v>198</v>
      </c>
      <c r="C15" t="s">
        <v>211</v>
      </c>
      <c r="D15" t="s">
        <v>169</v>
      </c>
      <c r="E15" t="s">
        <v>182</v>
      </c>
    </row>
    <row r="16" spans="1:5">
      <c r="A16" t="s">
        <v>171</v>
      </c>
      <c r="B16" t="s">
        <v>101</v>
      </c>
      <c r="C16" t="s">
        <v>102</v>
      </c>
      <c r="D16" t="s">
        <v>169</v>
      </c>
      <c r="E16" t="s">
        <v>182</v>
      </c>
    </row>
    <row r="17" spans="1:5">
      <c r="A17" t="s">
        <v>171</v>
      </c>
      <c r="B17" t="s">
        <v>76</v>
      </c>
      <c r="C17" t="s">
        <v>77</v>
      </c>
      <c r="D17" t="s">
        <v>169</v>
      </c>
      <c r="E17" t="s">
        <v>182</v>
      </c>
    </row>
    <row r="18" spans="1:5">
      <c r="A18" t="s">
        <v>171</v>
      </c>
      <c r="B18" t="s">
        <v>103</v>
      </c>
      <c r="C18" t="s">
        <v>104</v>
      </c>
      <c r="D18" t="s">
        <v>169</v>
      </c>
      <c r="E18" t="s">
        <v>182</v>
      </c>
    </row>
    <row r="19" spans="1:5">
      <c r="A19" t="s">
        <v>173</v>
      </c>
      <c r="B19" t="s">
        <v>27</v>
      </c>
      <c r="C19" t="s">
        <v>167</v>
      </c>
      <c r="D19" t="s">
        <v>176</v>
      </c>
      <c r="E19" t="s">
        <v>182</v>
      </c>
    </row>
    <row r="20" spans="1:5">
      <c r="A20" t="s">
        <v>174</v>
      </c>
      <c r="B20" t="s">
        <v>192</v>
      </c>
      <c r="C20" t="s">
        <v>193</v>
      </c>
      <c r="D20" t="s">
        <v>176</v>
      </c>
      <c r="E20" t="s">
        <v>160</v>
      </c>
    </row>
    <row r="21" spans="1:5">
      <c r="A21" t="s">
        <v>174</v>
      </c>
      <c r="B21" t="s">
        <v>27</v>
      </c>
      <c r="C21" t="s">
        <v>175</v>
      </c>
      <c r="D21" t="s">
        <v>176</v>
      </c>
      <c r="E21" t="s">
        <v>160</v>
      </c>
    </row>
    <row r="22" spans="1:5">
      <c r="A22" t="s">
        <v>174</v>
      </c>
      <c r="B22" t="s">
        <v>184</v>
      </c>
      <c r="C22" t="s">
        <v>185</v>
      </c>
      <c r="D22" t="s">
        <v>176</v>
      </c>
      <c r="E22" t="s">
        <v>160</v>
      </c>
    </row>
    <row r="23" spans="1:5">
      <c r="A23" t="s">
        <v>174</v>
      </c>
      <c r="B23" t="s">
        <v>188</v>
      </c>
      <c r="C23" t="s">
        <v>190</v>
      </c>
      <c r="D23" t="s">
        <v>176</v>
      </c>
      <c r="E23" t="s">
        <v>160</v>
      </c>
    </row>
    <row r="24" spans="1:5">
      <c r="A24" t="s">
        <v>174</v>
      </c>
      <c r="B24" t="s">
        <v>189</v>
      </c>
      <c r="C24" t="s">
        <v>191</v>
      </c>
      <c r="D24" t="s">
        <v>176</v>
      </c>
      <c r="E24" t="s">
        <v>160</v>
      </c>
    </row>
    <row r="25" spans="1:5">
      <c r="A25" t="s">
        <v>174</v>
      </c>
      <c r="B25" t="s">
        <v>194</v>
      </c>
      <c r="C25" t="s">
        <v>195</v>
      </c>
      <c r="D25" t="s">
        <v>176</v>
      </c>
      <c r="E25" t="s">
        <v>160</v>
      </c>
    </row>
    <row r="26" spans="1:5">
      <c r="A26" t="s">
        <v>174</v>
      </c>
      <c r="B26" t="s">
        <v>196</v>
      </c>
      <c r="C26" t="s">
        <v>197</v>
      </c>
      <c r="D26" t="s">
        <v>176</v>
      </c>
      <c r="E26" t="s">
        <v>160</v>
      </c>
    </row>
    <row r="27" spans="1:5">
      <c r="A27" t="s">
        <v>174</v>
      </c>
      <c r="B27" t="s">
        <v>202</v>
      </c>
      <c r="C27" t="s">
        <v>203</v>
      </c>
      <c r="D27" t="s">
        <v>176</v>
      </c>
      <c r="E27" t="s">
        <v>160</v>
      </c>
    </row>
    <row r="28" spans="1:5">
      <c r="A28" t="s">
        <v>174</v>
      </c>
      <c r="B28" t="s">
        <v>206</v>
      </c>
      <c r="C28" t="s">
        <v>207</v>
      </c>
      <c r="D28" t="s">
        <v>176</v>
      </c>
      <c r="E28" t="s">
        <v>160</v>
      </c>
    </row>
    <row r="29" spans="1:5">
      <c r="A29" t="s">
        <v>174</v>
      </c>
      <c r="B29" t="s">
        <v>198</v>
      </c>
      <c r="C29" t="s">
        <v>199</v>
      </c>
      <c r="D29" t="s">
        <v>176</v>
      </c>
      <c r="E29" t="s">
        <v>160</v>
      </c>
    </row>
    <row r="30" spans="1:5">
      <c r="A30" t="s">
        <v>174</v>
      </c>
      <c r="B30" t="s">
        <v>200</v>
      </c>
      <c r="C30" t="s">
        <v>201</v>
      </c>
      <c r="D30" t="s">
        <v>176</v>
      </c>
      <c r="E30" t="s">
        <v>160</v>
      </c>
    </row>
    <row r="31" spans="1:5">
      <c r="A31" t="s">
        <v>174</v>
      </c>
      <c r="B31" t="s">
        <v>204</v>
      </c>
      <c r="C31" t="s">
        <v>205</v>
      </c>
      <c r="D31" t="s">
        <v>176</v>
      </c>
      <c r="E31" t="s">
        <v>160</v>
      </c>
    </row>
    <row r="32" spans="1:5">
      <c r="A32" t="s">
        <v>186</v>
      </c>
      <c r="B32" t="s">
        <v>186</v>
      </c>
      <c r="C32" t="s">
        <v>187</v>
      </c>
      <c r="D32" t="s">
        <v>176</v>
      </c>
      <c r="E32" t="s">
        <v>182</v>
      </c>
    </row>
    <row r="33" spans="1:5">
      <c r="A33" t="s">
        <v>208</v>
      </c>
      <c r="B33" t="s">
        <v>210</v>
      </c>
      <c r="C33" t="s">
        <v>209</v>
      </c>
      <c r="D33" t="s">
        <v>176</v>
      </c>
      <c r="E33" t="s">
        <v>160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E2:E31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4.5"/>
  <cols>
    <col min="1" max="1" width="8.26953125" customWidth="1"/>
    <col min="3" max="3" width="33.453125" customWidth="1"/>
  </cols>
  <sheetData>
    <row r="2" spans="1:9">
      <c r="A2" t="s">
        <v>121</v>
      </c>
      <c r="C2" s="47"/>
    </row>
    <row r="3" spans="1:9">
      <c r="A3" t="s">
        <v>154</v>
      </c>
    </row>
    <row r="4" spans="1:9">
      <c r="A4" t="s">
        <v>155</v>
      </c>
    </row>
    <row r="5" spans="1:9">
      <c r="A5" t="s">
        <v>156</v>
      </c>
      <c r="C5">
        <v>100</v>
      </c>
    </row>
    <row r="7" spans="1:9">
      <c r="A7" s="12" t="s">
        <v>122</v>
      </c>
      <c r="B7" s="12" t="s">
        <v>123</v>
      </c>
      <c r="C7" s="12" t="s">
        <v>124</v>
      </c>
      <c r="D7" s="12" t="s">
        <v>125</v>
      </c>
      <c r="E7" s="12" t="s">
        <v>126</v>
      </c>
      <c r="F7" s="12" t="s">
        <v>142</v>
      </c>
      <c r="G7" s="12" t="s">
        <v>143</v>
      </c>
      <c r="H7" s="12" t="s">
        <v>144</v>
      </c>
      <c r="I7" s="12" t="s">
        <v>127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119</v>
      </c>
      <c r="B1240" t="s">
        <v>120</v>
      </c>
    </row>
    <row r="1241" spans="1:9">
      <c r="A1241" t="s">
        <v>119</v>
      </c>
      <c r="B1241" t="s">
        <v>120</v>
      </c>
      <c r="C1241" t="s">
        <v>130</v>
      </c>
      <c r="D1241" t="s">
        <v>128</v>
      </c>
      <c r="E1241" t="s">
        <v>131</v>
      </c>
      <c r="F1241" t="s">
        <v>147</v>
      </c>
      <c r="G1241" t="s">
        <v>146</v>
      </c>
      <c r="H1241" t="s">
        <v>129</v>
      </c>
      <c r="I1241" t="s">
        <v>145</v>
      </c>
    </row>
    <row r="1242" spans="1:9">
      <c r="A1242" t="s">
        <v>119</v>
      </c>
      <c r="B1242" t="s">
        <v>120</v>
      </c>
      <c r="C1242" t="s">
        <v>134</v>
      </c>
      <c r="D1242" t="s">
        <v>132</v>
      </c>
      <c r="E1242" t="s">
        <v>133</v>
      </c>
      <c r="F1242" t="s">
        <v>147</v>
      </c>
      <c r="G1242" t="s">
        <v>146</v>
      </c>
      <c r="H1242" t="s">
        <v>148</v>
      </c>
    </row>
    <row r="1243" spans="1:9">
      <c r="A1243" t="s">
        <v>119</v>
      </c>
      <c r="B1243" t="s">
        <v>120</v>
      </c>
      <c r="C1243" t="s">
        <v>135</v>
      </c>
      <c r="D1243" t="s">
        <v>132</v>
      </c>
      <c r="E1243" t="s">
        <v>133</v>
      </c>
      <c r="F1243" t="s">
        <v>147</v>
      </c>
      <c r="G1243" t="s">
        <v>146</v>
      </c>
      <c r="H1243" t="s">
        <v>149</v>
      </c>
    </row>
    <row r="1244" spans="1:9">
      <c r="A1244" t="s">
        <v>119</v>
      </c>
      <c r="B1244" t="s">
        <v>120</v>
      </c>
      <c r="C1244" t="s">
        <v>137</v>
      </c>
      <c r="D1244" t="s">
        <v>132</v>
      </c>
      <c r="E1244" t="s">
        <v>136</v>
      </c>
      <c r="F1244" t="s">
        <v>147</v>
      </c>
      <c r="G1244" t="s">
        <v>146</v>
      </c>
      <c r="H1244" t="s">
        <v>150</v>
      </c>
    </row>
    <row r="1245" spans="1:9">
      <c r="A1245" t="s">
        <v>119</v>
      </c>
      <c r="B1245" t="s">
        <v>120</v>
      </c>
      <c r="C1245" t="s">
        <v>138</v>
      </c>
      <c r="D1245" t="s">
        <v>132</v>
      </c>
      <c r="E1245" t="s">
        <v>139</v>
      </c>
      <c r="F1245" t="s">
        <v>147</v>
      </c>
      <c r="G1245" t="s">
        <v>146</v>
      </c>
      <c r="H1245" t="s">
        <v>151</v>
      </c>
    </row>
    <row r="1246" spans="1:9">
      <c r="A1246" t="s">
        <v>119</v>
      </c>
      <c r="B1246" t="s">
        <v>120</v>
      </c>
      <c r="C1246" t="s">
        <v>140</v>
      </c>
      <c r="D1246" t="s">
        <v>132</v>
      </c>
      <c r="E1246" t="s">
        <v>141</v>
      </c>
      <c r="F1246" t="s">
        <v>147</v>
      </c>
      <c r="G1246" t="s">
        <v>146</v>
      </c>
      <c r="H1246" t="s">
        <v>152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Checklist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2024-10-17T07:12:31Z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