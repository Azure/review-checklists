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C5789183-0152-4CA1-BE70-603C9D66BA5B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3" i="7" l="1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<sst xmlns="http://schemas.openxmlformats.org/spreadsheetml/2006/main" count="211" uniqueCount="170">
  <si>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</si>
  <si>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</si>
  <si>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</si>
  <si>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</si>
  <si>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</si>
  <si>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</si>
  <si>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</si>
  <si>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</si>
  <si>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</si>
  <si>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</si>
  <si>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</si>
  <si>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</si>
  <si>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</si>
  <si>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</si>
  <si>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</si>
  <si>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</si>
  <si>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</si>
  <si>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</si>
  <si>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</si>
  <si>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</si>
  <si>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</si>
  <si>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</si>
  <si>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</si>
  <si>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</si>
  <si>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</si>
  <si>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</si>
  <si>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</si>
  <si>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</si>
  <si>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</si>
  <si>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</si>
  <si>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</si>
  <si>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</si>
  <si>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</si>
  <si>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</si>
  <si>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</si>
  <si>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</si>
  <si>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</si>
  <si>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</si>
  <si>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</si>
  <si>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</si>
  <si>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</si>
  <si>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</si>
  <si>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</si>
  <si>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</si>
  <si>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</si>
  <si>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</si>
  <si>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</si>
  <si>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</si>
  <si>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</si>
  <si>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</si>
  <si>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</si>
  <si>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</si>
  <si>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</si>
  <si>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</si>
  <si>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</si>
  <si>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</si>
  <si>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</si>
  <si>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</si>
  <si>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</si>
  <si>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</si>
  <si>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</si>
  <si>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</si>
  <si>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</si>
  <si>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</si>
  <si>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</si>
  <si>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</si>
  <si>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</si>
  <si>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</si>
  <si>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</si>
  <si>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</si>
  <si>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</si>
  <si>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</si>
  <si>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</si>
  <si>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</si>
  <si>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</si>
  <si>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</si>
  <si>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</si>
  <si>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</si>
  <si>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</si>
  <si>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</si>
  <si>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</si>
  <si>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</si>
  <si>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</si>
  <si>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</si>
  <si>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</si>
  <si>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</si>
  <si>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</si>
  <si>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</si>
  <si>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</si>
  <si>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</si>
  <si>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</si>
  <si>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</si>
  <si>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</si>
  <si>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</si>
  <si>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</si>
  <si>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</si>
  <si>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</si>
  <si>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</si>
  <si>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</si>
  <si>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</si>
  <si>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</si>
  <si>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</si>
  <si>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</si>
  <si>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</si>
  <si>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</si>
  <si>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</si>
  <si>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</si>
  <si>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</si>
  <si>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</si>
  <si>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</si>
  <si>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</si>
  <si>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</si>
  <si>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</si>
  <si>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</si>
  <si>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</si>
  <si>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</si>
  <si>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</si>
  <si>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</si>
  <si>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</si>
  <si>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</si>
  <si>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</si>
  <si>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</si>
  <si>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</si>
  <si>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</si>
  <si>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</si>
  <si>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</si>
  <si>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</si>
  <si>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</si>
  <si>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</si>
  <si>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</si>
  <si>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</si>
  <si>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</si>
  <si>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</si>
  <si>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</si>
  <si>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</si>
  <si>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</si>
  <si>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</si>
  <si>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</si>
  <si>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</si>
  <si>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</si>
  <si>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</si>
  <si>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</si>
  <si>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</si>
  <si>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</si>
  <si>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</si>
  <si>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</si>
  <si>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</si>
  <si>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</si>
  <si>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</si>
  <si>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</si>
  <si>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</si>
  <si>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</si>
  <si>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</si>
  <si>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</si>
  <si>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</si>
  <si>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</si>
  <si>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</si>
  <si>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</si>
  <si>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</si>
  <si>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</si>
  <si>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</si>
  <si>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</si>
  <si>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</si>
  <si>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</si>
  <si>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</si>
  <si>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</si>
  <si>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</si>
  <si>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v1.5.2</t>
  </si>
  <si>
    <t>The-AKS-Checklist</t>
  </si>
  <si>
    <t>theaks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</si>
</sst>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619125</xdr:rowOff>
        </xdr:from>
        <xdr:to>
          <xdr:col>12</xdr:col>
          <xdr:colOff>590550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314325</xdr:rowOff>
        </xdr:from>
        <xdr:to>
          <xdr:col>12</xdr:col>
          <xdr:colOff>590550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1</xdr:row>
          <xdr:rowOff>123825</xdr:rowOff>
        </xdr:from>
        <xdr:to>
          <xdr:col>14</xdr:col>
          <xdr:colOff>1352550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3</xdr:row>
          <xdr:rowOff>0</xdr:rowOff>
        </xdr:from>
        <xdr:to>
          <xdr:col>12</xdr:col>
          <xdr:colOff>590550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323850</xdr:rowOff>
        </xdr:from>
        <xdr:to>
          <xdr:col>14</xdr:col>
          <xdr:colOff>1133475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609600</xdr:rowOff>
        </xdr:from>
        <xdr:to>
          <xdr:col>14</xdr:col>
          <xdr:colOff>1133475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H124" sqref="H124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 t="e">
        <f>IF($T$29=0,0,1-$Q$29/$T$29)</f>
        <v>#REF!</v>
      </c>
      <c r="E2" s="17" t="e">
        <f>IF(T29=0,0,R29/T29)</f>
        <v>#REF!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e">
        <f>IF(Values!#REF!="","",Values!#REF!)</f>
        <v>#REF!</v>
      </c>
      <c r="J12" t="e" cm="1">
        <f t="array" ref="J12">IF($I12="","",SUMPRODUCT(--(Checklist!$B$10:$B$487=$I12)*--(Checklist!$I$10:$I$487=J$5)))</f>
        <v>#REF!</v>
      </c>
      <c r="K12" s="41" t="e" cm="1">
        <f t="array" ref="K12">IF($I12="","",SUMPRODUCT(--(Checklist!$B$10:$B$487=$I12)*--(Checklist!$I$10:$I$487=K$5)))</f>
        <v>#REF!</v>
      </c>
      <c r="L12" t="e" cm="1">
        <f t="array" ref="L12">IF($I12="","",SUMPRODUCT(--(Checklist!$B$10:$B$487=$I12)*--(Checklist!$I$10:$I$487=L$5)))</f>
        <v>#REF!</v>
      </c>
      <c r="M12" t="e" cm="1">
        <f t="array" ref="M12">IF($I12="","",SUMPRODUCT(--(Checklist!$B$10:$B$487=$I12)*--(Checklist!$I$10:$I$487=M$5)))</f>
        <v>#REF!</v>
      </c>
      <c r="N12" t="e" cm="1">
        <f t="array" ref="N12">IF($I12="","",SUMPRODUCT(--(Checklist!$B$10:$B$487=$I12)*--(Checklist!$I$10:$I$487=N$5)))</f>
        <v>#REF!</v>
      </c>
      <c r="O12" t="e">
        <f t="shared" si="0"/>
        <v>#REF!</v>
      </c>
    </row>
    <row r="13" spans="1:15">
      <c r="I13" s="12" t="str">
        <f>IF(Values!$C8="","",Values!$C8)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 t="e">
        <f t="shared" ref="J14:O14" si="2">SUM(J6:J13)</f>
        <v>#REF!</v>
      </c>
      <c r="K14" s="41" t="e">
        <f t="shared" si="2"/>
        <v>#REF!</v>
      </c>
      <c r="L14" t="e">
        <f t="shared" si="2"/>
        <v>#REF!</v>
      </c>
      <c r="M14" t="e">
        <f t="shared" si="2"/>
        <v>#REF!</v>
      </c>
      <c r="N14" t="e">
        <f t="shared" si="2"/>
        <v>#REF!</v>
      </c>
      <c r="O14" s="12" t="e">
        <f t="shared" si="2"/>
        <v>#REF!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e">
        <f>IF(Values!#REF!="","",Values!#REF!)</f>
        <v>#REF!</v>
      </c>
      <c r="Q27" t="e" cm="1">
        <f t="array" ref="Q27">IF($P27="","",SUMPRODUCT(--(Checklist!$B$10:$B$487=$P27)*--(Checklist!$I$10:$I$487=Q$20)))</f>
        <v>#REF!</v>
      </c>
      <c r="R27" t="e" cm="1">
        <f t="array" ref="R27">IF($P27="","",SUMPRODUCT(--(Checklist!$B$10:$B$487=$P27)*--(Checklist!$I$10:$I$487=R$20)))</f>
        <v>#REF!</v>
      </c>
      <c r="S27" t="e" cm="1">
        <f t="array" ref="S27">IF($P27="","",SUMPRODUCT(--(Checklist!$B$10:$B$487=$P27)*(--(Checklist!$I$10:$I$487=Values!$B$4)+--(Checklist!$I$10:$I$487=Values!$B$5)+--(Checklist!$I$10:$I$487=Values!$B$6))))</f>
        <v>#REF!</v>
      </c>
      <c r="T27" t="e">
        <f t="shared" si="3"/>
        <v>#REF!</v>
      </c>
      <c r="U27" s="14" t="e">
        <f t="shared" si="4"/>
        <v>#REF!</v>
      </c>
    </row>
    <row r="28" spans="11:21">
      <c r="K28" s="41"/>
      <c r="P28" s="12" t="str">
        <f>IF(Values!$C8="","",Values!$C8)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 t="e">
        <f>SUM(Q21:Q28)</f>
        <v>#REF!</v>
      </c>
      <c r="R29" t="e">
        <f>SUM(R21:R28)</f>
        <v>#REF!</v>
      </c>
      <c r="S29" t="e">
        <f>SUM(S21:S28)</f>
        <v>#REF!</v>
      </c>
      <c r="T29" s="12" t="e">
        <f>SUM(T21:T28)</f>
        <v>#REF!</v>
      </c>
      <c r="U29" s="15" t="e">
        <f>IF(T29=0,0,S29/T29)</f>
        <v>#REF!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165</v>
      </c>
      <c r="K49" s="41"/>
      <c r="L49" s="41"/>
    </row>
    <row r="50" spans="1:15">
      <c r="B50" t="s">
        <v>64</v>
      </c>
      <c r="C50" t="s">
        <v>65</v>
      </c>
      <c r="D50" s="33" t="s">
        <v>66</v>
      </c>
      <c r="E50" t="s">
        <v>166</v>
      </c>
      <c r="H50" s="12" t="s">
        <v>116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57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60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62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58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61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162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163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164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159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A5" sqref="A5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18.28515625" style="1" hidden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158</v>
      </c>
    </row>
    <row r="2" spans="1:21" ht="55.5" customHeight="1" thickBot="1">
      <c r="B2" s="50"/>
      <c r="C2" s="50"/>
      <c r="D2" s="23"/>
      <c r="E2" s="23"/>
      <c r="F2" s="42" t="s">
        <v>80</v>
      </c>
      <c r="G2" s="20"/>
      <c r="H2" s="35" t="s">
        <v>79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46" t="s">
        <v>117</v>
      </c>
      <c r="G3" s="11"/>
      <c r="H3" s="24"/>
      <c r="I3" s="25"/>
      <c r="J3" s="26"/>
      <c r="K3" s="26"/>
      <c r="T3" s="40" t="s">
        <v>83</v>
      </c>
    </row>
    <row r="4" spans="1:21" ht="17.25" customHeight="1">
      <c r="B4" s="23"/>
      <c r="C4" s="23"/>
      <c r="D4" s="23"/>
      <c r="E4" s="23"/>
      <c r="F4" s="46" t="s">
        <v>87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0" t="s">
        <v>167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154</v>
      </c>
    </row>
    <row r="7" spans="1:21">
      <c r="A7" s="43"/>
      <c r="B7" s="44" t="s">
        <v>119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3" t="s">
        <v>118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84</v>
      </c>
      <c r="B9" s="37" t="s">
        <v>82</v>
      </c>
      <c r="C9" s="37" t="s">
        <v>0</v>
      </c>
      <c r="D9" s="37" t="s">
        <v>72</v>
      </c>
      <c r="E9" s="37" t="s">
        <v>114</v>
      </c>
      <c r="F9" s="37" t="s">
        <v>24</v>
      </c>
      <c r="G9" s="37" t="s">
        <v>25</v>
      </c>
      <c r="H9" s="37" t="s">
        <v>1</v>
      </c>
      <c r="I9" s="37" t="s">
        <v>2</v>
      </c>
      <c r="J9" s="37" t="s">
        <v>3</v>
      </c>
      <c r="K9" s="37" t="s">
        <v>85</v>
      </c>
      <c r="L9" s="37" t="s">
        <v>11</v>
      </c>
      <c r="M9" s="37" t="s">
        <v>17</v>
      </c>
      <c r="N9" s="38" t="s">
        <v>67</v>
      </c>
      <c r="O9" s="38" t="s">
        <v>19</v>
      </c>
      <c r="P9" s="39" t="s">
        <v>57</v>
      </c>
      <c r="Q9" s="39" t="s">
        <v>55</v>
      </c>
      <c r="R9" s="39" t="s">
        <v>56</v>
      </c>
      <c r="S9" s="39" t="s">
        <v>58</v>
      </c>
      <c r="T9" s="39" t="s">
        <v>59</v>
      </c>
      <c r="U9" s="38" t="s">
        <v>113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10</xdr:col>
                    <xdr:colOff>600075</xdr:colOff>
                    <xdr:row>1</xdr:row>
                    <xdr:rowOff>619125</xdr:rowOff>
                  </from>
                  <to>
                    <xdr:col>12</xdr:col>
                    <xdr:colOff>590550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10</xdr:col>
                    <xdr:colOff>600075</xdr:colOff>
                    <xdr:row>1</xdr:row>
                    <xdr:rowOff>314325</xdr:rowOff>
                  </from>
                  <to>
                    <xdr:col>12</xdr:col>
                    <xdr:colOff>590550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10</xdr:col>
                    <xdr:colOff>600075</xdr:colOff>
                    <xdr:row>3</xdr:row>
                    <xdr:rowOff>0</xdr:rowOff>
                  </from>
                  <to>
                    <xdr:col>12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10</xdr:col>
                    <xdr:colOff>409575</xdr:colOff>
                    <xdr:row>1</xdr:row>
                    <xdr:rowOff>123825</xdr:rowOff>
                  </from>
                  <to>
                    <xdr:col>14</xdr:col>
                    <xdr:colOff>1352550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12</xdr:col>
                    <xdr:colOff>647700</xdr:colOff>
                    <xdr:row>1</xdr:row>
                    <xdr:rowOff>323850</xdr:rowOff>
                  </from>
                  <to>
                    <xdr:col>14</xdr:col>
                    <xdr:colOff>1133475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12</xdr:col>
                    <xdr:colOff>647700</xdr:colOff>
                    <xdr:row>1</xdr:row>
                    <xdr:rowOff>609600</xdr:rowOff>
                  </from>
                  <to>
                    <xdr:col>14</xdr:col>
                    <xdr:colOff>1133475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8"/>
  <sheetViews>
    <sheetView workbookViewId="0">
      <selection activeCell="J7" sqref="J7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48</v>
      </c>
      <c r="L1" s="12" t="s">
        <v>74</v>
      </c>
      <c r="M1" s="12" t="s">
        <v>86</v>
      </c>
      <c r="N1" s="12" t="s">
        <v>108</v>
      </c>
      <c r="O1" s="12" t="s">
        <v>111</v>
      </c>
      <c r="P1" s="12" t="s">
        <v>110</v>
      </c>
      <c r="Q1" s="12" t="s">
        <v>116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79</v>
      </c>
      <c r="G2" t="s">
        <v>31</v>
      </c>
      <c r="H2" t="s">
        <v>39</v>
      </c>
      <c r="J2" t="s">
        <v>81</v>
      </c>
      <c r="K2" t="s">
        <v>49</v>
      </c>
      <c r="L2" t="s">
        <v>75</v>
      </c>
      <c r="M2" t="s">
        <v>87</v>
      </c>
      <c r="N2" t="s">
        <v>106</v>
      </c>
      <c r="O2" t="str">
        <f>IF(Checklist!F4=Values!M3,"no","yes")</f>
        <v>yes</v>
      </c>
      <c r="P2" t="s">
        <v>109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160</v>
      </c>
      <c r="G3" t="s">
        <v>32</v>
      </c>
      <c r="H3" t="s">
        <v>40</v>
      </c>
      <c r="J3" t="s">
        <v>161</v>
      </c>
      <c r="K3" t="s">
        <v>50</v>
      </c>
      <c r="L3" t="s">
        <v>30</v>
      </c>
      <c r="M3" t="s">
        <v>88</v>
      </c>
      <c r="N3" t="s">
        <v>112</v>
      </c>
      <c r="O3" t="s">
        <v>107</v>
      </c>
      <c r="P3" t="s">
        <v>109</v>
      </c>
    </row>
    <row r="4" spans="1:17">
      <c r="A4" t="s">
        <v>6</v>
      </c>
      <c r="B4" s="8" t="s">
        <v>9</v>
      </c>
      <c r="F4" t="s">
        <v>28</v>
      </c>
      <c r="G4" t="s">
        <v>33</v>
      </c>
      <c r="H4" t="s">
        <v>42</v>
      </c>
      <c r="J4" t="s">
        <v>45</v>
      </c>
      <c r="K4" t="s">
        <v>51</v>
      </c>
      <c r="L4" t="s">
        <v>55</v>
      </c>
    </row>
    <row r="5" spans="1:17">
      <c r="B5" s="8" t="s">
        <v>63</v>
      </c>
      <c r="F5" t="s">
        <v>168</v>
      </c>
      <c r="G5" t="s">
        <v>34</v>
      </c>
      <c r="H5" t="s">
        <v>115</v>
      </c>
      <c r="J5" t="s">
        <v>169</v>
      </c>
      <c r="K5" t="s">
        <v>52</v>
      </c>
      <c r="L5" t="s">
        <v>73</v>
      </c>
    </row>
    <row r="6" spans="1:17">
      <c r="B6" s="9" t="s">
        <v>10</v>
      </c>
      <c r="F6" t="s">
        <v>29</v>
      </c>
      <c r="G6" t="s">
        <v>35</v>
      </c>
      <c r="H6" t="s">
        <v>41</v>
      </c>
      <c r="J6" t="s">
        <v>46</v>
      </c>
      <c r="K6" t="s">
        <v>53</v>
      </c>
      <c r="L6" t="s">
        <v>76</v>
      </c>
    </row>
    <row r="7" spans="1:17">
      <c r="F7" t="s">
        <v>95</v>
      </c>
      <c r="G7" t="s">
        <v>101</v>
      </c>
      <c r="J7" t="s">
        <v>47</v>
      </c>
      <c r="K7" t="s">
        <v>100</v>
      </c>
    </row>
    <row r="8" spans="1:17">
      <c r="F8" t="s">
        <v>94</v>
      </c>
      <c r="J8" t="s">
        <v>93</v>
      </c>
    </row>
    <row r="9" spans="1:17">
      <c r="F9" t="s">
        <v>43</v>
      </c>
      <c r="J9" t="s">
        <v>54</v>
      </c>
    </row>
    <row r="10" spans="1:17">
      <c r="F10" t="s">
        <v>96</v>
      </c>
      <c r="J10" t="s">
        <v>97</v>
      </c>
    </row>
    <row r="11" spans="1:17">
      <c r="F11" t="s">
        <v>68</v>
      </c>
      <c r="J11" t="s">
        <v>69</v>
      </c>
    </row>
    <row r="12" spans="1:17">
      <c r="F12" t="s">
        <v>71</v>
      </c>
      <c r="J12" t="s">
        <v>70</v>
      </c>
    </row>
    <row r="13" spans="1:17">
      <c r="F13" t="s">
        <v>91</v>
      </c>
      <c r="J13" t="s">
        <v>92</v>
      </c>
    </row>
    <row r="14" spans="1:17">
      <c r="F14" t="s">
        <v>89</v>
      </c>
      <c r="J14" t="s">
        <v>90</v>
      </c>
    </row>
    <row r="15" spans="1:17">
      <c r="F15" t="s">
        <v>98</v>
      </c>
      <c r="J15" t="s">
        <v>99</v>
      </c>
    </row>
    <row r="16" spans="1:17">
      <c r="F16" t="s">
        <v>102</v>
      </c>
      <c r="J16" t="s">
        <v>103</v>
      </c>
    </row>
    <row r="17" spans="6:10">
      <c r="F17" t="s">
        <v>77</v>
      </c>
      <c r="J17" t="s">
        <v>78</v>
      </c>
    </row>
    <row r="18" spans="6:10">
      <c r="F18" t="s">
        <v>104</v>
      </c>
      <c r="J18" t="s">
        <v>105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122</v>
      </c>
      <c r="C2" s="47"/>
    </row>
    <row r="3" spans="1:9">
      <c r="A3" t="s">
        <v>155</v>
      </c>
    </row>
    <row r="4" spans="1:9">
      <c r="A4" t="s">
        <v>156</v>
      </c>
    </row>
    <row r="5" spans="1:9">
      <c r="A5" t="s">
        <v>157</v>
      </c>
      <c r="C5">
        <v>100</v>
      </c>
    </row>
    <row r="7" spans="1:9">
      <c r="A7" s="12" t="s">
        <v>123</v>
      </c>
      <c r="B7" s="12" t="s">
        <v>124</v>
      </c>
      <c r="C7" s="12" t="s">
        <v>125</v>
      </c>
      <c r="D7" s="12" t="s">
        <v>126</v>
      </c>
      <c r="E7" s="12" t="s">
        <v>127</v>
      </c>
      <c r="F7" s="12" t="s">
        <v>143</v>
      </c>
      <c r="G7" s="12" t="s">
        <v>144</v>
      </c>
      <c r="H7" s="12" t="s">
        <v>145</v>
      </c>
      <c r="I7" s="12" t="s">
        <v>128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120</v>
      </c>
      <c r="B1240" t="s">
        <v>121</v>
      </c>
    </row>
    <row r="1241" spans="1:9">
      <c r="A1241" t="s">
        <v>120</v>
      </c>
      <c r="B1241" t="s">
        <v>121</v>
      </c>
      <c r="C1241" t="s">
        <v>131</v>
      </c>
      <c r="D1241" t="s">
        <v>129</v>
      </c>
      <c r="E1241" t="s">
        <v>132</v>
      </c>
      <c r="F1241" t="s">
        <v>148</v>
      </c>
      <c r="G1241" t="s">
        <v>147</v>
      </c>
      <c r="H1241" t="s">
        <v>130</v>
      </c>
      <c r="I1241" t="s">
        <v>146</v>
      </c>
    </row>
    <row r="1242" spans="1:9">
      <c r="A1242" t="s">
        <v>120</v>
      </c>
      <c r="B1242" t="s">
        <v>121</v>
      </c>
      <c r="C1242" t="s">
        <v>135</v>
      </c>
      <c r="D1242" t="s">
        <v>133</v>
      </c>
      <c r="E1242" t="s">
        <v>134</v>
      </c>
      <c r="F1242" t="s">
        <v>148</v>
      </c>
      <c r="G1242" t="s">
        <v>147</v>
      </c>
      <c r="H1242" t="s">
        <v>149</v>
      </c>
    </row>
    <row r="1243" spans="1:9">
      <c r="A1243" t="s">
        <v>120</v>
      </c>
      <c r="B1243" t="s">
        <v>121</v>
      </c>
      <c r="C1243" t="s">
        <v>136</v>
      </c>
      <c r="D1243" t="s">
        <v>133</v>
      </c>
      <c r="E1243" t="s">
        <v>134</v>
      </c>
      <c r="F1243" t="s">
        <v>148</v>
      </c>
      <c r="G1243" t="s">
        <v>147</v>
      </c>
      <c r="H1243" t="s">
        <v>150</v>
      </c>
    </row>
    <row r="1244" spans="1:9">
      <c r="A1244" t="s">
        <v>120</v>
      </c>
      <c r="B1244" t="s">
        <v>121</v>
      </c>
      <c r="C1244" t="s">
        <v>138</v>
      </c>
      <c r="D1244" t="s">
        <v>133</v>
      </c>
      <c r="E1244" t="s">
        <v>137</v>
      </c>
      <c r="F1244" t="s">
        <v>148</v>
      </c>
      <c r="G1244" t="s">
        <v>147</v>
      </c>
      <c r="H1244" t="s">
        <v>151</v>
      </c>
    </row>
    <row r="1245" spans="1:9">
      <c r="A1245" t="s">
        <v>120</v>
      </c>
      <c r="B1245" t="s">
        <v>121</v>
      </c>
      <c r="C1245" t="s">
        <v>139</v>
      </c>
      <c r="D1245" t="s">
        <v>133</v>
      </c>
      <c r="E1245" t="s">
        <v>140</v>
      </c>
      <c r="F1245" t="s">
        <v>148</v>
      </c>
      <c r="G1245" t="s">
        <v>147</v>
      </c>
      <c r="H1245" t="s">
        <v>152</v>
      </c>
    </row>
    <row r="1246" spans="1:9">
      <c r="A1246" t="s">
        <v>120</v>
      </c>
      <c r="B1246" t="s">
        <v>121</v>
      </c>
      <c r="C1246" t="s">
        <v>141</v>
      </c>
      <c r="D1246" t="s">
        <v>133</v>
      </c>
      <c r="E1246" t="s">
        <v>142</v>
      </c>
      <c r="F1246" t="s">
        <v>148</v>
      </c>
      <c r="G1246" t="s">
        <v>147</v>
      </c>
      <c r="H1246" t="s">
        <v>153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2024-06-28T05:37:46Z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