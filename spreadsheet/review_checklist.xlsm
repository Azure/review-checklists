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andre-dewes\review-checklists\spreadsheet\"/>
    </mc:Choice>
  </mc:AlternateContent>
  <xr:revisionPtr revIDLastSave="0" documentId="13_ncr:1_{CEB95B94-FF5D-4562-9BD2-E7F4124B8BD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<sst xmlns="http://schemas.openxmlformats.org/spreadsheetml/2006/main" count="379" uniqueCount="193">
  <si>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</si>
  <si>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</si>
  <si>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</si>
  <si>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</si>
  <si>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</si>
  <si>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</si>
  <si>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</si>
  <si>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</si>
  <si>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</si>
  <si>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</si>
  <si>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</si>
  <si>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</si>
  <si>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</si>
  <si>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</si>
  <si>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</si>
  <si>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</si>
  <si>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</si>
  <si>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</si>
  <si>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</si>
  <si>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</si>
  <si>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</si>
  <si>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</si>
  <si>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</si>
  <si>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</si>
  <si>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</si>
  <si>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</si>
  <si>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</si>
  <si>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</si>
  <si>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</si>
  <si>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</si>
  <si>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</si>
  <si>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</si>
  <si>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</si>
  <si>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</si>
  <si>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</si>
  <si>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</si>
  <si>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</si>
  <si>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</si>
  <si>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</si>
  <si>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</si>
  <si>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</si>
  <si>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</si>
  <si>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</si>
  <si>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</si>
  <si>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</si>
  <si>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</si>
  <si>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</si>
  <si>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</si>
  <si>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</si>
  <si>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</si>
  <si>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</si>
  <si>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</si>
  <si>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</si>
  <si>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</si>
  <si>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</si>
  <si>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</si>
  <si>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</si>
  <si>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</si>
  <si>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</si>
  <si>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</si>
  <si>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</si>
  <si>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</si>
  <si>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</si>
  <si>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</si>
  <si>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</si>
  <si>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</si>
  <si>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</si>
  <si>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</si>
  <si>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</si>
  <si>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</si>
  <si>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</si>
  <si>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</si>
  <si>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</si>
  <si>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</si>
  <si>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</si>
  <si>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</si>
  <si>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</si>
  <si>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</si>
  <si>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</si>
  <si>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</si>
  <si>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</si>
  <si>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</si>
  <si>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</si>
  <si>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</si>
  <si>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</si>
  <si>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</si>
  <si>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</si>
  <si>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</si>
  <si>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</si>
  <si>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</si>
  <si>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</si>
  <si>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</si>
  <si>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(GA)</t>
  </si>
  <si>
    <t>Identity and Access Management</t>
  </si>
  <si>
    <t>Identity</t>
  </si>
  <si>
    <t>Network Topology and Connectivity</t>
  </si>
  <si>
    <t>Best practices</t>
  </si>
  <si>
    <t>Monitoring</t>
  </si>
  <si>
    <t>Monitoring and Management</t>
  </si>
  <si>
    <t>Management</t>
  </si>
  <si>
    <t>BC/DR</t>
  </si>
  <si>
    <t>Azure API Management Review</t>
  </si>
  <si>
    <t>Use Backends feature to eliminate redundant API backend configurations</t>
  </si>
  <si>
    <t>06862505-2d9a-4874-9491-2837b00a3475</t>
  </si>
  <si>
    <t>Use Named Values to store common values that can be used in policies</t>
  </si>
  <si>
    <t>03b125d5-b69b-4739-b7fd-84b86da4933e</t>
  </si>
  <si>
    <t>Business continuity and disaster recovery</t>
  </si>
  <si>
    <t>Deploy to multiple Azure regions</t>
  </si>
  <si>
    <t>beae759e-4ddb-4326-bf26-47f87d3454b6</t>
  </si>
  <si>
    <t>Deploy at least two scale units spread over two availability zones per region for best availability and performance</t>
  </si>
  <si>
    <t>9c8d1664-dd9a-49d4-bd83-950af0af4044</t>
  </si>
  <si>
    <t>Ensure there is an automated backup routine</t>
  </si>
  <si>
    <t>8d2db6e8-85c6-4118-a52c-ae76a4f27934</t>
  </si>
  <si>
    <t>Performance and scalability</t>
  </si>
  <si>
    <t>Consider using a external cache policy for APIs that can benefit from caching</t>
  </si>
  <si>
    <t>f96ddac5-77ec-4fa9-8833-4327f052059e</t>
  </si>
  <si>
    <t>If you need to log at high performance levels, consider Event Hubs policy</t>
  </si>
  <si>
    <t>8210699f-8d43-45c2-8f19-57e54134bd8f</t>
  </si>
  <si>
    <t>Apply throttling policies to control the number of requests per second</t>
  </si>
  <si>
    <t>121bfc39-fa7b-4096-b93b-ab56c1bc0bed</t>
  </si>
  <si>
    <t>Configure autoscaling to scale out the number of instances when the load increases</t>
  </si>
  <si>
    <t>bb5f356b-3daf-47a2-a9ee-867a8100bbd5</t>
  </si>
  <si>
    <t>Deploy self-hosted gateways where Azure doesn't have a region close to the backend APIs.</t>
  </si>
  <si>
    <t>84b94abb-59b6-4b9d-8587-3413669468e8</t>
  </si>
  <si>
    <t>Governance</t>
  </si>
  <si>
    <t>Development best practices</t>
  </si>
  <si>
    <t>Implement an error handling policy at the global level</t>
  </si>
  <si>
    <t>d7941d4a-7b6f-458f-8714-2f8f8c059ad4</t>
  </si>
  <si>
    <t>Ensure all APIs policies include a &lt;base/&gt; element.</t>
  </si>
  <si>
    <t>0b0c0765-ff37-4369-90bd-3eb23ce71b08</t>
  </si>
  <si>
    <t>Use Policy Fragments to avoid repeating same policies definitions across multiple APIs</t>
  </si>
  <si>
    <t>a5c45b03-93b6-42fe-b16b-8fccb6a79902</t>
  </si>
  <si>
    <t>Monetization</t>
  </si>
  <si>
    <t>If you are planning to monetize your APIs, review the 'monetization support' article for best practices</t>
  </si>
  <si>
    <t>c3818a95-6ff3-4474-88dc-e809b46dad6a</t>
  </si>
  <si>
    <t>Enable Diagnostics Settings to export logs to Azure Monitor</t>
  </si>
  <si>
    <t>a7d0840a-c8c4-4e83-adec-5ca578eb4049</t>
  </si>
  <si>
    <t>Enable Application Insights for more detailed telemetry</t>
  </si>
  <si>
    <t>8691fa38-45ed-4299-a247-fecd98d35deb</t>
  </si>
  <si>
    <t>Configure alerts on the most critical metrics</t>
  </si>
  <si>
    <t>55fd27bb-76ac-4a91-bc37-049e885be6b7</t>
  </si>
  <si>
    <t>Data protection</t>
  </si>
  <si>
    <t>Ensure that custom SSL certificates are stored an Azure Key Vault so they can be securely accessed and updated</t>
  </si>
  <si>
    <t>39460bdb-156f-4dc2-a87f-1e8c11ab0998</t>
  </si>
  <si>
    <t>Protect incoming requests to APIs (data plane) with Azure AD</t>
  </si>
  <si>
    <t>e9217997-5f6c-479d-8576-8f2adf706ec8</t>
  </si>
  <si>
    <t>Use Azure AD to authenticate users in the Developer Portal</t>
  </si>
  <si>
    <t>5e5f64ba-c90e-480e-8888-398d96cf0bfb</t>
  </si>
  <si>
    <t>Privileged access</t>
  </si>
  <si>
    <t>Create appropriate groups to control the visibility of the products</t>
  </si>
  <si>
    <t>f8e574ce-280f-49c8-b2ef-68279b081cf3</t>
  </si>
  <si>
    <t>Deploy the service within a Virtual Network (VNET)</t>
  </si>
  <si>
    <t>cd45c90e-7690-4753-930b-bf290c69c074</t>
  </si>
  <si>
    <t>Deploy network security groups (NSG) to your subnets to restrict or monitor traffic</t>
  </si>
  <si>
    <t>02661582-b3d1-48d1-9d7b-c6a918a0ca33</t>
  </si>
  <si>
    <t>Deploy Private Endpoints to filter incoming traffic when VNET is not used</t>
  </si>
  <si>
    <t>67437a28-2721-4a2c-becd-caa54c8237a5</t>
  </si>
  <si>
    <t>Disable Public Network Access</t>
  </si>
  <si>
    <t>d698adbd-3288-44cb-b10a-9b572da395ae</t>
  </si>
  <si>
    <t>Connectivity</t>
  </si>
  <si>
    <t>Use Azure Front Door for multi-region deployment</t>
  </si>
  <si>
    <t>7519e385-a88b-4d34-966b-6269d686e890</t>
  </si>
  <si>
    <t>Platform automation and DevOps</t>
  </si>
  <si>
    <t>Automation</t>
  </si>
  <si>
    <t>Simplify management with PowerShell automation scripts</t>
  </si>
  <si>
    <t>0674d750-0c6f-4ac0-8717-ceec04d0bdbd</t>
  </si>
  <si>
    <t>Review DevOps best practices from the Cloud Adaption Framework APIM Landing Zone Accelerator</t>
  </si>
  <si>
    <t>c385bfcd-49fd-4786-81ba-cedbb4c57345</t>
  </si>
  <si>
    <t>Promote usage of Visual Studio Code APIM extension for faster API development</t>
  </si>
  <si>
    <t>6c3a27c0-197f-426c-9ffa-86fed51d9ab6</t>
  </si>
  <si>
    <t>DevOps</t>
  </si>
  <si>
    <t>Implement DevOps and CI/CD in your workflow</t>
  </si>
  <si>
    <t>354f1c03-8112-4965-85ad-c0074bddf231</t>
  </si>
  <si>
    <t>APIs</t>
  </si>
  <si>
    <t>Secure APIs using client certificate authentication</t>
  </si>
  <si>
    <t>b6439493-426a-45f3-9697-cf65baee208d</t>
  </si>
  <si>
    <t>Secure backend services using client certificate authentication</t>
  </si>
  <si>
    <t>2a67d143-1033-4c0a-8732-680896478f08</t>
  </si>
  <si>
    <t>Review 'Recommendations to mitigate OWASP API Security Top 10 threats' article and check what is applicable to your APIs</t>
  </si>
  <si>
    <t>074435f5-4a46-41ac-b521-d6114cb5d845</t>
  </si>
  <si>
    <t>Use Authorizations feature to simplify management of OAuth 2.0 token for your backend APIs</t>
  </si>
  <si>
    <t>5507c4b8-a7f8-41d6-9661-418c987100c9</t>
  </si>
  <si>
    <t>Ciphers</t>
  </si>
  <si>
    <t>Use the latest TLS version when encrypting information in transit. Disable outdated and unnecessary protocols and ciphers when possible.</t>
  </si>
  <si>
    <t>2deee033-b906-4bc2-9f26-c8d3699fe091</t>
  </si>
  <si>
    <t>Ensure that secrets (Named values) are stored an Azure Key Vault so they can be securely accessed and updated</t>
  </si>
  <si>
    <t>f8af3d94-1d2b-4070-846f-849197524258</t>
  </si>
  <si>
    <t>Identities</t>
  </si>
  <si>
    <t>Use managed identities to authenticate to other Azure resources whenever possible</t>
  </si>
  <si>
    <t>791abd8b-7706-4e31-9569-afefde724be3</t>
  </si>
  <si>
    <t>Network</t>
  </si>
  <si>
    <t>Use web application firewall (WAF) by deploying Application Gateway in front of APIM</t>
  </si>
  <si>
    <t>220c4ca6-6688-476b-b2b5-425a78e6fb87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</si>
</sst>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9</c:v>
                </c:pt>
                <c:pt idx="1">
                  <c:v>28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pi-management/mitigate-owasp-api-threats" TargetMode="External"/><Relationship Id="rId21" Type="http://schemas.openxmlformats.org/officeDocument/2006/relationships/hyperlink" Target="https://docs.microsoft.com/azure/azure-monitor/logs/design-logs-deployment" TargetMode="External"/><Relationship Id="rId42" Type="http://schemas.openxmlformats.org/officeDocument/2006/relationships/hyperlink" Target="https://docs.microsoft.com/azure/key-vault/general/best-practices" TargetMode="External"/><Relationship Id="rId47" Type="http://schemas.openxmlformats.org/officeDocument/2006/relationships/hyperlink" Target="https://docs.microsoft.com/azure/key-vault/general/monitor-key-vault" TargetMode="External"/><Relationship Id="rId63" Type="http://schemas.openxmlformats.org/officeDocument/2006/relationships/hyperlink" Target="https://docs.microsoft.com/azure/active-directory/reports-monitoring/overview-reports" TargetMode="External"/><Relationship Id="rId68" Type="http://schemas.openxmlformats.org/officeDocument/2006/relationships/hyperlink" Target="https://docs.microsoft.com/azure/network-watcher/network-watcher-monitoring-overview" TargetMode="External"/><Relationship Id="rId84" Type="http://schemas.openxmlformats.org/officeDocument/2006/relationships/hyperlink" Target="https://learn.microsoft.com/azure/frontdoor/best-practices" TargetMode="External"/><Relationship Id="rId89" Type="http://schemas.openxmlformats.org/officeDocument/2006/relationships/hyperlink" Target="https://learn.microsoft.com/azure/web-application-firewall/afds/waf-front-door-best-practices" TargetMode="External"/><Relationship Id="rId112" Type="http://schemas.openxmlformats.org/officeDocument/2006/relationships/hyperlink" Target="https://learn.microsoft.com/azure/cloud-adoption-framework/scenarios/app-platform/api-management/platform-automation-and-devops" TargetMode="External"/><Relationship Id="rId16" Type="http://schemas.openxmlformats.org/officeDocument/2006/relationships/hyperlink" Target="https://docs.microsoft.com/azure/cloud-adoption-framework/ready/azure-best-practices/plan-for-traffic-inspection" TargetMode="External"/><Relationship Id="rId10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" Type="http://schemas.openxmlformats.org/officeDocument/2006/relationships/hyperlink" Target="https://learn.microsoft.com/azure/api-management/set-edit-policies?tabs=form" TargetMode="External"/><Relationship Id="rId32" Type="http://schemas.openxmlformats.org/officeDocument/2006/relationships/hyperlink" Target="https://docs.microsoft.com/azure/azure-monitor/logs/design-logs-deployment" TargetMode="External"/><Relationship Id="rId37" Type="http://schemas.openxmlformats.org/officeDocument/2006/relationships/hyperlink" Target="https://docs.microsoft.com/azure/architecture/framework/resiliency/backup-and-recovery" TargetMode="External"/><Relationship Id="rId53" Type="http://schemas.openxmlformats.org/officeDocument/2006/relationships/hyperlink" Target="https://docs.microsoft.com/azure/cloud-adoption-framework/ready/azure-best-practices/naming-and-tagging" TargetMode="External"/><Relationship Id="rId58" Type="http://schemas.openxmlformats.org/officeDocument/2006/relationships/hyperlink" Target="https://docs.microsoft.com/azure/governance/policy/overview" TargetMode="External"/><Relationship Id="rId74" Type="http://schemas.openxmlformats.org/officeDocument/2006/relationships/hyperlink" Target="https://docs.microsoft.com/security/benchmark/azure/security-control-incident-response" TargetMode="External"/><Relationship Id="rId79" Type="http://schemas.openxmlformats.org/officeDocument/2006/relationships/hyperlink" Target="https://learn.microsoft.com/azure/frontdoor/best-practices" TargetMode="External"/><Relationship Id="rId102" Type="http://schemas.openxmlformats.org/officeDocument/2006/relationships/hyperlink" Target="https://learn.microsoft.com/azure/api-management/api-management-howto-aad" TargetMode="External"/><Relationship Id="rId123" Type="http://schemas.openxmlformats.org/officeDocument/2006/relationships/printerSettings" Target="../printerSettings/printerSettings2.bin"/><Relationship Id="rId128" Type="http://schemas.openxmlformats.org/officeDocument/2006/relationships/ctrlProp" Target="../ctrlProps/ctrlProp3.xml"/><Relationship Id="rId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" Type="http://schemas.openxmlformats.org/officeDocument/2006/relationships/hyperlink" Target="https://learn.microsoft.com/azure/web-application-firewall/afds/waf-front-door-best-practices" TargetMode="External"/><Relationship Id="rId95" Type="http://schemas.openxmlformats.org/officeDocument/2006/relationships/hyperlink" Target="https://learn.microsoft.com/azure/web-application-firewall/afds/waf-front-door-best-practices" TargetMode="External"/><Relationship Id="rId22" Type="http://schemas.openxmlformats.org/officeDocument/2006/relationships/hyperlink" Target="https://docs.microsoft.com/learn/paths/architect-infrastructure-operations/" TargetMode="External"/><Relationship Id="rId27" Type="http://schemas.openxmlformats.org/officeDocument/2006/relationships/hyperlink" Target="https://docs.microsoft.com/azure/azure-resource-manager/management/lock-resources?tabs=json" TargetMode="External"/><Relationship Id="rId43" Type="http://schemas.openxmlformats.org/officeDocument/2006/relationships/hyperlink" Target="https://docs.microsoft.com/azure/key-vault/general/best-practices" TargetMode="External"/><Relationship Id="rId48" Type="http://schemas.openxmlformats.org/officeDocument/2006/relationships/hyperlink" Target="https://docs.microsoft.com/azure/key-vault/general/best-practices" TargetMode="External"/><Relationship Id="rId64" Type="http://schemas.openxmlformats.org/officeDocument/2006/relationships/hyperlink" Target="https://docs.microsoft.com/azure/azure-monitor/logs/logs-data-export?tabs=portal" TargetMode="External"/><Relationship Id="rId69" Type="http://schemas.openxmlformats.org/officeDocument/2006/relationships/hyperlink" Target="https://docs.microsoft.com/learn/paths/azure-administrator-manage-compute-resources/" TargetMode="External"/><Relationship Id="rId113" Type="http://schemas.openxmlformats.org/officeDocument/2006/relationships/hyperlink" Target="https://learn.microsoft.com/azure/api-management/visual-studio-code-tutorial" TargetMode="External"/><Relationship Id="rId118" Type="http://schemas.openxmlformats.org/officeDocument/2006/relationships/hyperlink" Target="https://learn.microsoft.com/azure/api-management/authorizations-overview" TargetMode="External"/><Relationship Id="rId80" Type="http://schemas.openxmlformats.org/officeDocument/2006/relationships/hyperlink" Target="https://learn.microsoft.com/azure/frontdoor/best-practices" TargetMode="External"/><Relationship Id="rId85" Type="http://schemas.openxmlformats.org/officeDocument/2006/relationships/hyperlink" Target="https://learn.microsoft.com/azure/frontdoor/best-practices" TargetMode="External"/><Relationship Id="rId12" Type="http://schemas.openxmlformats.org/officeDocument/2006/relationships/hyperlink" Target="https://learn.microsoft.com/azure/api-management/policy-fragments" TargetMode="External"/><Relationship Id="rId17" Type="http://schemas.openxmlformats.org/officeDocument/2006/relationships/hyperlink" Target="https://docs.microsoft.com/azure/azure-monitor/logs/design-logs-deployment" TargetMode="External"/><Relationship Id="rId33" Type="http://schemas.openxmlformats.org/officeDocument/2006/relationships/hyperlink" Target="https://docs.microsoft.com/azure/cloud-adoption-framework/ready/azure-setup-guide/monitoring-reporting?tabs=AzureMonitor" TargetMode="External"/><Relationship Id="rId38" Type="http://schemas.openxmlformats.org/officeDocument/2006/relationships/hyperlink" Target="https://docs.microsoft.com/azure/backup/backup-center-overview" TargetMode="External"/><Relationship Id="rId59" Type="http://schemas.openxmlformats.org/officeDocument/2006/relationships/hyperlink" Target="https://docs.microsoft.com/azure/governance/policy/overview" TargetMode="External"/><Relationship Id="rId103" Type="http://schemas.openxmlformats.org/officeDocument/2006/relationships/hyperlink" Target="https://learn.microsoft.com/azure/api-management/api-management-howto-create-groups" TargetMode="External"/><Relationship Id="rId108" Type="http://schemas.openxmlformats.org/officeDocument/2006/relationships/hyperlink" Target="https://learn.microsoft.com/azure/api-management/front-door-api-management" TargetMode="External"/><Relationship Id="rId124" Type="http://schemas.openxmlformats.org/officeDocument/2006/relationships/drawing" Target="../drawings/drawing2.xml"/><Relationship Id="rId129" Type="http://schemas.openxmlformats.org/officeDocument/2006/relationships/ctrlProp" Target="../ctrlProps/ctrlProp4.xml"/><Relationship Id="rId54" Type="http://schemas.openxmlformats.org/officeDocument/2006/relationships/hyperlink" Target="https://docs.microsoft.com/azure/governance/policy/overview" TargetMode="External"/><Relationship Id="rId70" Type="http://schemas.openxmlformats.org/officeDocument/2006/relationships/hyperlink" Target="https://docs.microsoft.com/learn/modules/configure-network-watcher/" TargetMode="External"/><Relationship Id="rId75" Type="http://schemas.openxmlformats.org/officeDocument/2006/relationships/hyperlink" Target="https://docs.microsoft.com/security/benchmark/azure/security-control-incident-response" TargetMode="External"/><Relationship Id="rId91" Type="http://schemas.openxmlformats.org/officeDocument/2006/relationships/hyperlink" Target="https://learn.microsoft.com/azure/web-application-firewall/afds/waf-front-door-best-practices" TargetMode="External"/><Relationship Id="rId96" Type="http://schemas.openxmlformats.org/officeDocument/2006/relationships/hyperlink" Target="https://learn.microsoft.com/azure/web-application-firewall/afds/waf-front-door-best-practices" TargetMode="External"/><Relationship Id="rId1" Type="http://schemas.openxmlformats.org/officeDocument/2006/relationships/hyperlink" Target="https://learn.microsoft.com/azure/api-management/backends" TargetMode="External"/><Relationship Id="rId6" Type="http://schemas.openxmlformats.org/officeDocument/2006/relationships/hyperlink" Target="https://learn.microsoft.com/azure/api-management/api-management-howto-cache-external" TargetMode="External"/><Relationship Id="rId23" Type="http://schemas.openxmlformats.org/officeDocument/2006/relationships/hyperlink" Target="https://docs.microsoft.com/azure/governance/policy/how-to/guest-configuration-create" TargetMode="External"/><Relationship Id="rId28" Type="http://schemas.openxmlformats.org/officeDocument/2006/relationships/hyperlink" Target="https://docs.microsoft.com/azure/governance/policy/overview" TargetMode="External"/><Relationship Id="rId49" Type="http://schemas.openxmlformats.org/officeDocument/2006/relationships/hyperlink" Target="https://docs.microsoft.com/azure/security/fundamentals/encryption-atrest" TargetMode="External"/><Relationship Id="rId114" Type="http://schemas.openxmlformats.org/officeDocument/2006/relationships/hyperlink" Target="https://learn.microsoft.com/azure/api-management/devops-api-development-templates" TargetMode="External"/><Relationship Id="rId119" Type="http://schemas.openxmlformats.org/officeDocument/2006/relationships/hyperlink" Target="https://learn.microsoft.com/azure/api-management/api-management-howto-manage-protocols-ciphers" TargetMode="External"/><Relationship Id="rId44" Type="http://schemas.openxmlformats.org/officeDocument/2006/relationships/hyperlink" Target="https://docs.microsoft.com/azure/key-vault/general/best-practices" TargetMode="External"/><Relationship Id="rId60" Type="http://schemas.openxmlformats.org/officeDocument/2006/relationships/hyperlink" Target="https://docs.microsoft.com/azure/governance/policy/overview" TargetMode="External"/><Relationship Id="rId65" Type="http://schemas.openxmlformats.org/officeDocument/2006/relationships/hyperlink" Target="https://docs.microsoft.com/azure/security-center/" TargetMode="External"/><Relationship Id="rId81" Type="http://schemas.openxmlformats.org/officeDocument/2006/relationships/hyperlink" Target="https://learn.microsoft.com/azure/frontdoor/best-practices" TargetMode="External"/><Relationship Id="rId86" Type="http://schemas.openxmlformats.org/officeDocument/2006/relationships/hyperlink" Target="https://learn.microsoft.com/azure/web-application-firewall/afds/waf-front-door-best-practices" TargetMode="External"/><Relationship Id="rId130" Type="http://schemas.openxmlformats.org/officeDocument/2006/relationships/ctrlProp" Target="../ctrlProps/ctrlProp5.xml"/><Relationship Id="rId13" Type="http://schemas.openxmlformats.org/officeDocument/2006/relationships/hyperlink" Target="https://learn.microsoft.com/azure/api-management/monetization-support" TargetMode="External"/><Relationship Id="rId18" Type="http://schemas.openxmlformats.org/officeDocument/2006/relationships/hyperlink" Target="https://docs.microsoft.com/azure/azure-monitor/logs/design-logs-deployment" TargetMode="External"/><Relationship Id="rId39" Type="http://schemas.openxmlformats.org/officeDocument/2006/relationships/hyperlink" Target="https://docs.microsoft.com/azure/architecture/best-practices/monitoring" TargetMode="External"/><Relationship Id="rId109" Type="http://schemas.openxmlformats.org/officeDocument/2006/relationships/hyperlink" Target="https://learn.microsoft.com/azure/api-management/automation-manage-api-management" TargetMode="External"/><Relationship Id="rId34" Type="http://schemas.openxmlformats.org/officeDocument/2006/relationships/hyperlink" Target="https://docs.microsoft.com/azure/azure-monitor/agents/diagnostics-extension-overview" TargetMode="External"/><Relationship Id="rId50" Type="http://schemas.openxmlformats.org/officeDocument/2006/relationships/hyperlink" Target="https://docs.microsoft.com/azure/key-vault/general/best-practices" TargetMode="External"/><Relationship Id="rId55" Type="http://schemas.openxmlformats.org/officeDocument/2006/relationships/hyperlink" Target="https://docs.microsoft.com/azure/governance/policy/overview" TargetMode="External"/><Relationship Id="rId76" Type="http://schemas.openxmlformats.org/officeDocument/2006/relationships/hyperlink" Target="https://learn.microsoft.com/azure/frontdoor/best-practices" TargetMode="External"/><Relationship Id="rId97" Type="http://schemas.openxmlformats.org/officeDocument/2006/relationships/hyperlink" Target="https://learn.microsoft.com/azure/web-application-firewall/afds/waf-front-door-best-practices" TargetMode="External"/><Relationship Id="rId10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5" Type="http://schemas.openxmlformats.org/officeDocument/2006/relationships/vmlDrawing" Target="../drawings/vmlDrawing1.vml"/><Relationship Id="rId7" Type="http://schemas.openxmlformats.org/officeDocument/2006/relationships/hyperlink" Target="https://learn.microsoft.com/azure/api-management/api-management-howto-log-event-hubs" TargetMode="External"/><Relationship Id="rId71" Type="http://schemas.openxmlformats.org/officeDocument/2006/relationships/hyperlink" Target="https://docs.microsoft.com/learn/paths/implement-resource-mgmt-security/" TargetMode="External"/><Relationship Id="rId92" Type="http://schemas.openxmlformats.org/officeDocument/2006/relationships/hyperlink" Target="https://learn.microsoft.com/azure/web-application-firewall/afds/waf-front-door-best-practices" TargetMode="External"/><Relationship Id="rId2" Type="http://schemas.openxmlformats.org/officeDocument/2006/relationships/hyperlink" Target="https://learn.microsoft.com/azure/api-management/api-management-howto-properties?tabs=azure-portal" TargetMode="External"/><Relationship Id="rId29" Type="http://schemas.openxmlformats.org/officeDocument/2006/relationships/hyperlink" Target="https://docs.microsoft.com/azure/service-health/alerts-activity-log-service-notifications-portal" TargetMode="External"/><Relationship Id="rId24" Type="http://schemas.openxmlformats.org/officeDocument/2006/relationships/hyperlink" Target="https://docs.microsoft.com/learn/paths/implement-resource-mgmt-security/" TargetMode="External"/><Relationship Id="rId40" Type="http://schemas.openxmlformats.org/officeDocument/2006/relationships/hyperlink" Target="https://docs.microsoft.com/azure/key-vault/general/overview" TargetMode="External"/><Relationship Id="rId45" Type="http://schemas.openxmlformats.org/officeDocument/2006/relationships/hyperlink" Target="https://docs.microsoft.com/azure/key-vault/general/best-practices" TargetMode="External"/><Relationship Id="rId66" Type="http://schemas.openxmlformats.org/officeDocument/2006/relationships/hyperlink" Target="https://docs.microsoft.com/azure/security-center/" TargetMode="External"/><Relationship Id="rId87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training/modules/improve-api-performance-with-apim-caching-policy/" TargetMode="External"/><Relationship Id="rId115" Type="http://schemas.openxmlformats.org/officeDocument/2006/relationships/hyperlink" Target="https://learn.microsoft.com/azure/api-management/api-management-howto-mutual-certificates-for-clients" TargetMode="External"/><Relationship Id="rId61" Type="http://schemas.openxmlformats.org/officeDocument/2006/relationships/hyperlink" Target="https://docs.microsoft.com/azure/governance/policy/concepts/guest-configuration" TargetMode="External"/><Relationship Id="rId82" Type="http://schemas.openxmlformats.org/officeDocument/2006/relationships/hyperlink" Target="https://learn.microsoft.com/azure/frontdoor/best-practices" TargetMode="External"/><Relationship Id="rId19" Type="http://schemas.openxmlformats.org/officeDocument/2006/relationships/hyperlink" Target="https://docs.microsoft.com/azure/azure-monitor/logs/design-logs-deployment" TargetMode="External"/><Relationship Id="rId14" Type="http://schemas.openxmlformats.org/officeDocument/2006/relationships/hyperlink" Target="https://learn.microsoft.com/azure/api-management/api-management-howto-use-azure-monitor" TargetMode="External"/><Relationship Id="rId30" Type="http://schemas.openxmlformats.org/officeDocument/2006/relationships/hyperlink" Target="https://docs.microsoft.com/azure/azure-monitor/alerts/action-groups" TargetMode="External"/><Relationship Id="rId35" Type="http://schemas.openxmlformats.org/officeDocument/2006/relationships/hyperlink" Target="https://docs.microsoft.com/azure/azure-monitor/alerts/alerts-overview" TargetMode="External"/><Relationship Id="rId56" Type="http://schemas.openxmlformats.org/officeDocument/2006/relationships/hyperlink" Target="https://docs.microsoft.com/azure/governance/policy/overview" TargetMode="External"/><Relationship Id="rId77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6" Type="http://schemas.openxmlformats.org/officeDocument/2006/relationships/ctrlProp" Target="../ctrlProps/ctrlProp1.xml"/><Relationship Id="rId8" Type="http://schemas.openxmlformats.org/officeDocument/2006/relationships/hyperlink" Target="https://learn.microsoft.com/azure/api-management/api-management-sample-flexible-throttling" TargetMode="External"/><Relationship Id="rId51" Type="http://schemas.openxmlformats.org/officeDocument/2006/relationships/hyperlink" Target="https://docs.microsoft.com/azure/key-vault/general/best-practices" TargetMode="External"/><Relationship Id="rId72" Type="http://schemas.openxmlformats.org/officeDocument/2006/relationships/hyperlink" Target="https://docs.microsoft.com/security/benchmark/azure/security-control-incident-response" TargetMode="External"/><Relationship Id="rId93" Type="http://schemas.openxmlformats.org/officeDocument/2006/relationships/hyperlink" Target="https://learn.microsoft.com/azure/web-application-firewall/afds/waf-front-door-best-practices" TargetMode="External"/><Relationship Id="rId98" Type="http://schemas.openxmlformats.org/officeDocument/2006/relationships/hyperlink" Target="https://learn.microsoft.com/azure/api-management/api-management-howto-provision-self-hosted-gateway" TargetMode="External"/><Relationship Id="rId1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" Type="http://schemas.openxmlformats.org/officeDocument/2006/relationships/hyperlink" Target="https://learn.microsoft.com/azure/api-management/api-management-howto-deploy-multi-region" TargetMode="External"/><Relationship Id="rId25" Type="http://schemas.openxmlformats.org/officeDocument/2006/relationships/hyperlink" Target="https://docs.microsoft.com/azure/automation/update-management/overview" TargetMode="External"/><Relationship Id="rId46" Type="http://schemas.openxmlformats.org/officeDocument/2006/relationships/hyperlink" Target="https://docs.microsoft.com/azure/key-vault/general/best-practices" TargetMode="External"/><Relationship Id="rId67" Type="http://schemas.openxmlformats.org/officeDocument/2006/relationships/hyperlink" Target="https://docs.microsoft.com/azure/azure-monitor/logs/design-logs-deployment" TargetMode="External"/><Relationship Id="rId116" Type="http://schemas.openxmlformats.org/officeDocument/2006/relationships/hyperlink" Target="https://learn.microsoft.com/azure/api-management/api-management-howto-mutual-certificates" TargetMode="External"/><Relationship Id="rId20" Type="http://schemas.openxmlformats.org/officeDocument/2006/relationships/hyperlink" Target="https://docs.microsoft.com/learn/paths/architect-infrastructure-operations/" TargetMode="External"/><Relationship Id="rId41" Type="http://schemas.openxmlformats.org/officeDocument/2006/relationships/hyperlink" Target="https://docs.microsoft.com/azure/key-vault/general/overview-throttling" TargetMode="External"/><Relationship Id="rId62" Type="http://schemas.openxmlformats.org/officeDocument/2006/relationships/hyperlink" Target="https://docs.microsoft.com/azure/cloud-adoption-framework/ready/landing-zone/design-area/management-operational-compliance" TargetMode="External"/><Relationship Id="rId83" Type="http://schemas.openxmlformats.org/officeDocument/2006/relationships/hyperlink" Target="https://learn.microsoft.com/azure/frontdoor/best-practices" TargetMode="External"/><Relationship Id="rId88" Type="http://schemas.openxmlformats.org/officeDocument/2006/relationships/hyperlink" Target="https://learn.microsoft.com/azure/web-application-firewall/afds/waf-front-door-best-practices" TargetMode="External"/><Relationship Id="rId111" Type="http://schemas.openxmlformats.org/officeDocument/2006/relationships/hyperlink" Target="https://learn.microsoft.com/training/modules/protect-apis-on-api-management/" TargetMode="External"/><Relationship Id="rId15" Type="http://schemas.openxmlformats.org/officeDocument/2006/relationships/hyperlink" Target="https://learn.microsoft.com/azure/api-management/api-management-howto-app-insights" TargetMode="External"/><Relationship Id="rId36" Type="http://schemas.openxmlformats.org/officeDocument/2006/relationships/hyperlink" Target="https://docs.microsoft.com/azure/site-recovery/site-recovery-overview" TargetMode="External"/><Relationship Id="rId57" Type="http://schemas.openxmlformats.org/officeDocument/2006/relationships/hyperlink" Target="https://docs.microsoft.com/azure/governance/policy/overview" TargetMode="External"/><Relationship Id="rId10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7" Type="http://schemas.openxmlformats.org/officeDocument/2006/relationships/ctrlProp" Target="../ctrlProps/ctrlProp2.xml"/><Relationship Id="rId10" Type="http://schemas.openxmlformats.org/officeDocument/2006/relationships/hyperlink" Target="https://learn.microsoft.com/azure/api-management/api-management-error-handling-policies" TargetMode="External"/><Relationship Id="rId31" Type="http://schemas.openxmlformats.org/officeDocument/2006/relationships/hyperlink" Target="https://docs.microsoft.com/azure/sentinel/quickstart-onboard" TargetMode="External"/><Relationship Id="rId52" Type="http://schemas.openxmlformats.org/officeDocument/2006/relationships/hyperlink" Target="https://docs.microsoft.com/azure/governance/policy/overview" TargetMode="External"/><Relationship Id="rId73" Type="http://schemas.openxmlformats.org/officeDocument/2006/relationships/hyperlink" Target="https://www.microsoft.com/security/business/zero-trust" TargetMode="External"/><Relationship Id="rId78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web-application-firewall/afds/waf-front-door-best-practices" TargetMode="External"/><Relationship Id="rId99" Type="http://schemas.openxmlformats.org/officeDocument/2006/relationships/hyperlink" Target="https://learn.microsoft.com/azure/api-management/api-management-howto-use-azure-monitor" TargetMode="External"/><Relationship Id="rId10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" Type="http://schemas.openxmlformats.org/officeDocument/2006/relationships/hyperlink" Target="https://learn.microsoft.com/azure/api-management/high-availability" TargetMode="External"/><Relationship Id="rId9" Type="http://schemas.openxmlformats.org/officeDocument/2006/relationships/hyperlink" Target="https://learn.microsoft.com/azure/api-management/api-management-howto-autoscale" TargetMode="External"/><Relationship Id="rId26" Type="http://schemas.openxmlformats.org/officeDocument/2006/relationships/hyperlink" Target="https://docs.microsoft.com/azure/network-watcher/network-watcher-monitorin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9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9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4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4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28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28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5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5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1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1</v>
      </c>
      <c r="I8" s="13" t="str">
        <f>IF(Values!$C4="","",Values!$C4)</f>
        <v>Security</v>
      </c>
      <c r="J8" cm="1">
        <f t="array" ref="J8">IF($I8="","",SUMPRODUCT(--(Checklist!$A$10:$A$487=$I8)*--(Checklist!$F$10:$F$487=J$5)))</f>
        <v>8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8</v>
      </c>
    </row>
    <row r="9" spans="1:15">
      <c r="B9">
        <f t="shared" ref="B9:G9" si="1">SUM(B6:B8)</f>
        <v>38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38</v>
      </c>
      <c r="I9" s="13" t="str">
        <f>IF(Values!$C5="","",Values!$C5)</f>
        <v>Management</v>
      </c>
      <c r="J9" cm="1">
        <f t="array" ref="J9">IF($I9="","",SUMPRODUCT(--(Checklist!$A$10:$A$487=$I9)*--(Checklist!$F$10:$F$487=J$5)))</f>
        <v>10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10</v>
      </c>
    </row>
    <row r="10" spans="1:15">
      <c r="I10" s="13" t="str">
        <f>IF(Values!$C6="","",Values!$C6)</f>
        <v>Governance</v>
      </c>
      <c r="J10" cm="1">
        <f t="array" ref="J10">IF($I10="","",SUMPRODUCT(--(Checklist!$A$10:$A$487=$I10)*--(Checklist!$F$10:$F$487=J$5)))</f>
        <v>7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7</v>
      </c>
    </row>
    <row r="11" spans="1:15">
      <c r="I11" s="13" t="str">
        <f>IF(Values!$C7="","",Values!$C7)</f>
        <v>Platform automation and DevOps</v>
      </c>
      <c r="J11" cm="1">
        <f t="array" ref="J11">IF($I11="","",SUMPRODUCT(--(Checklist!$A$10:$A$487=$I11)*--(Checklist!$F$10:$F$487=J$5)))</f>
        <v>4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4</v>
      </c>
    </row>
    <row r="12" spans="1:15">
      <c r="I12" s="13" t="str">
        <f>IF(Values!$C8="","",Values!$C8)</f>
        <v>Monitoring and Management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>BC/DR</v>
      </c>
      <c r="J13" cm="1">
        <f t="array" ref="J13">IF($I13="","",SUMPRODUCT(--(Checklist!$A$10:$A$487=$I13)*--(Checklist!$F$10:$F$487=J$5)))</f>
        <v>0</v>
      </c>
      <c r="K13" cm="1">
        <f t="array" ref="K13">IF($I13="","",SUMPRODUCT(--(Checklist!$A$10:$A$487=$I13)*--(Checklist!$F$10:$F$487=K$5)))</f>
        <v>0</v>
      </c>
      <c r="L13" cm="1">
        <f t="array" ref="L13">IF($I13="","",SUMPRODUCT(--(Checklist!$A$10:$A$487=$I13)*--(Checklist!$F$10:$F$487=L$5)))</f>
        <v>0</v>
      </c>
      <c r="M13" cm="1">
        <f t="array" ref="M13">IF($I13="","",SUMPRODUCT(--(Checklist!$A$10:$A$487=$I13)*--(Checklist!$F$10:$F$487=M$5)))</f>
        <v>0</v>
      </c>
      <c r="N13" cm="1">
        <f t="array" ref="N13">IF($I13="","",SUMPRODUCT(--(Checklist!$A$10:$A$487=$I13)*--(Checklist!$F$10:$F$487=N$5)))</f>
        <v>0</v>
      </c>
      <c r="O13">
        <f t="shared" si="0"/>
        <v>0</v>
      </c>
    </row>
    <row r="14" spans="1:15">
      <c r="J14">
        <f>SUM(J6:J13)</f>
        <v>38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38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4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4</v>
      </c>
      <c r="U21" s="15">
        <f>IF($P21="","",S21/T21)</f>
        <v>0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5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5</v>
      </c>
      <c r="U22" s="15">
        <f t="shared" ref="U22:U27" si="3">IF($P22="","",S22/T22)</f>
        <v>0</v>
      </c>
    </row>
    <row r="23" spans="16:21">
      <c r="P23" s="13" t="str">
        <f>IF(Values!$C4="","",Values!$C4)</f>
        <v>Security</v>
      </c>
      <c r="Q23" cm="1">
        <f t="array" ref="Q23">IF($P23="","",SUMPRODUCT(--(Checklist!$A$10:$A$487=$P23)*--(Checklist!$F$10:$F$487=Q$20)))</f>
        <v>8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8</v>
      </c>
      <c r="U23" s="15">
        <f t="shared" si="3"/>
        <v>0</v>
      </c>
    </row>
    <row r="24" spans="16:21">
      <c r="P24" s="13" t="str">
        <f>IF(Values!$C5="","",Values!$C5)</f>
        <v>Management</v>
      </c>
      <c r="Q24" cm="1">
        <f t="array" ref="Q24">IF($P24="","",SUMPRODUCT(--(Checklist!$A$10:$A$487=$P24)*--(Checklist!$F$10:$F$487=Q$20)))</f>
        <v>10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10</v>
      </c>
      <c r="U24" s="15">
        <f t="shared" si="3"/>
        <v>0</v>
      </c>
    </row>
    <row r="25" spans="16:21">
      <c r="P25" s="13" t="str">
        <f>IF(Values!$C6="","",Values!$C6)</f>
        <v>Governance</v>
      </c>
      <c r="Q25" cm="1">
        <f t="array" ref="Q25">IF($P25="","",SUMPRODUCT(--(Checklist!$A$10:$A$487=$P25)*--(Checklist!$F$10:$F$487=Q$20)))</f>
        <v>7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7</v>
      </c>
      <c r="U25" s="15">
        <f t="shared" si="3"/>
        <v>0</v>
      </c>
    </row>
    <row r="26" spans="16:21">
      <c r="P26" s="13" t="str">
        <f>IF(Values!$C7="","",Values!$C7)</f>
        <v>Platform automation and DevOps</v>
      </c>
      <c r="Q26" cm="1">
        <f t="array" ref="Q26">IF($P26="","",SUMPRODUCT(--(Checklist!$A$10:$A$487=$P26)*--(Checklist!$F$10:$F$487=Q$20)))</f>
        <v>4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4</v>
      </c>
      <c r="U26" s="15">
        <f t="shared" si="3"/>
        <v>0</v>
      </c>
    </row>
    <row r="27" spans="16:21">
      <c r="P27" s="13" t="str">
        <f>IF(Values!$C8="","",Values!$C8)</f>
        <v>Monitoring and Management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>BC/DR</v>
      </c>
      <c r="Q28" cm="1">
        <f t="array" ref="Q28">IF($P28="","",SUMPRODUCT(--(Checklist!$A$10:$A$487=$P28)*--(Checklist!$F$10:$F$487=Q$20)))</f>
        <v>0</v>
      </c>
      <c r="R28" cm="1">
        <f t="array" ref="R28">IF($P28="","",SUMPRODUCT(--(Checklist!$A$10:$A$487=$P28)*--(Checklist!$F$10:$F$487=R$20)))</f>
        <v>0</v>
      </c>
      <c r="S28" cm="1">
        <f t="array" ref="S28">IF($P28="","",SUMPRODUCT(--(Checklist!$A$10:$A$487=$P28)*(--(Checklist!$F$10:$F$487=Values!$B$4)+--(Checklist!$F$10:$F$487=Values!$B$5)+--(Checklist!$F$10:$F$487=Values!$B$6))))</f>
        <v>0</v>
      </c>
      <c r="T28">
        <f>IF($P28="","",SUM(Q28:S28))</f>
        <v>0</v>
      </c>
      <c r="U28" s="15" t="e">
        <f>IF($P28="","",S28/T28)</f>
        <v>#DIV/0!</v>
      </c>
    </row>
    <row r="29" spans="16:21">
      <c r="Q29">
        <f>SUM(Q21:Q28)</f>
        <v>38</v>
      </c>
      <c r="R29">
        <f>SUM(R21:R28)</f>
        <v>0</v>
      </c>
      <c r="S29">
        <f>SUM(S21:S28)</f>
        <v>0</v>
      </c>
      <c r="T29" s="13">
        <f>SUM(T21:T28)</f>
        <v>38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0"/>
      <c r="B2" s="40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101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7.25">
      <c r="A7" s="39" t="s">
        <v>92</v>
      </c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 t="s">
        <v>99</v>
      </c>
      <c r="B10" s="31" t="s">
        <v>96</v>
      </c>
      <c r="C10" s="31" t="s">
        <v>102</v>
      </c>
      <c r="D10" s="31"/>
      <c r="E10" s="31" t="s">
        <v>8</v>
      </c>
      <c r="F10" s="2" t="s">
        <v>6</v>
      </c>
      <c r="G10" s="31"/>
      <c r="H10" s="21" t="s">
        <v>13</v>
      </c>
      <c r="I10" s="21"/>
      <c r="J10" s="32"/>
      <c r="K10" s="32" t="s">
        <v>103</v>
      </c>
      <c r="L10" s="35"/>
      <c r="M10" s="35"/>
      <c r="N10" s="35"/>
      <c r="O10" s="35"/>
      <c r="P10" s="35"/>
    </row>
    <row r="11" spans="1:16" ht="16.5" customHeight="1">
      <c r="A11" s="31" t="s">
        <v>99</v>
      </c>
      <c r="B11" s="31" t="s">
        <v>96</v>
      </c>
      <c r="C11" s="31" t="s">
        <v>104</v>
      </c>
      <c r="D11" s="31"/>
      <c r="E11" s="31" t="s">
        <v>8</v>
      </c>
      <c r="F11" s="2" t="s">
        <v>6</v>
      </c>
      <c r="G11" s="31"/>
      <c r="H11" s="21" t="s">
        <v>13</v>
      </c>
      <c r="I11" s="21"/>
      <c r="J11" s="32"/>
      <c r="K11" s="32" t="s">
        <v>105</v>
      </c>
      <c r="L11" s="35"/>
      <c r="M11" s="35"/>
      <c r="N11" s="35"/>
      <c r="O11" s="35"/>
      <c r="P11" s="35"/>
    </row>
    <row r="12" spans="1:16" ht="16.5" customHeight="1">
      <c r="A12" s="31" t="s">
        <v>99</v>
      </c>
      <c r="B12" s="31" t="s">
        <v>106</v>
      </c>
      <c r="C12" s="31" t="s">
        <v>107</v>
      </c>
      <c r="D12" s="31"/>
      <c r="E12" s="31" t="s">
        <v>8</v>
      </c>
      <c r="F12" s="2" t="s">
        <v>6</v>
      </c>
      <c r="G12" s="31"/>
      <c r="H12" s="21" t="s">
        <v>13</v>
      </c>
      <c r="I12" s="21"/>
      <c r="J12" s="32"/>
      <c r="K12" s="33" t="s">
        <v>108</v>
      </c>
      <c r="L12" s="35"/>
      <c r="M12" s="35"/>
      <c r="N12" s="35"/>
      <c r="O12" s="35"/>
      <c r="P12" s="35"/>
    </row>
    <row r="13" spans="1:16" ht="16.5" customHeight="1">
      <c r="A13" s="31" t="s">
        <v>99</v>
      </c>
      <c r="B13" s="31" t="s">
        <v>106</v>
      </c>
      <c r="C13" s="31" t="s">
        <v>109</v>
      </c>
      <c r="D13" s="31"/>
      <c r="E13" s="31" t="s">
        <v>8</v>
      </c>
      <c r="F13" s="2" t="s">
        <v>6</v>
      </c>
      <c r="G13" s="31"/>
      <c r="H13" s="21" t="s">
        <v>13</v>
      </c>
      <c r="I13" s="21"/>
      <c r="J13" s="32"/>
      <c r="K13" s="32" t="s">
        <v>110</v>
      </c>
      <c r="L13" s="35"/>
      <c r="M13" s="35"/>
      <c r="N13" s="35"/>
      <c r="O13" s="35"/>
      <c r="P13" s="35"/>
    </row>
    <row r="14" spans="1:16" ht="16.5" customHeight="1">
      <c r="A14" s="31" t="s">
        <v>99</v>
      </c>
      <c r="B14" s="31" t="s">
        <v>106</v>
      </c>
      <c r="C14" s="31" t="s">
        <v>111</v>
      </c>
      <c r="D14" s="31"/>
      <c r="E14" s="31" t="s">
        <v>5</v>
      </c>
      <c r="F14" s="2" t="s">
        <v>6</v>
      </c>
      <c r="G14" s="31"/>
      <c r="H14" s="21" t="s">
        <v>13</v>
      </c>
      <c r="I14" s="21"/>
      <c r="J14" s="32"/>
      <c r="K14" s="32" t="s">
        <v>112</v>
      </c>
      <c r="L14" s="35"/>
      <c r="M14" s="35"/>
      <c r="N14" s="35"/>
      <c r="O14" s="35"/>
      <c r="P14" s="35"/>
    </row>
    <row r="15" spans="1:16" ht="16.5" customHeight="1">
      <c r="A15" s="31" t="s">
        <v>99</v>
      </c>
      <c r="B15" s="31" t="s">
        <v>113</v>
      </c>
      <c r="C15" s="31" t="s">
        <v>114</v>
      </c>
      <c r="D15" s="31"/>
      <c r="E15" s="31" t="s">
        <v>8</v>
      </c>
      <c r="F15" s="2" t="s">
        <v>6</v>
      </c>
      <c r="G15" s="31"/>
      <c r="H15" s="21" t="s">
        <v>13</v>
      </c>
      <c r="I15" s="21" t="s">
        <v>19</v>
      </c>
      <c r="J15" s="32"/>
      <c r="K15" s="32" t="s">
        <v>115</v>
      </c>
      <c r="L15" s="35"/>
      <c r="M15" s="35"/>
      <c r="N15" s="35"/>
      <c r="O15" s="35"/>
      <c r="P15" s="35"/>
    </row>
    <row r="16" spans="1:16" ht="16.5" customHeight="1">
      <c r="A16" s="31" t="s">
        <v>99</v>
      </c>
      <c r="B16" s="31" t="s">
        <v>113</v>
      </c>
      <c r="C16" s="31" t="s">
        <v>116</v>
      </c>
      <c r="D16" s="31"/>
      <c r="E16" s="31" t="s">
        <v>7</v>
      </c>
      <c r="F16" s="2" t="s">
        <v>6</v>
      </c>
      <c r="G16" s="31"/>
      <c r="H16" s="21" t="s">
        <v>13</v>
      </c>
      <c r="I16" s="21"/>
      <c r="J16" s="32"/>
      <c r="K16" s="32" t="s">
        <v>117</v>
      </c>
      <c r="L16" s="35"/>
      <c r="M16" s="35"/>
      <c r="N16" s="35"/>
      <c r="O16" s="35"/>
      <c r="P16" s="35"/>
    </row>
    <row r="17" spans="1:16" ht="16.5" customHeight="1">
      <c r="A17" s="31" t="s">
        <v>99</v>
      </c>
      <c r="B17" s="31" t="s">
        <v>113</v>
      </c>
      <c r="C17" s="31" t="s">
        <v>118</v>
      </c>
      <c r="D17" s="31"/>
      <c r="E17" s="31" t="s">
        <v>8</v>
      </c>
      <c r="F17" s="2" t="s">
        <v>6</v>
      </c>
      <c r="G17" s="31"/>
      <c r="H17" s="21" t="s">
        <v>13</v>
      </c>
      <c r="I17" s="21" t="s">
        <v>19</v>
      </c>
      <c r="J17" s="32"/>
      <c r="K17" s="32" t="s">
        <v>119</v>
      </c>
      <c r="L17" s="35"/>
      <c r="M17" s="35"/>
      <c r="N17" s="35"/>
      <c r="O17" s="35"/>
      <c r="P17" s="35"/>
    </row>
    <row r="18" spans="1:16" ht="16.5" customHeight="1">
      <c r="A18" s="31" t="s">
        <v>99</v>
      </c>
      <c r="B18" s="31" t="s">
        <v>113</v>
      </c>
      <c r="C18" s="31" t="s">
        <v>120</v>
      </c>
      <c r="D18" s="31"/>
      <c r="E18" s="31" t="s">
        <v>8</v>
      </c>
      <c r="F18" s="2" t="s">
        <v>6</v>
      </c>
      <c r="G18" s="31"/>
      <c r="H18" s="21" t="s">
        <v>13</v>
      </c>
      <c r="I18" s="21"/>
      <c r="J18" s="32"/>
      <c r="K18" s="32" t="s">
        <v>121</v>
      </c>
      <c r="L18" s="35"/>
      <c r="M18" s="35"/>
      <c r="N18" s="35"/>
      <c r="O18" s="35"/>
      <c r="P18" s="35"/>
    </row>
    <row r="19" spans="1:16" ht="16.5" customHeight="1">
      <c r="A19" s="31" t="s">
        <v>99</v>
      </c>
      <c r="B19" s="31" t="s">
        <v>113</v>
      </c>
      <c r="C19" s="31" t="s">
        <v>122</v>
      </c>
      <c r="D19" s="31"/>
      <c r="E19" s="31" t="s">
        <v>8</v>
      </c>
      <c r="F19" s="2" t="s">
        <v>6</v>
      </c>
      <c r="G19" s="31"/>
      <c r="H19" s="21" t="s">
        <v>13</v>
      </c>
      <c r="I19" s="21"/>
      <c r="J19" s="32"/>
      <c r="K19" s="32" t="s">
        <v>123</v>
      </c>
      <c r="L19" s="35"/>
      <c r="M19" s="35"/>
      <c r="N19" s="35"/>
      <c r="O19" s="35"/>
      <c r="P19" s="35"/>
    </row>
    <row r="20" spans="1:16" ht="16.5" customHeight="1">
      <c r="A20" s="31" t="s">
        <v>124</v>
      </c>
      <c r="B20" s="31" t="s">
        <v>125</v>
      </c>
      <c r="C20" s="31" t="s">
        <v>126</v>
      </c>
      <c r="D20" s="31"/>
      <c r="E20" s="31" t="s">
        <v>8</v>
      </c>
      <c r="F20" s="2" t="s">
        <v>6</v>
      </c>
      <c r="G20" s="31"/>
      <c r="H20" s="21" t="s">
        <v>13</v>
      </c>
      <c r="I20" s="21"/>
      <c r="J20" s="32"/>
      <c r="K20" s="32" t="s">
        <v>127</v>
      </c>
      <c r="L20" s="35"/>
      <c r="M20" s="35"/>
      <c r="N20" s="35"/>
      <c r="O20" s="35"/>
      <c r="P20" s="35"/>
    </row>
    <row r="21" spans="1:16" ht="16.5" customHeight="1">
      <c r="A21" s="31" t="s">
        <v>124</v>
      </c>
      <c r="B21" s="31" t="s">
        <v>125</v>
      </c>
      <c r="C21" s="31" t="s">
        <v>128</v>
      </c>
      <c r="D21" s="31"/>
      <c r="E21" s="31" t="s">
        <v>8</v>
      </c>
      <c r="F21" s="2" t="s">
        <v>6</v>
      </c>
      <c r="G21" s="31"/>
      <c r="H21" s="21" t="s">
        <v>13</v>
      </c>
      <c r="I21" s="21"/>
      <c r="J21" s="32"/>
      <c r="K21" s="32" t="s">
        <v>129</v>
      </c>
      <c r="L21" s="35"/>
      <c r="M21" s="35"/>
      <c r="N21" s="35"/>
      <c r="O21" s="35"/>
      <c r="P21" s="35"/>
    </row>
    <row r="22" spans="1:16" ht="16.5" customHeight="1">
      <c r="A22" s="31" t="s">
        <v>124</v>
      </c>
      <c r="B22" s="31" t="s">
        <v>125</v>
      </c>
      <c r="C22" s="31" t="s">
        <v>130</v>
      </c>
      <c r="D22" s="31"/>
      <c r="E22" s="31" t="s">
        <v>8</v>
      </c>
      <c r="F22" s="2" t="s">
        <v>6</v>
      </c>
      <c r="G22" s="31"/>
      <c r="H22" s="21" t="s">
        <v>13</v>
      </c>
      <c r="I22" s="21"/>
      <c r="J22" s="32"/>
      <c r="K22" s="32" t="s">
        <v>131</v>
      </c>
      <c r="L22" s="35"/>
      <c r="M22" s="35"/>
      <c r="N22" s="35"/>
      <c r="O22" s="35"/>
      <c r="P22" s="35"/>
    </row>
    <row r="23" spans="1:16" ht="16.5" customHeight="1">
      <c r="A23" s="31" t="s">
        <v>124</v>
      </c>
      <c r="B23" s="31" t="s">
        <v>132</v>
      </c>
      <c r="C23" s="31" t="s">
        <v>133</v>
      </c>
      <c r="D23" s="31"/>
      <c r="E23" s="31" t="s">
        <v>8</v>
      </c>
      <c r="F23" s="2" t="s">
        <v>6</v>
      </c>
      <c r="G23" s="31"/>
      <c r="H23" s="21" t="s">
        <v>13</v>
      </c>
      <c r="I23" s="21"/>
      <c r="J23" s="32"/>
      <c r="K23" s="32" t="s">
        <v>134</v>
      </c>
      <c r="L23" s="35"/>
      <c r="M23" s="35"/>
      <c r="N23" s="35"/>
      <c r="O23" s="35"/>
      <c r="P23" s="35"/>
    </row>
    <row r="24" spans="1:16" ht="16.5" customHeight="1">
      <c r="A24" s="31" t="s">
        <v>124</v>
      </c>
      <c r="B24" s="31" t="s">
        <v>97</v>
      </c>
      <c r="C24" s="31" t="s">
        <v>135</v>
      </c>
      <c r="D24" s="31"/>
      <c r="E24" s="31" t="s">
        <v>5</v>
      </c>
      <c r="F24" s="2" t="s">
        <v>6</v>
      </c>
      <c r="G24" s="31"/>
      <c r="H24" s="21" t="s">
        <v>13</v>
      </c>
      <c r="I24" s="21"/>
      <c r="J24" s="32"/>
      <c r="K24" s="32" t="s">
        <v>136</v>
      </c>
      <c r="L24" s="35"/>
      <c r="M24" s="35"/>
      <c r="N24" s="35"/>
      <c r="O24" s="35"/>
      <c r="P24" s="35"/>
    </row>
    <row r="25" spans="1:16" ht="16.5" customHeight="1">
      <c r="A25" s="31" t="s">
        <v>124</v>
      </c>
      <c r="B25" s="31" t="s">
        <v>97</v>
      </c>
      <c r="C25" s="31" t="s">
        <v>137</v>
      </c>
      <c r="D25" s="31"/>
      <c r="E25" s="31" t="s">
        <v>8</v>
      </c>
      <c r="F25" s="2" t="s">
        <v>6</v>
      </c>
      <c r="G25" s="31"/>
      <c r="H25" s="21" t="s">
        <v>13</v>
      </c>
      <c r="I25" s="21"/>
      <c r="J25" s="32"/>
      <c r="K25" s="33" t="s">
        <v>138</v>
      </c>
      <c r="L25" s="35"/>
      <c r="M25" s="35"/>
      <c r="N25" s="35"/>
      <c r="O25" s="35"/>
      <c r="P25" s="35"/>
    </row>
    <row r="26" spans="1:16" ht="16.5" customHeight="1">
      <c r="A26" s="31" t="s">
        <v>124</v>
      </c>
      <c r="B26" s="31" t="s">
        <v>97</v>
      </c>
      <c r="C26" s="31" t="s">
        <v>139</v>
      </c>
      <c r="D26" s="31"/>
      <c r="E26" s="31" t="s">
        <v>5</v>
      </c>
      <c r="F26" s="2" t="s">
        <v>6</v>
      </c>
      <c r="G26" s="31"/>
      <c r="H26" s="21" t="s">
        <v>13</v>
      </c>
      <c r="I26" s="21"/>
      <c r="J26" s="32"/>
      <c r="K26" s="32" t="s">
        <v>140</v>
      </c>
      <c r="L26" s="35"/>
      <c r="M26" s="35"/>
      <c r="N26" s="35"/>
      <c r="O26" s="35"/>
      <c r="P26" s="35"/>
    </row>
    <row r="27" spans="1:16" ht="16.5" customHeight="1">
      <c r="A27" s="31" t="s">
        <v>93</v>
      </c>
      <c r="B27" s="31" t="s">
        <v>141</v>
      </c>
      <c r="C27" s="31" t="s">
        <v>142</v>
      </c>
      <c r="D27" s="31"/>
      <c r="E27" s="31" t="s">
        <v>5</v>
      </c>
      <c r="F27" s="2" t="s">
        <v>6</v>
      </c>
      <c r="G27" s="31"/>
      <c r="H27" s="21" t="s">
        <v>13</v>
      </c>
      <c r="I27" s="21"/>
      <c r="J27" s="32"/>
      <c r="K27" s="33" t="s">
        <v>143</v>
      </c>
      <c r="L27" s="35"/>
      <c r="M27" s="35"/>
      <c r="N27" s="35"/>
      <c r="O27" s="35"/>
      <c r="P27" s="35"/>
    </row>
    <row r="28" spans="1:16" ht="16.5" customHeight="1">
      <c r="A28" s="31" t="s">
        <v>93</v>
      </c>
      <c r="B28" s="31" t="s">
        <v>94</v>
      </c>
      <c r="C28" s="31" t="s">
        <v>144</v>
      </c>
      <c r="D28" s="31"/>
      <c r="E28" s="31" t="s">
        <v>5</v>
      </c>
      <c r="F28" s="2" t="s">
        <v>6</v>
      </c>
      <c r="G28" s="31"/>
      <c r="H28" s="21" t="s">
        <v>13</v>
      </c>
      <c r="I28" s="21"/>
      <c r="J28" s="32"/>
      <c r="K28" s="32" t="s">
        <v>145</v>
      </c>
      <c r="L28" s="35"/>
      <c r="M28" s="35"/>
      <c r="N28" s="35"/>
      <c r="O28" s="35"/>
      <c r="P28" s="35"/>
    </row>
    <row r="29" spans="1:16" ht="16.5" customHeight="1">
      <c r="A29" s="31" t="s">
        <v>93</v>
      </c>
      <c r="B29" s="31" t="s">
        <v>94</v>
      </c>
      <c r="C29" s="31" t="s">
        <v>146</v>
      </c>
      <c r="D29" s="31"/>
      <c r="E29" s="31" t="s">
        <v>8</v>
      </c>
      <c r="F29" s="2" t="s">
        <v>6</v>
      </c>
      <c r="G29" s="31"/>
      <c r="H29" s="21" t="s">
        <v>13</v>
      </c>
      <c r="I29" s="21"/>
      <c r="J29" s="32"/>
      <c r="K29" s="32" t="s">
        <v>147</v>
      </c>
      <c r="L29" s="35"/>
      <c r="M29" s="35"/>
      <c r="N29" s="35"/>
      <c r="O29" s="35"/>
      <c r="P29" s="35"/>
    </row>
    <row r="30" spans="1:16" ht="16.5" customHeight="1">
      <c r="A30" s="31" t="s">
        <v>93</v>
      </c>
      <c r="B30" s="31" t="s">
        <v>148</v>
      </c>
      <c r="C30" s="31" t="s">
        <v>149</v>
      </c>
      <c r="D30" s="31"/>
      <c r="E30" s="31" t="s">
        <v>8</v>
      </c>
      <c r="F30" s="2" t="s">
        <v>6</v>
      </c>
      <c r="G30" s="31"/>
      <c r="H30" s="21" t="s">
        <v>13</v>
      </c>
      <c r="J30" s="32"/>
      <c r="K30" s="32" t="s">
        <v>150</v>
      </c>
      <c r="L30" s="35"/>
      <c r="M30" s="35"/>
      <c r="N30" s="35"/>
      <c r="O30" s="35"/>
      <c r="P30" s="35"/>
    </row>
    <row r="31" spans="1:16" ht="16.5" customHeight="1">
      <c r="A31" s="31" t="s">
        <v>95</v>
      </c>
      <c r="B31" s="31" t="s">
        <v>33</v>
      </c>
      <c r="C31" s="31" t="s">
        <v>151</v>
      </c>
      <c r="D31" s="31"/>
      <c r="E31" s="31" t="s">
        <v>8</v>
      </c>
      <c r="F31" s="2" t="s">
        <v>6</v>
      </c>
      <c r="G31" s="31"/>
      <c r="H31" s="21" t="s">
        <v>13</v>
      </c>
      <c r="J31" s="32"/>
      <c r="K31" s="32" t="s">
        <v>152</v>
      </c>
      <c r="L31" s="35"/>
      <c r="M31" s="35"/>
      <c r="N31" s="35"/>
      <c r="O31" s="35"/>
      <c r="P31" s="35"/>
    </row>
    <row r="32" spans="1:16" ht="16.5" customHeight="1">
      <c r="A32" s="31" t="s">
        <v>95</v>
      </c>
      <c r="B32" s="31" t="s">
        <v>33</v>
      </c>
      <c r="C32" s="31" t="s">
        <v>153</v>
      </c>
      <c r="D32" s="31"/>
      <c r="E32" s="31" t="s">
        <v>8</v>
      </c>
      <c r="F32" s="2" t="s">
        <v>6</v>
      </c>
      <c r="G32" s="31"/>
      <c r="H32" s="21" t="s">
        <v>13</v>
      </c>
      <c r="J32" s="32"/>
      <c r="K32" s="32" t="s">
        <v>154</v>
      </c>
      <c r="L32" s="35"/>
      <c r="M32" s="35"/>
      <c r="N32" s="35"/>
      <c r="O32" s="35"/>
      <c r="P32" s="35"/>
    </row>
    <row r="33" spans="1:16" ht="16.5" customHeight="1">
      <c r="A33" s="31" t="s">
        <v>95</v>
      </c>
      <c r="B33" s="31" t="s">
        <v>33</v>
      </c>
      <c r="C33" s="31" t="s">
        <v>155</v>
      </c>
      <c r="D33" s="31"/>
      <c r="E33" s="31" t="s">
        <v>8</v>
      </c>
      <c r="F33" s="2" t="s">
        <v>6</v>
      </c>
      <c r="G33" s="31"/>
      <c r="H33" s="21" t="s">
        <v>13</v>
      </c>
      <c r="J33" s="32"/>
      <c r="K33" s="32" t="s">
        <v>156</v>
      </c>
      <c r="L33" s="35"/>
      <c r="M33" s="35"/>
      <c r="N33" s="35"/>
      <c r="O33" s="35"/>
      <c r="P33" s="35"/>
    </row>
    <row r="34" spans="1:16" ht="16.5" customHeight="1">
      <c r="A34" s="31" t="s">
        <v>95</v>
      </c>
      <c r="B34" s="31" t="s">
        <v>33</v>
      </c>
      <c r="C34" s="31" t="s">
        <v>157</v>
      </c>
      <c r="D34" s="31"/>
      <c r="E34" s="31" t="s">
        <v>5</v>
      </c>
      <c r="F34" s="2" t="s">
        <v>6</v>
      </c>
      <c r="G34" s="31"/>
      <c r="H34" s="21" t="s">
        <v>13</v>
      </c>
      <c r="I34" s="21"/>
      <c r="J34" s="32"/>
      <c r="K34" s="32" t="s">
        <v>158</v>
      </c>
      <c r="L34" s="35"/>
      <c r="M34" s="35"/>
      <c r="N34" s="35"/>
      <c r="O34" s="35"/>
      <c r="P34" s="35"/>
    </row>
    <row r="35" spans="1:16" ht="16.5" customHeight="1">
      <c r="A35" s="31" t="s">
        <v>95</v>
      </c>
      <c r="B35" s="31" t="s">
        <v>159</v>
      </c>
      <c r="C35" s="31" t="s">
        <v>160</v>
      </c>
      <c r="D35" s="31"/>
      <c r="E35" s="31" t="s">
        <v>8</v>
      </c>
      <c r="F35" s="2" t="s">
        <v>6</v>
      </c>
      <c r="G35" s="31"/>
      <c r="H35" s="21" t="s">
        <v>13</v>
      </c>
      <c r="I35" s="21"/>
      <c r="J35" s="32"/>
      <c r="K35" s="33" t="s">
        <v>161</v>
      </c>
      <c r="L35" s="35"/>
      <c r="M35" s="35"/>
      <c r="N35" s="35"/>
      <c r="O35" s="35"/>
      <c r="P35" s="35"/>
    </row>
    <row r="36" spans="1:16" ht="16.5" customHeight="1">
      <c r="A36" s="31" t="s">
        <v>162</v>
      </c>
      <c r="B36" s="31" t="s">
        <v>163</v>
      </c>
      <c r="C36" s="31" t="s">
        <v>164</v>
      </c>
      <c r="D36" s="31"/>
      <c r="E36" s="31" t="s">
        <v>8</v>
      </c>
      <c r="F36" s="2" t="s">
        <v>6</v>
      </c>
      <c r="G36" s="31"/>
      <c r="H36" s="21" t="s">
        <v>13</v>
      </c>
      <c r="I36" s="21"/>
      <c r="J36" s="32"/>
      <c r="K36" s="32" t="s">
        <v>165</v>
      </c>
      <c r="L36" s="35"/>
      <c r="M36" s="35"/>
      <c r="N36" s="35"/>
      <c r="O36" s="35"/>
      <c r="P36" s="35"/>
    </row>
    <row r="37" spans="1:16" ht="16.5" customHeight="1">
      <c r="A37" s="31" t="s">
        <v>162</v>
      </c>
      <c r="B37" s="31" t="s">
        <v>96</v>
      </c>
      <c r="C37" s="31" t="s">
        <v>166</v>
      </c>
      <c r="D37" s="31"/>
      <c r="E37" s="31" t="s">
        <v>8</v>
      </c>
      <c r="F37" s="2" t="s">
        <v>6</v>
      </c>
      <c r="G37" s="31"/>
      <c r="H37" s="21" t="s">
        <v>13</v>
      </c>
      <c r="I37" s="21"/>
      <c r="J37" s="32"/>
      <c r="K37" s="32" t="s">
        <v>167</v>
      </c>
      <c r="L37" s="35"/>
      <c r="M37" s="35"/>
      <c r="N37" s="35"/>
      <c r="O37" s="35"/>
      <c r="P37" s="35"/>
    </row>
    <row r="38" spans="1:16" ht="16.5" customHeight="1">
      <c r="A38" s="31" t="s">
        <v>162</v>
      </c>
      <c r="B38" s="31" t="s">
        <v>96</v>
      </c>
      <c r="C38" s="31" t="s">
        <v>168</v>
      </c>
      <c r="D38" s="31"/>
      <c r="E38" s="31" t="s">
        <v>8</v>
      </c>
      <c r="F38" s="2" t="s">
        <v>6</v>
      </c>
      <c r="G38" s="31"/>
      <c r="H38" s="21" t="s">
        <v>13</v>
      </c>
      <c r="I38" s="21"/>
      <c r="J38" s="32"/>
      <c r="K38" s="32" t="s">
        <v>169</v>
      </c>
      <c r="L38" s="35"/>
      <c r="M38" s="35"/>
      <c r="N38" s="35"/>
      <c r="O38" s="35"/>
      <c r="P38" s="35"/>
    </row>
    <row r="39" spans="1:16" ht="16.5" customHeight="1">
      <c r="A39" s="31" t="s">
        <v>162</v>
      </c>
      <c r="B39" s="31" t="s">
        <v>170</v>
      </c>
      <c r="C39" s="31" t="s">
        <v>171</v>
      </c>
      <c r="D39" s="31"/>
      <c r="E39" s="31" t="s">
        <v>8</v>
      </c>
      <c r="F39" s="2" t="s">
        <v>6</v>
      </c>
      <c r="G39" s="31"/>
      <c r="H39" s="21" t="s">
        <v>13</v>
      </c>
      <c r="I39" s="21"/>
      <c r="J39" s="32"/>
      <c r="K39" s="32" t="s">
        <v>172</v>
      </c>
      <c r="L39" s="35"/>
      <c r="M39" s="35"/>
      <c r="N39" s="35"/>
      <c r="O39" s="35"/>
      <c r="P39" s="35"/>
    </row>
    <row r="40" spans="1:16" ht="16.5" customHeight="1">
      <c r="A40" s="31" t="s">
        <v>33</v>
      </c>
      <c r="B40" s="31" t="s">
        <v>173</v>
      </c>
      <c r="C40" s="31" t="s">
        <v>174</v>
      </c>
      <c r="D40" s="31"/>
      <c r="E40" s="31" t="s">
        <v>8</v>
      </c>
      <c r="F40" s="2" t="s">
        <v>6</v>
      </c>
      <c r="G40" s="31"/>
      <c r="H40" s="21" t="s">
        <v>13</v>
      </c>
      <c r="I40" s="21"/>
      <c r="J40" s="32"/>
      <c r="K40" s="32" t="s">
        <v>175</v>
      </c>
      <c r="L40" s="35"/>
      <c r="M40" s="35"/>
      <c r="N40" s="35"/>
      <c r="O40" s="35"/>
      <c r="P40" s="35"/>
    </row>
    <row r="41" spans="1:16" ht="16.5" customHeight="1">
      <c r="A41" s="31" t="s">
        <v>33</v>
      </c>
      <c r="B41" s="31" t="s">
        <v>173</v>
      </c>
      <c r="C41" s="31" t="s">
        <v>176</v>
      </c>
      <c r="D41" s="31"/>
      <c r="E41" s="31" t="s">
        <v>8</v>
      </c>
      <c r="F41" s="2" t="s">
        <v>6</v>
      </c>
      <c r="G41" s="31"/>
      <c r="H41" s="21" t="s">
        <v>13</v>
      </c>
      <c r="I41" s="21"/>
      <c r="J41" s="32"/>
      <c r="K41" s="32" t="s">
        <v>177</v>
      </c>
      <c r="L41" s="35"/>
      <c r="M41" s="35"/>
      <c r="N41" s="35"/>
      <c r="O41" s="35"/>
      <c r="P41" s="35"/>
    </row>
    <row r="42" spans="1:16" ht="16.5" customHeight="1">
      <c r="A42" s="31" t="s">
        <v>33</v>
      </c>
      <c r="B42" s="31" t="s">
        <v>173</v>
      </c>
      <c r="C42" s="31" t="s">
        <v>178</v>
      </c>
      <c r="D42" s="31"/>
      <c r="E42" s="31" t="s">
        <v>8</v>
      </c>
      <c r="F42" s="2" t="s">
        <v>6</v>
      </c>
      <c r="G42" s="31"/>
      <c r="H42" s="21" t="s">
        <v>13</v>
      </c>
      <c r="I42" s="21"/>
      <c r="J42" s="32"/>
      <c r="K42" s="32" t="s">
        <v>179</v>
      </c>
      <c r="L42" s="35"/>
      <c r="M42" s="35"/>
      <c r="N42" s="35"/>
      <c r="O42" s="35"/>
      <c r="P42" s="35"/>
    </row>
    <row r="43" spans="1:16" ht="16.5" customHeight="1">
      <c r="A43" s="31" t="s">
        <v>33</v>
      </c>
      <c r="B43" s="31" t="s">
        <v>173</v>
      </c>
      <c r="C43" s="31" t="s">
        <v>180</v>
      </c>
      <c r="D43" s="31"/>
      <c r="E43" s="31" t="s">
        <v>8</v>
      </c>
      <c r="F43" s="2" t="s">
        <v>6</v>
      </c>
      <c r="G43" s="31"/>
      <c r="H43" s="21" t="s">
        <v>13</v>
      </c>
      <c r="I43" s="21"/>
      <c r="J43" s="32"/>
      <c r="K43" s="32" t="s">
        <v>181</v>
      </c>
      <c r="L43" s="35"/>
      <c r="M43" s="35"/>
      <c r="N43" s="35"/>
      <c r="O43" s="35"/>
      <c r="P43" s="35"/>
    </row>
    <row r="44" spans="1:16" ht="16.5" customHeight="1">
      <c r="A44" s="31" t="s">
        <v>33</v>
      </c>
      <c r="B44" s="31" t="s">
        <v>182</v>
      </c>
      <c r="C44" s="31" t="s">
        <v>183</v>
      </c>
      <c r="D44" s="31"/>
      <c r="E44" s="31" t="s">
        <v>5</v>
      </c>
      <c r="F44" s="2" t="s">
        <v>6</v>
      </c>
      <c r="G44" s="31"/>
      <c r="H44" s="21" t="s">
        <v>13</v>
      </c>
      <c r="I44" s="21"/>
      <c r="J44" s="32"/>
      <c r="K44" s="32" t="s">
        <v>184</v>
      </c>
      <c r="L44" s="35"/>
      <c r="M44" s="35"/>
      <c r="N44" s="35"/>
      <c r="O44" s="35"/>
      <c r="P44" s="35"/>
    </row>
    <row r="45" spans="1:16" ht="16.5" customHeight="1">
      <c r="A45" s="31" t="s">
        <v>33</v>
      </c>
      <c r="B45" s="31" t="s">
        <v>141</v>
      </c>
      <c r="C45" s="31" t="s">
        <v>185</v>
      </c>
      <c r="D45" s="31"/>
      <c r="E45" s="31" t="s">
        <v>5</v>
      </c>
      <c r="F45" s="2" t="s">
        <v>6</v>
      </c>
      <c r="G45" s="31"/>
      <c r="H45" s="21" t="s">
        <v>13</v>
      </c>
      <c r="I45" s="21"/>
      <c r="J45" s="32"/>
      <c r="K45" s="33" t="s">
        <v>186</v>
      </c>
      <c r="L45" s="35"/>
      <c r="M45" s="35"/>
      <c r="N45" s="35"/>
      <c r="O45" s="35"/>
      <c r="P45" s="35"/>
    </row>
    <row r="46" spans="1:16" ht="16.5" customHeight="1">
      <c r="A46" s="31" t="s">
        <v>33</v>
      </c>
      <c r="B46" s="31" t="s">
        <v>187</v>
      </c>
      <c r="C46" s="31" t="s">
        <v>188</v>
      </c>
      <c r="D46" s="31"/>
      <c r="E46" s="31" t="s">
        <v>8</v>
      </c>
      <c r="F46" s="2" t="s">
        <v>6</v>
      </c>
      <c r="G46" s="31"/>
      <c r="H46" s="21" t="s">
        <v>13</v>
      </c>
      <c r="I46" s="21"/>
      <c r="J46" s="32"/>
      <c r="K46" s="33" t="s">
        <v>189</v>
      </c>
      <c r="L46" s="35"/>
      <c r="M46" s="35"/>
      <c r="N46" s="35"/>
      <c r="O46" s="35"/>
      <c r="P46" s="35"/>
    </row>
    <row r="47" spans="1:16" ht="16.5" customHeight="1">
      <c r="A47" s="31" t="s">
        <v>33</v>
      </c>
      <c r="B47" s="31" t="s">
        <v>190</v>
      </c>
      <c r="C47" s="31" t="s">
        <v>191</v>
      </c>
      <c r="D47" s="31"/>
      <c r="E47" s="31" t="s">
        <v>5</v>
      </c>
      <c r="F47" s="2" t="s">
        <v>6</v>
      </c>
      <c r="G47" s="31"/>
      <c r="H47" s="21" t="s">
        <v>13</v>
      </c>
      <c r="I47" s="21"/>
      <c r="J47" s="32"/>
      <c r="K47" s="32" t="s">
        <v>192</v>
      </c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3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3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3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3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3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pi-management/backends" xr:uid="{93CC6003-CC03-40D7-BA24-12F4BDDEDE73}"/>
    <hyperlink ref="H11" r:id="rId2" tooltip="https://learn.microsoft.com/azure/api-management/api-management-howto-properties?tabs=azure-portal" xr:uid="{6E96513F-7B8D-4B3B-8C8A-BA5E92684F95}"/>
    <hyperlink ref="H12" r:id="rId3" tooltip="https://learn.microsoft.com/azure/api-management/api-management-howto-deploy-multi-region" xr:uid="{BA73BAF3-B8D4-477D-A628-B29D5A8B9FA6}"/>
    <hyperlink ref="H13" r:id="rId4" tooltip="https://learn.microsoft.com/azure/api-management/high-availability" xr:uid="{228BBC77-BC8F-4679-8617-ABDF77B68354}"/>
    <hyperlink ref="H14" r:id="rId5" location="service-native-backup-capability" tooltip="https://learn.microsoft.com/security/benchmark/azure/baselines/api-management-security-baseline?toc=%2Fazure%2Fapi-management%2F&amp;bc=%2Fazure%2Fapi-management%2Fbreadcrumb%2Ftoc.json#service-native-backup-capability" xr:uid="{A0442527-A2BA-47D2-8BF0-0B0F2F9E2B9B}"/>
    <hyperlink ref="H15" r:id="rId6" tooltip="https://learn.microsoft.com/azure/api-management/api-management-howto-cache-external" xr:uid="{B36B70EC-0699-4D7D-85B5-CDD0C9B3EDB0}"/>
    <hyperlink ref="H16" r:id="rId7" tooltip="https://learn.microsoft.com/azure/api-management/api-management-howto-log-event-hubs" xr:uid="{9D221A04-5526-414D-A6C5-DBCD7181DDD2}"/>
    <hyperlink ref="H17" r:id="rId8" tooltip="https://learn.microsoft.com/azure/api-management/api-management-sample-flexible-throttling" xr:uid="{505E84A3-D449-4A6D-9918-DC887A6313F2}"/>
    <hyperlink ref="H18" r:id="rId9" tooltip="https://learn.microsoft.com/azure/api-management/api-management-howto-autoscale" xr:uid="{4A8AFEB5-D568-4D3E-9BDE-6512438FF7FD}"/>
    <hyperlink ref="H20" r:id="rId10" tooltip="https://learn.microsoft.com/azure/api-management/api-management-error-handling-policies" xr:uid="{78468198-E5CA-47EE-8F80-B4DA668D3438}"/>
    <hyperlink ref="H21" r:id="rId11" location="use-base-element-to-set-policy-evaluation-order" tooltip="https://learn.microsoft.com/azure/api-management/set-edit-policies?tabs=form#use-base-element-to-set-policy-evaluation-order" xr:uid="{E927A381-5BA2-4E6B-B9DD-77269C5A9CE5}"/>
    <hyperlink ref="H22" r:id="rId12" tooltip="https://learn.microsoft.com/azure/api-management/policy-fragments" xr:uid="{422908ED-2285-48B1-A1E4-BDD2A974E0D5}"/>
    <hyperlink ref="H23" r:id="rId13" tooltip="https://learn.microsoft.com/azure/api-management/monetization-support" xr:uid="{C16C262F-ED25-4A33-9C64-AF7F6AD00880}"/>
    <hyperlink ref="H24" r:id="rId14" location="resource-logs" tooltip="https://learn.microsoft.com/azure/api-management/api-management-howto-use-azure-monitor#resource-logs" xr:uid="{0CEC9985-B462-4FAD-9EFF-C2DD63A1ADA3}"/>
    <hyperlink ref="H25" r:id="rId15" tooltip="https://learn.microsoft.com/azure/api-management/api-management-howto-app-insights" xr:uid="{9D26BB3C-C3AA-45A2-985E-F3BD71AC6B31}"/>
    <hyperlink ref="H123" r:id="rId16" tooltip="https://docs.microsoft.com/azure/cloud-adoption-framework/ready/azure-best-practices/plan-for-traffic-inspection" display="More info" xr:uid="{E82E5985-A8A8-4CD9-8182-03D6FDCCE8B8}"/>
    <hyperlink ref="H124" r:id="rId17" tooltip="https://docs.microsoft.com/azure/azure-monitor/logs/design-logs-deployment" display="More info" xr:uid="{3FDB59B2-7D21-4D3C-998F-7DD3D2D3307F}"/>
    <hyperlink ref="I124" r:id="rId18" tooltip="https://docs.microsoft.com/azure/azure-monitor/logs/design-logs-deployment" display="Training" xr:uid="{BACA691C-7FF5-43F2-86A3-BA7B461665AC}"/>
    <hyperlink ref="H126" r:id="rId19" tooltip="https://docs.microsoft.com/azure/azure-monitor/logs/design-logs-deployment" display="More info" xr:uid="{48C3CAC8-BB66-46DB-88E1-851D40974FD1}"/>
    <hyperlink ref="I126" r:id="rId20" tooltip="https://docs.microsoft.com/learn/paths/architect-infrastructure-operations/" display="Training" xr:uid="{704B7DB1-9378-4797-A626-DF7A74CC6417}"/>
    <hyperlink ref="H127" r:id="rId21" tooltip="https://docs.microsoft.com/azure/azure-monitor/logs/design-logs-deployment" display="More info" xr:uid="{2CA1E3AA-2A2C-40DF-B939-548922430DF2}"/>
    <hyperlink ref="I127" r:id="rId22" tooltip="https://docs.microsoft.com/learn/paths/architect-infrastructure-operations/" display="Training" xr:uid="{B5999DFE-F679-47A3-BBE8-144BBFBA3C67}"/>
    <hyperlink ref="H128" r:id="rId23" tooltip="https://docs.microsoft.com/azure/governance/policy/how-to/guest-configuration-create" display="More info" xr:uid="{773182B8-F0C4-437A-94DF-94AE919B9617}"/>
    <hyperlink ref="I128" r:id="rId24" tooltip="https://docs.microsoft.com/learn/paths/implement-resource-mgmt-security/" display="Training" xr:uid="{D1E16847-2D18-41CA-A6AE-5853827DD3BF}"/>
    <hyperlink ref="H129" r:id="rId25" tooltip="https://docs.microsoft.com/azure/automation/update-management/overview" display="More info" xr:uid="{AB5B699C-895F-42F4-B256-F78A4A3700C7}"/>
    <hyperlink ref="H130" r:id="rId26" tooltip="https://docs.microsoft.com/azure/network-watcher/network-watcher-monitoring-overview" display="More info" xr:uid="{1ABE1274-91C8-4A13-9CDE-45C0E19D4333}"/>
    <hyperlink ref="H131" r:id="rId27" tooltip="https://docs.microsoft.com/azure/azure-resource-manager/management/lock-resources?tabs=json" display="More info" xr:uid="{89D79754-61BB-4414-A40C-1A9AF9B1727A}"/>
    <hyperlink ref="H132" r:id="rId28" tooltip="https://docs.microsoft.com/azure/governance/policy/overview" display="More info" xr:uid="{243EEA8A-0D6B-4EDA-A13F-13CD7A9349A3}"/>
    <hyperlink ref="H133" r:id="rId29" tooltip="https://docs.microsoft.com/azure/service-health/alerts-activity-log-service-notifications-portal" display="More info" xr:uid="{07332235-484A-4063-89F6-BA10928FA450}"/>
    <hyperlink ref="H134" r:id="rId30" tooltip="https://docs.microsoft.com/azure/azure-monitor/alerts/action-groups" display="More info" xr:uid="{B43430C1-706D-4729-8676-E10C9F3BC837}"/>
    <hyperlink ref="H135" r:id="rId31" tooltip="https://docs.microsoft.com/azure/sentinel/quickstart-onboard" display="More info" xr:uid="{055B57A7-ED30-4FFA-B634-4140C307C7C9}"/>
    <hyperlink ref="H136" r:id="rId32" tooltip="https://docs.microsoft.com/azure/azure-monitor/logs/design-logs-deployment" display="More info" xr:uid="{34AEF588-DE8F-4633-A3CB-62D3E77C1EC3}"/>
    <hyperlink ref="H137" r:id="rId33" tooltip="https://docs.microsoft.com/azure/cloud-adoption-framework/ready/azure-setup-guide/monitoring-reporting?tabs=AzureMonitor" display="More info" xr:uid="{C37132DE-ECFD-4571-B0CF-09A264179D3F}"/>
    <hyperlink ref="H138" r:id="rId34" tooltip="https://docs.microsoft.com/azure/azure-monitor/agents/diagnostics-extension-overview" display="More info" xr:uid="{8690D5E8-D73A-4FE6-AD19-D1533F5A013D}"/>
    <hyperlink ref="H139" r:id="rId35" tooltip="https://docs.microsoft.com/azure/azure-monitor/alerts/alerts-overview" display="More info" xr:uid="{E42CE99E-FCE4-4140-81A0-46C5E0646411}"/>
    <hyperlink ref="H140" r:id="rId36" tooltip="https://docs.microsoft.com/azure/site-recovery/site-recovery-overview" display="More info" xr:uid="{09A1417C-7BED-4680-83E6-40D576229D4B}"/>
    <hyperlink ref="H141" r:id="rId37" tooltip="https://docs.microsoft.com/azure/architecture/framework/resiliency/backup-and-recovery" display="More info" xr:uid="{04D7C0EB-1534-4A30-8BAA-3E3954F2CC87}"/>
    <hyperlink ref="H142" r:id="rId38" tooltip="https://docs.microsoft.com/azure/backup/backup-center-overview" display="More info" xr:uid="{FC7CC2AD-FB86-4D86-B235-D98C675563DB}"/>
    <hyperlink ref="H143" r:id="rId39" tooltip="https://docs.microsoft.com/azure/architecture/best-practices/monitoring" display="More info" xr:uid="{6A6C73DA-A223-43FF-AB90-4D9B38668CDA}"/>
    <hyperlink ref="H144" r:id="rId40" tooltip="https://docs.microsoft.com/azure/key-vault/general/overview" display="More info" xr:uid="{BD49192A-6F88-4B88-9A3A-7E2A41EC0F3E}"/>
    <hyperlink ref="H145" r:id="rId41" tooltip="https://docs.microsoft.com/azure/key-vault/general/overview-throttling" display="More info" xr:uid="{FA5CDDB5-CF7F-4A88-B415-6F8FF5826914}"/>
    <hyperlink ref="H146" r:id="rId42" tooltip="https://docs.microsoft.com/azure/key-vault/general/best-practices" display="More info" xr:uid="{137ED3A6-2516-47C2-AD20-D44332522228}"/>
    <hyperlink ref="H147" r:id="rId43" tooltip="https://docs.microsoft.com/azure/key-vault/general/best-practices" display="More info" xr:uid="{5C804C04-E7B0-423C-B200-8EBBC1239B77}"/>
    <hyperlink ref="H148" r:id="rId44" tooltip="https://docs.microsoft.com/azure/key-vault/general/best-practices" display="More info" xr:uid="{45C8C640-6FD2-490A-ABD8-0245C239E63F}"/>
    <hyperlink ref="H149" r:id="rId45" tooltip="https://docs.microsoft.com/azure/key-vault/general/best-practices" display="More info" xr:uid="{2DF86B83-9325-4282-A5EA-377285E30E8D}"/>
    <hyperlink ref="H150" r:id="rId46" tooltip="https://docs.microsoft.com/azure/key-vault/general/best-practices" display="More info" xr:uid="{9BEC4B79-CB6B-4DA9-B012-F9A1985140A1}"/>
    <hyperlink ref="H151" r:id="rId47" tooltip="https://docs.microsoft.com/azure/key-vault/general/monitor-key-vault" display="More info" xr:uid="{41B4DE19-1C41-4308-86CD-2EAC7B9CD8B3}"/>
    <hyperlink ref="H152" r:id="rId48" tooltip="https://docs.microsoft.com/azure/key-vault/general/best-practices" display="More info" xr:uid="{413D4D33-1C24-4C3F-948D-D33EC99C67DE}"/>
    <hyperlink ref="H153" r:id="rId49" tooltip="https://docs.microsoft.com/azure/security/fundamentals/encryption-atrest" display="More info" xr:uid="{F17C408D-81D1-44A3-AFCE-E1F44F8B943B}"/>
    <hyperlink ref="H154" r:id="rId50" tooltip="https://docs.microsoft.com/azure/key-vault/general/best-practices" display="More info" xr:uid="{78F85B59-2DAF-4814-B20C-58680FB1B41A}"/>
    <hyperlink ref="H155" r:id="rId51" tooltip="https://docs.microsoft.com/azure/key-vault/general/best-practices" display="More info" xr:uid="{1F96B975-0FA8-4518-B85A-E07126A3D49F}"/>
    <hyperlink ref="H156" r:id="rId52" tooltip="https://docs.microsoft.com/azure/governance/policy/overview" display="More info" xr:uid="{4661FA51-40E0-4210-AA45-59775CF2F741}"/>
    <hyperlink ref="H157" r:id="rId53" tooltip="https://docs.microsoft.com/azure/cloud-adoption-framework/ready/azure-best-practices/naming-and-tagging" display="More info" xr:uid="{2A1CB488-6A67-4277-8CEA-99BFD4AA3B12}"/>
    <hyperlink ref="H158" r:id="rId54" tooltip="https://docs.microsoft.com/azure/governance/policy/overview" display="More info" xr:uid="{86A21461-9602-47F9-A2C7-E108544E59E1}"/>
    <hyperlink ref="H159" r:id="rId55" tooltip="https://docs.microsoft.com/azure/governance/policy/overview" display="More info" xr:uid="{83E17C8E-121E-4830-89F7-4AFB978383B4}"/>
    <hyperlink ref="H160" r:id="rId56" tooltip="https://docs.microsoft.com/azure/governance/policy/overview" display="More info" xr:uid="{23EA81CF-68EC-4AA8-9223-CFBE6C765FCD}"/>
    <hyperlink ref="H161" r:id="rId57" tooltip="https://docs.microsoft.com/azure/governance/policy/overview" display="More info" xr:uid="{04E0F366-F9CA-49FE-90F1-93060BD1487C}"/>
    <hyperlink ref="H162" r:id="rId58" tooltip="https://docs.microsoft.com/azure/governance/policy/overview" display="More info" xr:uid="{95D84548-C257-4800-A9DE-D758D03F497B}"/>
    <hyperlink ref="H163" r:id="rId59" tooltip="https://docs.microsoft.com/azure/governance/policy/overview" display="More info" xr:uid="{78F984C7-D58C-427D-A6CB-8132F2CCA0A7}"/>
    <hyperlink ref="H164" r:id="rId60" tooltip="https://docs.microsoft.com/azure/governance/policy/overview" display="More info" xr:uid="{9C0413E3-1C66-4DD3-922C-DC691A9E609E}"/>
    <hyperlink ref="H165" r:id="rId61" tooltip="https://docs.microsoft.com/azure/governance/policy/concepts/guest-configuration" display="More info" xr:uid="{579244A1-78EE-46EE-B88D-8B81638F942B}"/>
    <hyperlink ref="H166" r:id="rId62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63" tooltip="https://docs.microsoft.com/azure/active-directory/reports-monitoring/overview-reports" display="More info" xr:uid="{F75FF7C3-00FA-4C7F-A95C-B34AA9BE2548}"/>
    <hyperlink ref="H168" r:id="rId64" tooltip="https://docs.microsoft.com/azure/azure-monitor/logs/logs-data-export?tabs=portal" display="More info" xr:uid="{0117D3C5-B491-4DF6-827C-A4BC2E472C24}"/>
    <hyperlink ref="H169" r:id="rId65" tooltip="https://docs.microsoft.com/azure/security-center/" display="More info" xr:uid="{A033F183-8745-450F-8ED1-CF83C82DB8B6}"/>
    <hyperlink ref="H170" r:id="rId66" tooltip="https://docs.microsoft.com/azure/security-center/" display="More info" xr:uid="{C5C3D5E4-7428-4734-9DB6-928E38B3D95D}"/>
    <hyperlink ref="H171" r:id="rId67" tooltip="https://docs.microsoft.com/azure/azure-monitor/logs/design-logs-deployment" display="More info" xr:uid="{442C9DFA-EEA0-4790-8EC3-007F37C360E3}"/>
    <hyperlink ref="H122" r:id="rId68" tooltip="https://docs.microsoft.com/azure/network-watcher/network-watcher-monitoring-overview" display="More info" xr:uid="{BE9772CF-1917-47FD-983A-C9ADCF68C8F5}"/>
    <hyperlink ref="I129" r:id="rId69" tooltip="https://docs.microsoft.com/learn/paths/azure-administrator-manage-compute-resources/" display="Training" xr:uid="{A6276280-0F45-4C90-91AE-33358F9EFBF7}"/>
    <hyperlink ref="I130" r:id="rId70" tooltip="https://docs.microsoft.com/learn/modules/configure-network-watcher/" display="Training" xr:uid="{704B4DB0-4DF8-4982-98E5-120DAD975B05}"/>
    <hyperlink ref="I131" r:id="rId71" tooltip="https://docs.microsoft.com/learn/paths/implement-resource-mgmt-security/" display="Training" xr:uid="{BEE6D1A8-7190-43F6-B02A-13D3F27ED96C}"/>
    <hyperlink ref="H172" r:id="rId72" tooltip="https://docs.microsoft.com/security/benchmark/azure/security-control-incident-response" display="More info" xr:uid="{060AA98F-6CF2-4DE0-8164-7F18C849274C}"/>
    <hyperlink ref="H173" r:id="rId73" tooltip="https://www.microsoft.com/security/business/zero-trust" display="More info" xr:uid="{6C7588FE-DD23-4D32-86A5-D37B538114D2}"/>
    <hyperlink ref="H174" r:id="rId74" tooltip="https://docs.microsoft.com/security/benchmark/azure/security-control-incident-response" display="More info" xr:uid="{3CBCD96C-6F3B-4040-9C12-81163165F2DE}"/>
    <hyperlink ref="H175" r:id="rId75" tooltip="https://docs.microsoft.com/security/benchmark/azure/security-control-incident-response" display="More info" xr:uid="{C17C2483-0E44-46EF-9A7C-A0876B9F94EB}"/>
    <hyperlink ref="H176" r:id="rId76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77" location="use-end-to-end-tls" tooltip="https://learn.microsoft.com/azure/frontdoor/best-practices#use-end-to-end-tls" display="More info" xr:uid="{875513FD-D68D-482A-AA8F-78266DAC5026}"/>
    <hyperlink ref="H178" r:id="rId78" location="use-http-to-https-redirection" tooltip="https://learn.microsoft.com/azure/frontdoor/best-practices#use-http-to-https-redirection" display="More info" xr:uid="{EA18C73D-E266-4FFD-84B1-D3D391771771}"/>
    <hyperlink ref="H179" r:id="rId79" location="use-managed-tls-certificates" tooltip="https://learn.microsoft.com/azure/frontdoor/best-practices#use-managed-tls-certificates" display="More info" xr:uid="{0EE52E27-AA23-43AD-A500-7A288C4258D7}"/>
    <hyperlink ref="H180" r:id="rId80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81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82" location="enable-the-waf" tooltip="https://learn.microsoft.com/azure/frontdoor/best-practices#enable-the-waf" display="More info" xr:uid="{CC0A6C73-77FB-4548-B071-96F870DA3204}"/>
    <hyperlink ref="H183" r:id="rId83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84" location="select-good-health-probe-endpoints" tooltip="https://learn.microsoft.com/azure/frontdoor/best-practices#select-good-health-probe-endpoints" display="More info" xr:uid="{5FB98C0A-8DA3-4444-A2AD-6FB6784E0E1E}"/>
    <hyperlink ref="H185" r:id="rId85" location="use-head-health-probes" tooltip="https://learn.microsoft.com/azure/frontdoor/best-practices#use-head-health-probes" display="More info" xr:uid="{AC5A9131-04FD-4BA1-A745-B22A9175B14A}"/>
    <hyperlink ref="H186" r:id="rId86" location="tune-your-waf" tooltip="https://learn.microsoft.com/azure/web-application-firewall/afds/waf-front-door-best-practices#tune-your-waf" display="More info" xr:uid="{46871E82-144A-4D5A-AFED-BEE654EF6627}"/>
    <hyperlink ref="H187" r:id="rId87" location="use-prevention-mode" tooltip="https://learn.microsoft.com/azure/web-application-firewall/afds/waf-front-door-best-practices#use-prevention-mode" display="More info" xr:uid="{5462B972-682C-4828-849B-D31D33D59E1B}"/>
    <hyperlink ref="H188" r:id="rId88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89" location="enable-default-rule-sets" tooltip="https://learn.microsoft.com/azure/web-application-firewall/afds/waf-front-door-best-practices#enable-default-rule-sets" display="More info" xr:uid="{2E81F390-98B9-4023-9F8B-1D456ED12D73}"/>
    <hyperlink ref="H190" r:id="rId90" location="enable-bot-management-rules" tooltip="https://learn.microsoft.com/azure/web-application-firewall/afds/waf-front-door-best-practices#enable-bot-management-rules" display="More info" xr:uid="{C795DC17-90C2-4ED8-B2E1-5DD5910DE372}"/>
    <hyperlink ref="H191" r:id="rId91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92" location="add-rate-limiting" tooltip="https://learn.microsoft.com/azure/web-application-firewall/afds/waf-front-door-best-practices#add-rate-limiting" display="More info" xr:uid="{E5621AD2-313B-4B3D-AFF9-B8E4CE6C7979}"/>
    <hyperlink ref="H193" r:id="rId93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94" location="geo-filter-traffic" tooltip="https://learn.microsoft.com/azure/web-application-firewall/afds/waf-front-door-best-practices#geo-filter-traffic" display="More info" xr:uid="{62608695-AAC8-4F4E-97D4-2746A5441C0F}"/>
    <hyperlink ref="H195" r:id="rId95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96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97" location="send-logs-to-microsoft-sentinel" tooltip="https://learn.microsoft.com/azure/web-application-firewall/afds/waf-front-door-best-practices#send-logs-to-microsoft-sentinel" display="More info" xr:uid="{1FEAE3DB-0A36-45DC-A10A-ED154F2865D3}"/>
    <hyperlink ref="H19" r:id="rId98" tooltip="https://learn.microsoft.com/azure/api-management/api-management-howto-provision-self-hosted-gateway" xr:uid="{E5479FD9-02BC-425F-BD6A-8A74B7C54042}"/>
    <hyperlink ref="H26" r:id="rId99" tooltip="https://learn.microsoft.com/azure/api-management/api-management-howto-use-azure-monitor" xr:uid="{488C6CA2-5DD4-43A1-B766-2584484AEDEA}"/>
    <hyperlink ref="H27" r:id="rId100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xr:uid="{E9086FD8-5E87-4471-A512-AE5FCF58E6BE}"/>
    <hyperlink ref="H28" r:id="rId101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xr:uid="{B1F3DFEC-F164-40E0-851F-BFAE534505AD}"/>
    <hyperlink ref="H29" r:id="rId102" tooltip="https://learn.microsoft.com/azure/api-management/api-management-howto-aad" xr:uid="{6F99F3F6-6749-4BB3-9603-0485E0D4A536}"/>
    <hyperlink ref="H30" r:id="rId103" tooltip="https://learn.microsoft.com/azure/api-management/api-management-howto-create-groups" xr:uid="{5B931ABC-F3E1-40D1-A445-CCF110EC5A5F}"/>
    <hyperlink ref="H31" r:id="rId104" location="virtual-network-integration" tooltip="https://learn.microsoft.com/security/benchmark/azure/baselines/api-management-security-baseline?toc=%2Fazure%2Fapi-management%2F&amp;bc=%2Fazure%2Fapi-management%2Fbreadcrumb%2Ftoc.json#virtual-network-integration" xr:uid="{2126A085-5514-4534-9DDB-110BFBE42494}"/>
    <hyperlink ref="H32" r:id="rId105" location="network-security-group-support" tooltip="https://learn.microsoft.com/security/benchmark/azure/baselines/api-management-security-baseline?toc=%2Fazure%2Fapi-management%2F&amp;bc=%2Fazure%2Fapi-management%2Fbreadcrumb%2Ftoc.json#network-security-group-support" xr:uid="{ACA1A54C-1965-47A7-A5BA-A2F158904F74}"/>
    <hyperlink ref="H33" r:id="rId106" location="azure-private-link" tooltip="https://learn.microsoft.com/security/benchmark/azure/baselines/api-management-security-baseline?toc=%2Fazure%2Fapi-management%2F&amp;bc=%2Fazure%2Fapi-management%2Fbreadcrumb%2Ftoc.json#azure-private-link" xr:uid="{9076F7B6-B909-4FB4-94BC-8B6053135612}"/>
    <hyperlink ref="H34" r:id="rId107" location="disable-public-network-access" tooltip="https://learn.microsoft.com/security/benchmark/azure/baselines/api-management-security-baseline?toc=%2Fazure%2Fapi-management%2F&amp;bc=%2Fazure%2Fapi-management%2Fbreadcrumb%2Ftoc.json#disable-public-network-access" xr:uid="{47E22997-2F56-4148-B917-06EE35583E86}"/>
    <hyperlink ref="H35" r:id="rId108" tooltip="https://learn.microsoft.com/azure/api-management/front-door-api-management" xr:uid="{F6C20C84-B221-4A66-868F-CEE58FFB3A62}"/>
    <hyperlink ref="H36" r:id="rId109" tooltip="https://learn.microsoft.com/azure/api-management/automation-manage-api-management" xr:uid="{C179B872-BD0E-4EE4-9DBE-7374389A4FE6}"/>
    <hyperlink ref="I15" r:id="rId110" tooltip="https://learn.microsoft.com/training/modules/improve-api-performance-with-apim-caching-policy/" xr:uid="{EDDFEB6C-9B08-407A-8EAB-1AF0115B30CD}"/>
    <hyperlink ref="I17" r:id="rId111" tooltip="https://learn.microsoft.com/training/modules/protect-apis-on-api-management/" xr:uid="{CBDBAD7D-9CE7-40A6-9EDC-87BD46663827}"/>
    <hyperlink ref="H37" r:id="rId112" location="design-recommendations" tooltip="https://learn.microsoft.com/azure/cloud-adoption-framework/scenarios/app-platform/api-management/platform-automation-and-devops#design-recommendations" xr:uid="{AAADEB09-EE74-4CFF-B55A-16E74C8061AD}"/>
    <hyperlink ref="H38" r:id="rId113" tooltip="https://learn.microsoft.com/azure/api-management/visual-studio-code-tutorial" xr:uid="{FE2B978D-C74E-4685-BDEA-31A46492974C}"/>
    <hyperlink ref="H39" r:id="rId114" tooltip="https://learn.microsoft.com/azure/api-management/devops-api-development-templates" xr:uid="{3567CF90-C187-4988-B4FF-CCF0D6C7FFFF}"/>
    <hyperlink ref="H40" r:id="rId115" tooltip="https://learn.microsoft.com/azure/api-management/api-management-howto-mutual-certificates-for-clients" xr:uid="{231AC19F-7087-4546-A787-EEC4572C3D68}"/>
    <hyperlink ref="H41" r:id="rId116" tooltip="https://learn.microsoft.com/azure/api-management/api-management-howto-mutual-certificates" xr:uid="{64511AB2-4641-43A6-813D-99BAAC12B32A}"/>
    <hyperlink ref="H42" r:id="rId117" tooltip="https://learn.microsoft.com/azure/api-management/mitigate-owasp-api-threats" xr:uid="{3AEA4A22-B5BB-4511-A233-72EEF457FD19}"/>
    <hyperlink ref="H43" r:id="rId118" tooltip="https://learn.microsoft.com/azure/api-management/authorizations-overview" xr:uid="{B2E2BDCD-75C7-403C-9DEE-6902C5F222E9}"/>
    <hyperlink ref="H44" r:id="rId119" tooltip="https://learn.microsoft.com/azure/api-management/api-management-howto-manage-protocols-ciphers" xr:uid="{694D466D-D72C-4200-9B15-F331FF243390}"/>
    <hyperlink ref="H45" r:id="rId120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xr:uid="{253E4C2F-C887-4B81-8BE0-30322F71C8E6}"/>
    <hyperlink ref="H46" r:id="rId121" location="managed-identities" tooltip="https://learn.microsoft.com/security/benchmark/azure/baselines/api-management-security-baseline?toc=%2Fazure%2Fapi-management%2F&amp;bc=%2Fazure%2Fapi-management%2Fbreadcrumb%2Ftoc.json#managed-identities" xr:uid="{63D8965F-3AC9-41A1-8CE4-B70E3CA82575}"/>
    <hyperlink ref="H47" r:id="rId122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xr:uid="{72A689F0-C8A8-4D33-B754-77A3290A71EA}"/>
  </hyperlinks>
  <pageMargins left="0.7" right="0.7" top="0.75" bottom="0.75" header="0.3" footer="0.3"/>
  <pageSetup paperSize="9" orientation="portrait" horizontalDpi="4294967293" r:id="rId123"/>
  <drawing r:id="rId124"/>
  <legacyDrawing r:id="rId1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6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7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8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0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J9" sqref="J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93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95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33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99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124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162</v>
      </c>
      <c r="F7" t="s">
        <v>47</v>
      </c>
      <c r="J7" t="s">
        <v>60</v>
      </c>
    </row>
    <row r="8" spans="1:11">
      <c r="C8" t="s">
        <v>98</v>
      </c>
      <c r="F8" t="s">
        <v>76</v>
      </c>
      <c r="J8" t="s">
        <v>77</v>
      </c>
    </row>
    <row r="9" spans="1:11">
      <c r="C9" t="s">
        <v>100</v>
      </c>
      <c r="F9" t="s">
        <v>91</v>
      </c>
      <c r="J9" t="s">
        <v>80</v>
      </c>
    </row>
    <row r="10" spans="1:11">
      <c r="F10" t="s">
        <v>78</v>
      </c>
      <c r="J10" t="s">
        <v>79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Andre Dewes</cp:lastModifiedBy>
  <cp:revision/>
  <dcterms:created xsi:type="dcterms:W3CDTF">2021-01-25T16:35:48Z</dcterms:created>
  <dcterms:modified xsi:type="dcterms:W3CDTF">2023-02-14T18:42:23Z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