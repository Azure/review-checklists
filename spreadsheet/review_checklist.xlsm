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CD7D254-9340-4484-B940-E883A8D1AF96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5" l="1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N28" i="7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E54" i="7" l="1"/>
  <c r="O8" i="5" s="1"/>
  <c r="E55" i="7"/>
  <c r="P8" i="5" s="1"/>
  <c r="E52" i="7"/>
  <c r="M8" i="5" s="1"/>
  <c r="E53" i="7"/>
  <c r="N8" i="5" s="1"/>
  <c r="E51" i="7"/>
  <c r="L8" i="5" s="1"/>
  <c r="Q28" i="7" a="1"/>
  <c r="Q28" i="7" s="1"/>
  <c r="O28" i="7" l="1" a="1"/>
  <c r="O28" i="7" s="1"/>
  <c r="I11" i="7" a="1"/>
  <c r="I11" i="7" s="1"/>
  <c r="Q25" i="7" a="1"/>
  <c r="Q25" i="7" s="1"/>
  <c r="P20" i="7"/>
  <c r="P28" i="7" s="1" a="1"/>
  <c r="P28" i="7" s="1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K9" i="7" l="1" a="1"/>
  <c r="K9" i="7" s="1"/>
  <c r="L12" i="7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<sst xmlns="http://schemas.openxmlformats.org/spreadsheetml/2006/main" count="95" uniqueCount="84">
  <si>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</si>
  <si>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</si>
  <si>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</si>
  <si>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</si>
  <si>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</si>
  <si>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</si>
  <si>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</si>
  <si>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</si>
  <si>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</si>
  <si>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</si>
  <si>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</si>
  <si>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</si>
  <si>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</si>
  <si>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</si>
  <si>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</si>
  <si>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</si>
  <si>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</si>
  <si>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</si>
  <si>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</si>
  <si>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</si>
  <si>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</si>
  <si>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</si>
  <si>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</si>
  <si>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</si>
  <si>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</si>
  <si>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</si>
  <si>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</si>
  <si>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</si>
  <si>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</si>
  <si>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</si>
  <si>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</si>
  <si>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</si>
  <si>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</si>
  <si>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</si>
  <si>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</si>
  <si>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</si>
  <si>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</si>
  <si>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</si>
  <si>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</si>
  <si>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</si>
  <si>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</si>
  <si>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</si>
  <si>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</si>
  <si>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</si>
  <si>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</si>
  <si>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</si>
  <si>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</si>
  <si>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Network Topology and Connectivity</t>
  </si>
  <si>
    <t>Operations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</si>
  <si>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</si>
  <si>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</si>
  <si>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</si>
  <si>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</si>
  <si>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</si>
  <si>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</si>
  <si>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</si>
  <si>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</si>
  <si>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</si>
  <si>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</si>
  <si>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</si>
  <si>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</si>
  <si>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</si>
  <si>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</si>
  <si>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</si>
  <si>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</si>
  <si>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</si>
  <si>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</si>
  <si>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</si>
  <si>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</si>
  <si>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</si>
  <si>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</si>
  <si>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</si>
  <si>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</si>
  <si>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</si>
  <si>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</si>
  <si>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</si>
  <si>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</si>
  <si>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</si>
  <si>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Identity and Access</t>
  </si>
  <si>
    <t>Management Group and Subscriptions</t>
  </si>
  <si>
    <t>Management and Monitoring</t>
  </si>
  <si>
    <t>Security, Governance and Compliance</t>
  </si>
  <si>
    <t>Not Required</t>
  </si>
  <si>
    <t>Not needed, given the requirements for this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</si>
</sst>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governance/management-groups/overview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en-gb/learn/paths/az-104-manage-virtual-networks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ctive-directory-domain-services/overview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53" Type="http://schemas.openxmlformats.org/officeDocument/2006/relationships/hyperlink" Target="https://docs.microsoft.com/azure/architecture/reference-architectures/hybrid-networking/expressroute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role-based-access-control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16" Type="http://schemas.openxmlformats.org/officeDocument/2006/relationships/hyperlink" Target="https://docs.microsoft.com/en-gb/learn/paths/improve-reliability-modern-operations/" TargetMode="External"/><Relationship Id="rId237" Type="http://schemas.openxmlformats.org/officeDocument/2006/relationships/hyperlink" Target="https://docs.microsoft.com/learn/modules/design-implement-azure-expressroute/" TargetMode="External"/><Relationship Id="rId258" Type="http://schemas.openxmlformats.org/officeDocument/2006/relationships/printerSettings" Target="../printerSettings/printerSettings2.bin"/><Relationship Id="rId22" Type="http://schemas.openxmlformats.org/officeDocument/2006/relationships/hyperlink" Target="https://docs.microsoft.com/azure/governance/management-groups/overview" TargetMode="External"/><Relationship Id="rId43" Type="http://schemas.openxmlformats.org/officeDocument/2006/relationships/hyperlink" Target="https://docs.microsoft.com/azure/virtual-wan/virtual-wan-about" TargetMode="External"/><Relationship Id="rId64" Type="http://schemas.openxmlformats.org/officeDocument/2006/relationships/hyperlink" Target="https://docs.microsoft.com/azure/expressroute/expressroute-about-virtual-network-gateways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206" Type="http://schemas.openxmlformats.org/officeDocument/2006/relationships/hyperlink" Target="https://docs.microsoft.com/en-gb/learn/paths/secure-your-cloud-data/" TargetMode="External"/><Relationship Id="rId227" Type="http://schemas.openxmlformats.org/officeDocument/2006/relationships/hyperlink" Target="https://docs.microsoft.com/en-gb/learn/paths/az-104-manage-virtual-networks/" TargetMode="External"/><Relationship Id="rId248" Type="http://schemas.openxmlformats.org/officeDocument/2006/relationships/hyperlink" Target="https://docs.microsoft.com/learn/modules/design-implement-azure-expressroute/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rchitecture/reference-architectures/dmz/nva-ha" TargetMode="External"/><Relationship Id="rId75" Type="http://schemas.openxmlformats.org/officeDocument/2006/relationships/hyperlink" Target="https://docs.microsoft.com/azure/app-service/networking-featur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monitor-usage-performance-availability-resources-azure-monitor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network-monitoring/" TargetMode="External"/><Relationship Id="rId259" Type="http://schemas.openxmlformats.org/officeDocument/2006/relationships/drawing" Target="../drawings/drawing2.xm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networking/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207" Type="http://schemas.openxmlformats.org/officeDocument/2006/relationships/hyperlink" Target="https://docs.microsoft.com/learn/modules/azure-active-directory/" TargetMode="External"/><Relationship Id="rId228" Type="http://schemas.openxmlformats.org/officeDocument/2006/relationships/hyperlink" Target="https://docs.microsoft.com/en-gb/learn/paths/az-104-manage-virtual-networks/" TargetMode="External"/><Relationship Id="rId249" Type="http://schemas.openxmlformats.org/officeDocument/2006/relationships/hyperlink" Target="https://docs.microsoft.com/learn/modules/design-implement-azure-expressroute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networking-infrastructure/" TargetMode="External"/><Relationship Id="rId260" Type="http://schemas.openxmlformats.org/officeDocument/2006/relationships/vmlDrawing" Target="../drawings/vmlDrawing1.vm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azure.microsoft.com/solutions/network-appliances/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-b2c/user-overview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modules/azure-architecture-fundamentals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4" Type="http://schemas.openxmlformats.org/officeDocument/2006/relationships/hyperlink" Target="https://docs.microsoft.com/azure/azure-resource-manager/management/azure-subscription-service-limits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expressroute/expressroute-routing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firewall/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208" Type="http://schemas.openxmlformats.org/officeDocument/2006/relationships/hyperlink" Target="https://docs.microsoft.com/en-gb/learn/modules/implement-hybrid-identity-windows-server/" TargetMode="External"/><Relationship Id="rId229" Type="http://schemas.openxmlformats.org/officeDocument/2006/relationships/hyperlink" Target="https://docs.microsoft.com/en-gb/learn/paths/az-104-manage-virtual-networks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ctrlProp" Target="../ctrlProps/ctrlProp1.xm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virtual-network/virtual-networks-name-resolution-for-vms-and-role-instances" TargetMode="External"/><Relationship Id="rId56" Type="http://schemas.openxmlformats.org/officeDocument/2006/relationships/hyperlink" Target="https://docs.microsoft.com/azure/expressroute/expressroute-howto-coexist-resource-manager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en-gb/learn/paths/control-spending-manage-bills/" TargetMode="External"/><Relationship Id="rId230" Type="http://schemas.openxmlformats.org/officeDocument/2006/relationships/hyperlink" Target="https://docs.microsoft.com/learn/modules/introduction-azure-virtual-wan/" TargetMode="External"/><Relationship Id="rId251" Type="http://schemas.openxmlformats.org/officeDocument/2006/relationships/hyperlink" Target="https://docs.microsoft.com/learn/modules/design-implement-private-access-to-azure-services/" TargetMode="External"/><Relationship Id="rId25" Type="http://schemas.openxmlformats.org/officeDocument/2006/relationships/hyperlink" Target="https://docs.microsoft.com/azure/cost-management-billing/reservations/save-compute-costs-reservation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docs.microsoft.com/azure/expressroute/expressroute-routing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security/benchmark/azure/security-control-incident-response" TargetMode="External"/><Relationship Id="rId209" Type="http://schemas.openxmlformats.org/officeDocument/2006/relationships/hyperlink" Target="https://docs.microsoft.com/en-gb/learn/paths/implement-windows-server-iaas-virtual-machine-identity/" TargetMode="External"/><Relationship Id="rId220" Type="http://schemas.openxmlformats.org/officeDocument/2006/relationships/hyperlink" Target="https://docs.microsoft.com/learn/paths/enterprise-scale-archite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governance/management-groups/overview" TargetMode="External"/><Relationship Id="rId36" Type="http://schemas.openxmlformats.org/officeDocument/2006/relationships/hyperlink" Target="https://docs.microsoft.com/azure/virtual-network/virtual-networks-name-resolution-for-vms-and-role-instances" TargetMode="External"/><Relationship Id="rId57" Type="http://schemas.openxmlformats.org/officeDocument/2006/relationships/hyperlink" Target="https://docs.microsoft.com/azure/expressroute/expressroute-faqs" TargetMode="External"/><Relationship Id="rId262" Type="http://schemas.openxmlformats.org/officeDocument/2006/relationships/ctrlProp" Target="../ctrlProps/ctrlProp2.xm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64" Type="http://schemas.openxmlformats.org/officeDocument/2006/relationships/hyperlink" Target="https://docs.microsoft.com/azure/backup/backup-center-overview" TargetMode="External"/><Relationship Id="rId185" Type="http://schemas.openxmlformats.org/officeDocument/2006/relationships/hyperlink" Target="https://docs.microsoft.com/azure/governance/policy/overview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en-gb/learn/paths/implement-applications-external-access-azure-ad/" TargetMode="External"/><Relationship Id="rId26" Type="http://schemas.openxmlformats.org/officeDocument/2006/relationships/hyperlink" Target="https://docs.microsoft.com/azure/architecture/framework/scalability/design-capacity" TargetMode="External"/><Relationship Id="rId231" Type="http://schemas.openxmlformats.org/officeDocument/2006/relationships/hyperlink" Target="https://docs.microsoft.com/learn/modules/configure-expressroute-virtual-wan/" TargetMode="External"/><Relationship Id="rId252" Type="http://schemas.openxmlformats.org/officeDocument/2006/relationships/hyperlink" Target="https://docs.microsoft.com/learn/paths/implement-network-security/?source=learn" TargetMode="Externa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networking/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hyperlink" Target="https://docs.microsoft.com/en-gb/learn/modules/secure-aad-users-with-mfa/" TargetMode="External"/><Relationship Id="rId16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221" Type="http://schemas.openxmlformats.org/officeDocument/2006/relationships/hyperlink" Target="https://docs.microsoft.com/learn/paths/implement-resource-mgmt-security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ctrlProp" Target="../ctrlProps/ctrlProp3.xm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expressroute/expressroute-faqs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11" Type="http://schemas.openxmlformats.org/officeDocument/2006/relationships/hyperlink" Target="https://docs.microsoft.com/learn/modules/azure-architecture-fundamentals/" TargetMode="External"/><Relationship Id="rId232" Type="http://schemas.openxmlformats.org/officeDocument/2006/relationships/hyperlink" Target="https://docs.microsoft.com/learn/modules/design-implement-hybrid-networking/" TargetMode="External"/><Relationship Id="rId253" Type="http://schemas.openxmlformats.org/officeDocument/2006/relationships/hyperlink" Target="https://docs.microsoft.com/learn/paths/secure-application-delivery/" TargetMode="External"/><Relationship Id="rId27" Type="http://schemas.openxmlformats.org/officeDocument/2006/relationships/hyperlink" Target="https://azure.microsoft.com/global-infrastructure/services/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en-gb/learn/paths/azure-administrator-manage-identities-governance/" TargetMode="External"/><Relationship Id="rId222" Type="http://schemas.openxmlformats.org/officeDocument/2006/relationships/hyperlink" Target="https://docs.microsoft.com/en-gb/learn/paths/architect-network-infrastructure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ctrlProp" Target="../ctrlProps/ctrlProp4.xml"/><Relationship Id="rId17" Type="http://schemas.openxmlformats.org/officeDocument/2006/relationships/hyperlink" Target="https://docs.microsoft.com/azure/governance/management-groups/overview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expressroute/expressroute-monitoring-metrics-alerts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lement-resource-mgmt-security/" TargetMode="External"/><Relationship Id="rId233" Type="http://schemas.openxmlformats.org/officeDocument/2006/relationships/hyperlink" Target="https://docs.microsoft.com/learn/modules/design-implement-hybrid-networking/" TargetMode="External"/><Relationship Id="rId254" Type="http://schemas.openxmlformats.org/officeDocument/2006/relationships/hyperlink" Target="https://docs.microsoft.com/learn/modules/design-implement-azure-expressroute/" TargetMode="External"/><Relationship Id="rId28" Type="http://schemas.openxmlformats.org/officeDocument/2006/relationships/hyperlink" Target="https://docs.microsoft.com/azure/cost-management-billing/cost-management-billing-overview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hyperlink" Target="https://docs.microsoft.com/en-gb/learn/paths/implement-resource-mgmt-security/" TargetMode="External"/><Relationship Id="rId202" Type="http://schemas.openxmlformats.org/officeDocument/2006/relationships/hyperlink" Target="https://docs.microsoft.com/learn/modules/azure-ad-privileged-identity-management/" TargetMode="External"/><Relationship Id="rId223" Type="http://schemas.openxmlformats.org/officeDocument/2006/relationships/hyperlink" Target="https://docs.microsoft.com/en-gb/learn/paths/architect-network-infrastructure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governance/management-groups/overview" TargetMode="External"/><Relationship Id="rId39" Type="http://schemas.openxmlformats.org/officeDocument/2006/relationships/hyperlink" Target="https://docs.microsoft.com/azure/dns/private-dns-autoregistration" TargetMode="External"/><Relationship Id="rId265" Type="http://schemas.openxmlformats.org/officeDocument/2006/relationships/ctrlProp" Target="../ctrlProps/ctrlProp5.xml"/><Relationship Id="rId50" Type="http://schemas.openxmlformats.org/officeDocument/2006/relationships/hyperlink" Target="https://docs.microsoft.com/azure/azure-resource-manager/management/azure-subscription-service-limits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expressroute/how-to-configure-connection-monitor" TargetMode="External"/><Relationship Id="rId92" Type="http://schemas.openxmlformats.org/officeDocument/2006/relationships/hyperlink" Target="https://docs.microsoft.com/azure/web-application-firewall/ag/ag-overview" TargetMode="External"/><Relationship Id="rId213" Type="http://schemas.openxmlformats.org/officeDocument/2006/relationships/hyperlink" Target="https://docs.microsoft.com/learn/paths/enterprise-scale-architecture/" TargetMode="External"/><Relationship Id="rId234" Type="http://schemas.openxmlformats.org/officeDocument/2006/relationships/hyperlink" Target="https://docs.microsoft.com/en-gb/learn/paths/secure-networking-infrastructure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governance/management-groups/overview" TargetMode="External"/><Relationship Id="rId255" Type="http://schemas.openxmlformats.org/officeDocument/2006/relationships/hyperlink" Target="https://docs.microsoft.com/learn/paths/implement-network-security/?source=learn" TargetMode="External"/><Relationship Id="rId40" Type="http://schemas.openxmlformats.org/officeDocument/2006/relationships/hyperlink" Target="https://docs.microsoft.com/azure/virtual-wan/scenario-any-to-any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docs.microsoft.com/azure/architecture/reference-architectures/hybrid-networking/hub-spoke?tabs=cli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modules/plan-implement-administer-conditional-access/" TargetMode="External"/><Relationship Id="rId203" Type="http://schemas.openxmlformats.org/officeDocument/2006/relationships/hyperlink" Target="https://docs.microsoft.com/learn/modules/explore-basic-services-identity-types/" TargetMode="External"/><Relationship Id="rId19" Type="http://schemas.openxmlformats.org/officeDocument/2006/relationships/hyperlink" Target="https://docs.microsoft.com/azure/governance/management-groups/overview" TargetMode="External"/><Relationship Id="rId224" Type="http://schemas.openxmlformats.org/officeDocument/2006/relationships/hyperlink" Target="https://docs.microsoft.com/en-gb/learn/paths/architect-network-infrastructure/" TargetMode="External"/><Relationship Id="rId245" Type="http://schemas.openxmlformats.org/officeDocument/2006/relationships/hyperlink" Target="https://docs.microsoft.com/learn/modules/design-implement-azure-expressroute/" TargetMode="External"/><Relationship Id="rId30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virtual-wan/azure-monitor-insights" TargetMode="External"/><Relationship Id="rId72" Type="http://schemas.openxmlformats.org/officeDocument/2006/relationships/hyperlink" Target="https://docs.microsoft.com/azure/networking/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paths/enterprise-scale-architecture/" TargetMode="External"/><Relationship Id="rId235" Type="http://schemas.openxmlformats.org/officeDocument/2006/relationships/hyperlink" Target="https://docs.microsoft.com/en-gb/learn/paths/architect-network-infrastructure/" TargetMode="External"/><Relationship Id="rId256" Type="http://schemas.openxmlformats.org/officeDocument/2006/relationships/hyperlink" Target="https://docs.microsoft.com/learn/paths/implement-network-security/?source=learn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governance/management-groups/overview" TargetMode="External"/><Relationship Id="rId41" Type="http://schemas.openxmlformats.org/officeDocument/2006/relationships/hyperlink" Target="https://docs.microsoft.com/azure/virtual-wan/virtual-wan-about" TargetMode="External"/><Relationship Id="rId62" Type="http://schemas.openxmlformats.org/officeDocument/2006/relationships/hyperlink" Target="https://docs.microsoft.com/azure/expressroute/expressroute-routing" TargetMode="External"/><Relationship Id="rId83" Type="http://schemas.openxmlformats.org/officeDocument/2006/relationships/hyperlink" Target="https://docs.microsoft.com/en-gb/learn/paths/secure-networking-infrastructure/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en-gb/learn/paths/manage-identity-and-access/" TargetMode="External"/><Relationship Id="rId225" Type="http://schemas.openxmlformats.org/officeDocument/2006/relationships/hyperlink" Target="https://docs.microsoft.com/en-gb/learn/paths/architect-network-infrastructure/" TargetMode="External"/><Relationship Id="rId246" Type="http://schemas.openxmlformats.org/officeDocument/2006/relationships/hyperlink" Target="https://docs.microsoft.com/learn/modules/design-implement-azure-expressroute/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plan-for-ip-addressing" TargetMode="External"/><Relationship Id="rId52" Type="http://schemas.openxmlformats.org/officeDocument/2006/relationships/hyperlink" Target="https://docs.microsoft.com/azure/cloud-adoption-framework/ready/enterprise-scale/network-topology-and-connectivity" TargetMode="External"/><Relationship Id="rId73" Type="http://schemas.openxmlformats.org/officeDocument/2006/relationships/hyperlink" Target="https://docs.microsoft.com/azure/virtual-network/vnet-integration-for-azure-services" TargetMode="External"/><Relationship Id="rId94" Type="http://schemas.openxmlformats.org/officeDocument/2006/relationships/hyperlink" Target="https://docs.microsoft.com/azure/web-application-firewall/ag/ag-overview" TargetMode="External"/><Relationship Id="rId148" Type="http://schemas.openxmlformats.org/officeDocument/2006/relationships/hyperlink" Target="https://docs.microsoft.com/azure/automation/update-management/overview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enterprise-scale-architecture/" TargetMode="External"/><Relationship Id="rId236" Type="http://schemas.openxmlformats.org/officeDocument/2006/relationships/hyperlink" Target="https://docs.microsoft.com/en-gb/learn/paths/azure-administrator-manage-virtual-networks/" TargetMode="External"/><Relationship Id="rId257" Type="http://schemas.openxmlformats.org/officeDocument/2006/relationships/hyperlink" Target="https://docs.microsoft.com/learn/paths/implement-network-security/?source=learn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91" Type="http://schemas.openxmlformats.org/officeDocument/2006/relationships/hyperlink" Target="https://docs.microsoft.com/azure/security-center/" TargetMode="External"/><Relationship Id="rId205" Type="http://schemas.openxmlformats.org/officeDocument/2006/relationships/hyperlink" Target="https://docs.microsoft.com/learn/modules/create-custom-azure-roles-with-rbac/" TargetMode="External"/><Relationship Id="rId247" Type="http://schemas.openxmlformats.org/officeDocument/2006/relationships/hyperlink" Target="https://docs.microsoft.com/learn/modules/design-implement-azure-expressroute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55"/>
  <sheetViews>
    <sheetView topLeftCell="A33" zoomScale="80" zoomScaleNormal="80" workbookViewId="0">
      <selection activeCell="B50" sqref="B50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1" t="s">
        <v>23</v>
      </c>
      <c r="E1" s="21" t="s">
        <v>24</v>
      </c>
    </row>
    <row r="2" spans="1:13" ht="31.5">
      <c r="A2" s="14" t="s">
        <v>14</v>
      </c>
      <c r="D2" s="20">
        <f>IF($R$29=0,0,1-$O$29/$R$29)</f>
        <v>0</v>
      </c>
      <c r="E2" s="20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Not Required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>
        <f>SUM(B6:E6)</f>
        <v>0</v>
      </c>
      <c r="H6" s="13" t="str">
        <f>IF(Values!$C2="","",Values!$C2)</f>
        <v>Identity and Access</v>
      </c>
      <c r="I6" cm="1">
        <f t="array" ref="I6">IF($H6="","",SUMPRODUCT(--(Checklist!$A$10:$A$487=$H6)*--(Checklist!$F$10:$F$487=I$5)))</f>
        <v>0</v>
      </c>
      <c r="J6" cm="1">
        <f t="array" ref="J6">IF($H6="","",SUMPRODUCT(--(Checklist!$A$10:$A$487=$H6)*--(Checklist!$F$10:$F$487=J$5)))</f>
        <v>0</v>
      </c>
      <c r="K6" cm="1">
        <f t="array" ref="K6">IF($H6="","",SUMPRODUCT(--(Checklist!$A$10:$A$487=$H6)*--(Checklist!$F$10:$F$487=K$5)))</f>
        <v>0</v>
      </c>
      <c r="L6" cm="1">
        <f t="array" ref="L6">IF($H6="","",SUMPRODUCT(--(Checklist!$A$10:$A$487=$H6)*--(Checklist!$F$10:$F$487=L$5)))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>
        <f>SUM(B7:E7)</f>
        <v>0</v>
      </c>
      <c r="H7" s="13" t="str">
        <f>IF(Values!$C3="","",Values!$C3)</f>
        <v>Network Topology and Connectivity</v>
      </c>
      <c r="I7" cm="1">
        <f t="array" ref="I7">IF($H7="","",SUMPRODUCT(--(Checklist!$A$10:$A$487=$H7)*--(Checklist!$F$10:$F$487=I$5)))</f>
        <v>0</v>
      </c>
      <c r="J7" cm="1">
        <f t="array" ref="J7">IF($H7="","",SUMPRODUCT(--(Checklist!$A$10:$A$487=$H7)*--(Checklist!$F$10:$F$487=J$5)))</f>
        <v>0</v>
      </c>
      <c r="K7" cm="1">
        <f t="array" ref="K7">IF($H7="","",SUMPRODUCT(--(Checklist!$A$10:$A$487=$H7)*--(Checklist!$F$10:$F$487=K$5)))</f>
        <v>0</v>
      </c>
      <c r="L7" cm="1">
        <f t="array" ref="L7">IF($H7="","",SUMPRODUCT(--(Checklist!$A$10:$A$487=$H7)*--(Checklist!$F$10:$F$487=L$5)))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>
        <f>SUM(B8:E8)</f>
        <v>0</v>
      </c>
      <c r="H8" s="13" t="str">
        <f>IF(Values!$C4="","",Values!$C4)</f>
        <v>Security, Governance and Compliance</v>
      </c>
      <c r="I8" cm="1">
        <f t="array" ref="I8">IF($H8="","",SUMPRODUCT(--(Checklist!$A$10:$A$487=$H8)*--(Checklist!$F$10:$F$487=I$5)))</f>
        <v>0</v>
      </c>
      <c r="J8" cm="1">
        <f t="array" ref="J8">IF($H8="","",SUMPRODUCT(--(Checklist!$A$10:$A$487=$H8)*--(Checklist!$F$10:$F$487=J$5)))</f>
        <v>0</v>
      </c>
      <c r="K8" cm="1">
        <f t="array" ref="K8">IF($H8="","",SUMPRODUCT(--(Checklist!$A$10:$A$487=$H8)*--(Checklist!$F$10:$F$487=K$5)))</f>
        <v>0</v>
      </c>
      <c r="L8" cm="1">
        <f t="array" ref="L8">IF($H8="","",SUMPRODUCT(--(Checklist!$A$10:$A$487=$H8)*--(Checklist!$F$10:$F$487=L$5)))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 and Monitoring</v>
      </c>
      <c r="I9" cm="1">
        <f t="array" ref="I9">IF($H9="","",SUMPRODUCT(--(Checklist!$A$10:$A$487=$H9)*--(Checklist!$F$10:$F$487=I$5)))</f>
        <v>0</v>
      </c>
      <c r="J9" cm="1">
        <f t="array" ref="J9">IF($H9="","",SUMPRODUCT(--(Checklist!$A$10:$A$487=$H9)*--(Checklist!$F$10:$F$487=J$5)))</f>
        <v>0</v>
      </c>
      <c r="K9" cm="1">
        <f t="array" ref="K9">IF($H9="","",SUMPRODUCT(--(Checklist!$A$10:$A$487=$H9)*--(Checklist!$F$10:$F$487=K$5)))</f>
        <v>0</v>
      </c>
      <c r="L9" cm="1">
        <f t="array" ref="L9">IF($H9="","",SUMPRODUCT(--(Checklist!$A$10:$A$487=$H9)*--(Checklist!$F$10:$F$487=L$5)))</f>
        <v>0</v>
      </c>
      <c r="M9">
        <f t="shared" si="0"/>
        <v>0</v>
      </c>
    </row>
    <row r="10" spans="1:13">
      <c r="H10" s="13" t="str">
        <f>IF(Values!$C6="","",Values!$C6)</f>
        <v>Management Group and Subscriptions</v>
      </c>
      <c r="I10" cm="1">
        <f t="array" ref="I10">IF($H10="","",SUMPRODUCT(--(Checklist!$A$10:$A$487=$H10)*--(Checklist!$F$10:$F$487=I$5)))</f>
        <v>0</v>
      </c>
      <c r="J10" cm="1">
        <f t="array" ref="J10">IF($H10="","",SUMPRODUCT(--(Checklist!$A$10:$A$487=$H10)*--(Checklist!$F$10:$F$487=J$5)))</f>
        <v>0</v>
      </c>
      <c r="K10" cm="1">
        <f t="array" ref="K10">IF($H10="","",SUMPRODUCT(--(Checklist!$A$10:$A$487=$H10)*--(Checklist!$F$10:$F$487=K$5)))</f>
        <v>0</v>
      </c>
      <c r="L10" cm="1">
        <f t="array" ref="L10">IF($H10="","",SUMPRODUCT(--(Checklist!$A$10:$A$487=$H10)*--(Checklist!$F$10:$F$487=L$5)))</f>
        <v>0</v>
      </c>
      <c r="M10">
        <f t="shared" si="0"/>
        <v>0</v>
      </c>
    </row>
    <row r="11" spans="1:13">
      <c r="H11" s="13" t="str">
        <f>IF(Values!$C7="","",Values!$C7)</f>
        <v>Operations</v>
      </c>
      <c r="I11" cm="1">
        <f t="array" ref="I11">IF($H11="","",SUMPRODUCT(--(Checklist!$A$10:$A$487=$H11)*--(Checklist!$F$10:$F$487=I$5)))</f>
        <v>0</v>
      </c>
      <c r="J11" cm="1">
        <f t="array" ref="J11">IF($H11="","",SUMPRODUCT(--(Checklist!$A$10:$A$487=$H11)*--(Checklist!$F$10:$F$487=J$5)))</f>
        <v>0</v>
      </c>
      <c r="K11" cm="1">
        <f t="array" ref="K11">IF($H11="","",SUMPRODUCT(--(Checklist!$A$10:$A$487=$H11)*--(Checklist!$F$10:$F$487=K$5)))</f>
        <v>0</v>
      </c>
      <c r="L11" cm="1">
        <f t="array" ref="L11">IF($H11="","",SUMPRODUCT(--(Checklist!$A$10:$A$487=$H11)*--(Checklist!$F$10:$F$487=L$5)))</f>
        <v>0</v>
      </c>
      <c r="M11">
        <f t="shared" si="0"/>
        <v>0</v>
      </c>
    </row>
    <row r="12" spans="1:13">
      <c r="H12" s="13" t="str">
        <f>IF(Values!$C8="","",Values!$C8)</f>
        <v>Application Deployment</v>
      </c>
      <c r="I12" cm="1">
        <f t="array" ref="I12">IF($H12="","",SUMPRODUCT(--(Checklist!$A$10:$A$487=$H12)*--(Checklist!$F$10:$F$487=I$5)))</f>
        <v>0</v>
      </c>
      <c r="J12" cm="1">
        <f t="array" ref="J12">IF($H12="","",SUMPRODUCT(--(Checklist!$A$10:$A$487=$H12)*--(Checklist!$F$10:$F$487=J$5)))</f>
        <v>0</v>
      </c>
      <c r="K12" cm="1">
        <f t="array" ref="K12">IF($H12="","",SUMPRODUCT(--(Checklist!$A$10:$A$487=$H12)*--(Checklist!$F$10:$F$487=K$5)))</f>
        <v>0</v>
      </c>
      <c r="L12" cm="1">
        <f t="array" ref="L12">IF($H12="","",SUMPRODUCT(--(Checklist!$A$10:$A$487=$H12)*--(Checklist!$F$10:$F$487=L$5)))</f>
        <v>0</v>
      </c>
      <c r="M12">
        <f t="shared" si="0"/>
        <v>0</v>
      </c>
    </row>
    <row r="13" spans="1:13">
      <c r="H13" s="13" t="str">
        <f>IF(Values!$C9="","",Values!$C9)</f>
        <v/>
      </c>
      <c r="I13" t="str" cm="1">
        <f t="array" ref="I13">IF($H13="","",SUMPRODUCT(--(Checklist!$A$10:$A$487=$H13)*--(Checklist!$F$10:$F$487=I$5)))</f>
        <v/>
      </c>
      <c r="J13" t="str" cm="1">
        <f t="array" ref="J13">IF($H13="","",SUMPRODUCT(--(Checklist!$A$10:$A$487=$H13)*--(Checklist!$F$10:$F$487=J$5)))</f>
        <v/>
      </c>
      <c r="K13" t="str" cm="1">
        <f t="array" ref="K13">IF($H13="","",SUMPRODUCT(--(Checklist!$A$10:$A$487=$H13)*--(Checklist!$F$10:$F$487=K$5)))</f>
        <v/>
      </c>
      <c r="L13" t="str" cm="1">
        <f t="array" ref="L13">IF($H13="","",SUMPRODUCT(--(Checklist!$A$10:$A$487=$H13)*--(Checklist!$F$10:$F$487=L$5)))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 and Access</v>
      </c>
      <c r="O21" cm="1">
        <f t="array" ref="O21">IF($N21="","",SUMPRODUCT(--(Checklist!$A$10:$A$487=$N21)*--(Checklist!$F$10:$F$487=O$20)))</f>
        <v>0</v>
      </c>
      <c r="P21" cm="1">
        <f t="array" ref="P21">IF($N21="","",SUMPRODUCT(--(Checklist!$A$10:$A$487=$N21)*--(Checklist!$F$10:$F$487=P$20)))</f>
        <v>0</v>
      </c>
      <c r="Q21" cm="1">
        <f t="array" ref="Q21">IF($N21="","",SUMPRODUCT(--(Checklist!$A$10:$A$487=$N21)*(--(Checklist!$F$10:$F$487=Values!$B$4)+--(Checklist!$F$10:$F$487=Values!$B$5))))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 Topology and Connectivity</v>
      </c>
      <c r="O22" cm="1">
        <f t="array" ref="O22">IF($N22="","",SUMPRODUCT(--(Checklist!$A$10:$A$487=$N22)*--(Checklist!$F$10:$F$487=O$20)))</f>
        <v>0</v>
      </c>
      <c r="P22" cm="1">
        <f t="array" ref="P22">IF($N22="","",SUMPRODUCT(--(Checklist!$A$10:$A$487=$N22)*--(Checklist!$F$10:$F$487=P$20)))</f>
        <v>0</v>
      </c>
      <c r="Q22" cm="1">
        <f t="array" ref="Q22">IF($N22="","",SUMPRODUCT(--(Checklist!$A$10:$A$487=$N22)*(--(Checklist!$F$10:$F$487=Values!$B$4)+--(Checklist!$F$10:$F$487=Values!$B$5))))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Security, Governance and Compliance</v>
      </c>
      <c r="O23" cm="1">
        <f t="array" ref="O23">IF($N23="","",SUMPRODUCT(--(Checklist!$A$10:$A$487=$N23)*--(Checklist!$F$10:$F$487=O$20)))</f>
        <v>0</v>
      </c>
      <c r="P23" cm="1">
        <f t="array" ref="P23">IF($N23="","",SUMPRODUCT(--(Checklist!$A$10:$A$487=$N23)*--(Checklist!$F$10:$F$487=P$20)))</f>
        <v>0</v>
      </c>
      <c r="Q23" cm="1">
        <f t="array" ref="Q23">IF($N23="","",SUMPRODUCT(--(Checklist!$A$10:$A$487=$N23)*(--(Checklist!$F$10:$F$487=Values!$B$4)+--(Checklist!$F$10:$F$487=Values!$B$5))))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Management and Monitoring</v>
      </c>
      <c r="O24" cm="1">
        <f t="array" ref="O24">IF($N24="","",SUMPRODUCT(--(Checklist!$A$10:$A$487=$N24)*--(Checklist!$F$10:$F$487=O$20)))</f>
        <v>0</v>
      </c>
      <c r="P24" cm="1">
        <f t="array" ref="P24">IF($N24="","",SUMPRODUCT(--(Checklist!$A$10:$A$487=$N24)*--(Checklist!$F$10:$F$487=P$20)))</f>
        <v>0</v>
      </c>
      <c r="Q24" cm="1">
        <f t="array" ref="Q24">IF($N24="","",SUMPRODUCT(--(Checklist!$A$10:$A$487=$N24)*(--(Checklist!$F$10:$F$487=Values!$B$4)+--(Checklist!$F$10:$F$487=Values!$B$5))))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Management Group and Subscriptions</v>
      </c>
      <c r="O25" cm="1">
        <f t="array" ref="O25">IF($N25="","",SUMPRODUCT(--(Checklist!$A$10:$A$487=$N25)*--(Checklist!$F$10:$F$487=O$20)))</f>
        <v>0</v>
      </c>
      <c r="P25" cm="1">
        <f t="array" ref="P25">IF($N25="","",SUMPRODUCT(--(Checklist!$A$10:$A$487=$N25)*--(Checklist!$F$10:$F$487=P$20)))</f>
        <v>0</v>
      </c>
      <c r="Q25" cm="1">
        <f t="array" ref="Q25">IF($N25="","",SUMPRODUCT(--(Checklist!$A$10:$A$487=$N25)*(--(Checklist!$F$10:$F$487=Values!$B$4)+--(Checklist!$F$10:$F$487=Values!$B$5))))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>Operations</v>
      </c>
      <c r="O26" cm="1">
        <f t="array" ref="O26">IF($N26="","",SUMPRODUCT(--(Checklist!$A$10:$A$487=$N26)*--(Checklist!$F$10:$F$487=O$20)))</f>
        <v>0</v>
      </c>
      <c r="P26" cm="1">
        <f t="array" ref="P26">IF($N26="","",SUMPRODUCT(--(Checklist!$A$10:$A$487=$N26)*--(Checklist!$F$10:$F$487=P$20)))</f>
        <v>0</v>
      </c>
      <c r="Q26" cm="1">
        <f t="array" ref="Q26">IF($N26="","",SUMPRODUCT(--(Checklist!$A$10:$A$487=$N26)*(--(Checklist!$F$10:$F$487=Values!$B$4)+--(Checklist!$F$10:$F$487=Values!$B$5))))</f>
        <v>0</v>
      </c>
      <c r="R26">
        <f t="shared" si="1"/>
        <v>0</v>
      </c>
      <c r="S26" s="15" t="e">
        <f t="shared" si="2"/>
        <v>#DIV/0!</v>
      </c>
    </row>
    <row r="27" spans="14:19">
      <c r="N27" s="13" t="str">
        <f>IF(Values!$C8="","",Values!$C8)</f>
        <v>Application Deployment</v>
      </c>
      <c r="O27" cm="1">
        <f t="array" ref="O27">IF($N27="","",SUMPRODUCT(--(Checklist!$A$10:$A$487=$N27)*--(Checklist!$F$10:$F$487=O$20)))</f>
        <v>0</v>
      </c>
      <c r="P27" cm="1">
        <f t="array" ref="P27">IF($N27="","",SUMPRODUCT(--(Checklist!$A$10:$A$487=$N27)*--(Checklist!$F$10:$F$487=P$20)))</f>
        <v>0</v>
      </c>
      <c r="Q27" cm="1">
        <f t="array" ref="Q27">IF($N27="","",SUMPRODUCT(--(Checklist!$A$10:$A$487=$N27)*(--(Checklist!$F$10:$F$487=Values!$B$4)+--(Checklist!$F$10:$F$487=Values!$B$5))))</f>
        <v>0</v>
      </c>
      <c r="R27">
        <f t="shared" si="1"/>
        <v>0</v>
      </c>
      <c r="S27" s="15" t="e">
        <f t="shared" si="2"/>
        <v>#DIV/0!</v>
      </c>
    </row>
    <row r="28" spans="14:19">
      <c r="N28" s="13" t="str">
        <f>IF(Values!$C9="","",Values!$C9)</f>
        <v/>
      </c>
      <c r="O28" t="str" cm="1">
        <f t="array" ref="O28">IF($N28="","",SUMPRODUCT(--(Checklist!$A$10:$A$487=$N28)*--(Checklist!$F$10:$F$487=O$20)))</f>
        <v/>
      </c>
      <c r="P28" t="str" cm="1">
        <f t="array" ref="P28">IF($N28="","",SUMPRODUCT(--(Checklist!$A$10:$A$487=$N28)*--(Checklist!$F$10:$F$487=P$20)))</f>
        <v/>
      </c>
      <c r="Q28" t="str" cm="1">
        <f t="array" ref="Q28">IF($N28="","",SUMPRODUCT(--(Checklist!$A$10:$A$487=$N28)*(--(Checklist!$F$10:$F$487=Values!$B$4)+--(Checklist!$F$10:$F$487=Values!$B$5))))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  <row r="49" spans="1:5">
      <c r="A49" s="13" t="s">
        <v>76</v>
      </c>
    </row>
    <row r="50" spans="1:5">
      <c r="B50" t="s">
        <v>73</v>
      </c>
      <c r="C50" t="s">
        <v>74</v>
      </c>
      <c r="D50" s="38" t="s">
        <v>75</v>
      </c>
      <c r="E50" t="s">
        <v>17</v>
      </c>
    </row>
    <row r="51" spans="1:5">
      <c r="A51" t="s">
        <v>66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</row>
    <row r="52" spans="1:5">
      <c r="A52" t="s">
        <v>69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3">IF((C52-B52)=0,1,(D52-B52)/(C52-B52))</f>
        <v>1</v>
      </c>
    </row>
    <row r="53" spans="1:5">
      <c r="A53" t="s">
        <v>71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3"/>
        <v>1</v>
      </c>
    </row>
    <row r="54" spans="1:5">
      <c r="A54" t="s">
        <v>67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3"/>
        <v>1</v>
      </c>
    </row>
    <row r="55" spans="1:5">
      <c r="A55" t="s">
        <v>70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3"/>
        <v>1</v>
      </c>
    </row>
  </sheetData>
  <dataConsolidate/>
  <conditionalFormatting sqref="E51:E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60" zoomScaleNormal="60" workbookViewId="0">
      <selection activeCell="A10" sqref="A10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1"/>
      <c r="B2" s="41"/>
      <c r="C2" s="12" t="s">
        <v>12</v>
      </c>
      <c r="D2" s="23"/>
      <c r="E2" s="40" t="s">
        <v>30</v>
      </c>
      <c r="F2" s="24" t="s">
        <v>34</v>
      </c>
      <c r="G2" s="30" t="s">
        <v>41</v>
      </c>
    </row>
    <row r="3" spans="1:16" ht="17.25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">
        <v>72</v>
      </c>
      <c r="F7" s="32" t="str">
        <f>Values!H5</f>
        <v>Not needed, given the requirements for this project</v>
      </c>
      <c r="G7" s="3"/>
      <c r="H7" s="3"/>
    </row>
    <row r="8" spans="1:16">
      <c r="A8" s="3"/>
      <c r="B8" s="3"/>
      <c r="C8" s="7"/>
      <c r="D8" s="7"/>
      <c r="E8" s="2" t="s">
        <v>11</v>
      </c>
      <c r="F8" s="32" t="str">
        <f>Values!H6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77</v>
      </c>
      <c r="K9" s="19" t="s">
        <v>21</v>
      </c>
      <c r="L9" s="36" t="s">
        <v>66</v>
      </c>
      <c r="M9" s="36" t="s">
        <v>64</v>
      </c>
      <c r="N9" s="36" t="s">
        <v>65</v>
      </c>
      <c r="O9" s="36" t="s">
        <v>67</v>
      </c>
      <c r="P9" s="36" t="s">
        <v>68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tooltip="https://docs.microsoft.com/azure/active-directory-b2c/user-overview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governance/management-groups/overview" display="More info" xr:uid="{0CEC9985-B462-4FAD-9EFF-C2DD63A1ADA3}"/>
    <hyperlink ref="H25" r:id="rId16" tooltip="https://docs.microsoft.com/azure/cloud-adoption-framework/decision-guides/resource-tagging/?toc=/azure/azure-resource-manager/management/toc.json" display="More info" xr:uid="{9D26BB3C-C3AA-45A2-985E-F3BD71AC6B31}"/>
    <hyperlink ref="H26" r:id="rId17" tooltip="https://docs.microsoft.com/azure/governance/management-groups/overview" display="More info" xr:uid="{9116CF9B-39C8-4EDE-872C-2677A3EFFF20}"/>
    <hyperlink ref="H27" r:id="rId18" tooltip="https://docs.microsoft.com/azure/governance/management-groups/overview" display="More info" xr:uid="{0DD7B89E-5EA0-46CD-A7C0-8264F97C827C}"/>
    <hyperlink ref="H28" r:id="rId19" tooltip="https://docs.microsoft.com/azure/governance/management-groups/overview" display="More info" xr:uid="{088574A1-6062-47D3-B076-47B35B275C86}"/>
    <hyperlink ref="H29" r:id="rId20" tooltip="https://docs.microsoft.com/azure/governance/management-groups/overview" display="More info" xr:uid="{B6F32F99-9E73-4556-A5E9-99A1D64854A3}"/>
    <hyperlink ref="H30" r:id="rId21" tooltip="https://docs.microsoft.com/azure/governance/management-groups/overview" display="More info" xr:uid="{20DEBD46-0190-4849-A747-B8EB80FB851E}"/>
    <hyperlink ref="H31" r:id="rId22" tooltip="https://docs.microsoft.com/azure/governance/management-groups/overview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azure-resource-manager/management/azure-subscription-service-limits" display="More info" xr:uid="{D09A8AE1-27EB-40A5-AEE6-BF93C6194D8E}"/>
    <hyperlink ref="H34" r:id="rId25" tooltip="https://docs.microsoft.com/azure/cost-management-billing/reservations/save-compute-costs-reservations" display="More info" xr:uid="{C79CCC2C-18B5-4AAB-A98E-158CEF1C7BC1}"/>
    <hyperlink ref="H35" r:id="rId26" tooltip="https://docs.microsoft.com/azure/architecture/framework/scalability/design-capacity" display="More info" xr:uid="{39CA6667-2069-4BCA-AB63-120EA7A9FAE7}"/>
    <hyperlink ref="H36" r:id="rId27" tooltip="https://azure.microsoft.com/global-infrastructure/services/" display="More info" xr:uid="{4CC033EB-600A-4BE3-8FCE-4F80B5F8B2A6}"/>
    <hyperlink ref="H37" r:id="rId28" tooltip="https://docs.microsoft.com/azure/cost-management-billing/cost-management-billing-overview" display="More info" xr:uid="{5C5A5853-47E1-4A14-AF55-BE39546DC3A1}"/>
    <hyperlink ref="H38" r:id="rId29" tooltip="https://docs.microsoft.com/azure/governance/management-groups/overview" display="More info" xr:uid="{5B872E4D-F13C-46C3-AC87-4841AE724B5F}"/>
    <hyperlink ref="H39" r:id="rId30" tooltip="https://docs.microsoft.com/azure/cloud-adoption-framework/decision-guides/resource-tagging/?toc=/azure/azure-resource-manager/management/toc.json" display="More info" xr:uid="{21990D78-00A5-4200-A26C-89DE295A705F}"/>
    <hyperlink ref="H40" r:id="rId31" tooltip="https://docs.microsoft.com/azure/cloud-adoption-framework/ready/azure-best-practices/plan-for-ip-addressing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virtual-network/virtual-networks-name-resolution-for-vms-and-role-instances" display="More info" xr:uid="{7ADEC31E-1B29-4E09-A71D-FF94B66C84A4}"/>
    <hyperlink ref="H45" r:id="rId36" tooltip="https://docs.microsoft.com/azure/virtual-network/virtual-networks-name-resolution-for-vms-and-role-instanc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dns/private-dns-autoregistration" display="More info" xr:uid="{1E894BA2-AB24-4E6F-83FB-52593C2C6BE7}"/>
    <hyperlink ref="H49" r:id="rId40" tooltip="https://docs.microsoft.com/azure/virtual-wan/scenario-any-to-any" display="More info" xr:uid="{894B586B-B4FF-49A6-8B12-B366687B3C84}"/>
    <hyperlink ref="H50" r:id="rId41" tooltip="https://docs.microsoft.com/azure/virtual-wan/virtual-wan-about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azure-resource-manager/management/azure-subscription-service-limits" display="More info" xr:uid="{0CEEAF27-52D4-4575-A41A-19D6B31E367B}"/>
    <hyperlink ref="H60" r:id="rId51" tooltip="https://docs.microsoft.com/azure/virtual-wan/azure-monitor-insights" display="More info" xr:uid="{1BE2C3EA-03F5-439F-9E21-009049A2E2F9}"/>
    <hyperlink ref="H61" r:id="rId52" tooltip="https://docs.microsoft.com/azure/cloud-adoption-framework/ready/enterprise-scale/network-topology-and-connectivity" display="More info" xr:uid="{0B50F5CC-6F6B-4F16-AD44-741298B75A5C}"/>
    <hyperlink ref="H62" r:id="rId53" tooltip="https://docs.microsoft.com/azure/architecture/reference-architectures/hybrid-networking/expressroute" display="More info" xr:uid="{C2DBB12D-F073-4AA8-A2E9-97E34F6F5764}"/>
    <hyperlink ref="H63" r:id="rId54" tooltip="https://docs.microsoft.com/azure/architecture/reference-architectures/dmz/nva-ha" display="More info" xr:uid="{AEAE9BDC-37CB-42F4-8469-61BF7A4C5C54}"/>
    <hyperlink ref="H64" r:id="rId55" tooltip="https://azure.microsoft.com/solutions/network-appliances/" display="More info" xr:uid="{A7D41C9A-09D1-43C8-A0E8-6A5979BE644F}"/>
    <hyperlink ref="H65" r:id="rId56" location="to-enable-transit-routing-between-expressroute-and-azure-vpn" tooltip="https://docs.microsoft.com/azure/expressroute/expressroute-howto-coexist-resource-manager#to-enable-transit-routing-between-expressroute-and-azure-vpn" display="More info" xr:uid="{0DE1BA9B-7FC0-44BF-8C92-EF5093F11194}"/>
    <hyperlink ref="H66" r:id="rId57" tooltip="https://docs.microsoft.com/azure/expressroute/expressroute-faqs" display="More info" xr:uid="{86B4788C-BEC9-4C52-87A6-F40F2480FE64}"/>
    <hyperlink ref="H67" r:id="rId58" tooltip="https://docs.microsoft.com/azure/expressroute/expressroute-faqs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tooltip="https://docs.microsoft.com/azure/architecture/reference-architectures/hybrid-networking/hub-spoke?tabs=cli" display="More info" xr:uid="{4391496B-69DF-4488-9145-FDBD10643C3F}"/>
    <hyperlink ref="H71" r:id="rId62" tooltip="https://docs.microsoft.com/azure/expressroute/expressroute-routing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about-virtual-network-gateways" display="More info" xr:uid="{EE126A83-3989-4056-B38E-B6E33409554C}"/>
    <hyperlink ref="H74" r:id="rId65" tooltip="https://docs.microsoft.com/azure/networking/" display="More info" xr:uid="{1FE0F99B-DA46-49F0-8377-370C952313AC}"/>
    <hyperlink ref="H75" r:id="rId66" tooltip="https://docs.microsoft.com/azure/expressroute/expressroute-routing" display="More info" xr:uid="{294C631B-498E-4F3B-82DF-13BC07F14329}"/>
    <hyperlink ref="H76" r:id="rId67" tooltip="https://docs.microsoft.com/azure/expressroute/expressroute-routing" display="More info" xr:uid="{4304CA8E-C38B-414C-915C-4F17DD86FAF3}"/>
    <hyperlink ref="H77" r:id="rId68" tooltip="https://docs.microsoft.com/azure/networking/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expressroute/expressroute-monitoring-metrics-alerts" display="More info" xr:uid="{8489267C-0EA7-4F47-A729-DB684A9196B9}"/>
    <hyperlink ref="H80" r:id="rId71" tooltip="https://docs.microsoft.com/azure/expressroute/how-to-configure-connection-monitor" display="More info" xr:uid="{901A0875-48C8-46AF-94BA-6EB8FA8BF1DC}"/>
    <hyperlink ref="H81" r:id="rId72" tooltip="https://docs.microsoft.com/azure/networking/" display="More info" xr:uid="{C41F9E63-D4B2-43CF-A32A-543BB9C0C9DC}"/>
    <hyperlink ref="H82" r:id="rId73" tooltip="https://docs.microsoft.com/azure/virtual-network/vnet-integration-for-azure-service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app-service/networking-featur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  <hyperlink ref="I10" r:id="rId197" tooltip="https://docs.microsoft.com/learn/modules/azure-ad-privileged-identity-management/" display="Training" xr:uid="{8E35D8AA-1133-470C-9DD6-627C667C6D9C}"/>
    <hyperlink ref="I11" r:id="rId198" tooltip="https://docs.microsoft.com/en-gb/learn/paths/implement-resource-mgmt-security/" display="Training" xr:uid="{73177209-9EE9-43E1-89F9-5732E83B18D5}"/>
    <hyperlink ref="I12" r:id="rId199" tooltip="https://docs.microsoft.com/learn/modules/plan-implement-administer-conditional-access/" display="Training" xr:uid="{896F9275-B7B9-424C-A066-65E6DF4952D1}"/>
    <hyperlink ref="I13" r:id="rId200" tooltip="https://docs.microsoft.com/en-gb/learn/modules/secure-aad-users-with-mfa/" display="Training" xr:uid="{EDEAF96B-2DCE-4847-AD45-20A9A4C018E2}"/>
    <hyperlink ref="I14" r:id="rId201" tooltip="https://docs.microsoft.com/en-gb/learn/paths/azure-administrator-manage-identities-governance/" display="Training" xr:uid="{E345C0BD-E078-47F9-9EA6-D9FE2C374637}"/>
    <hyperlink ref="I15" r:id="rId202" tooltip="https://docs.microsoft.com/learn/modules/azure-ad-privileged-identity-management/" display="Training" xr:uid="{F437EB8D-00CE-49A0-9197-2359D26B5CF2}"/>
    <hyperlink ref="I16" r:id="rId203" tooltip="https://docs.microsoft.com/learn/modules/explore-basic-services-identity-types/" display="Training" xr:uid="{B57D0EC3-D512-4525-AA7F-2DC06CF89E88}"/>
    <hyperlink ref="I17" r:id="rId204" tooltip="https://docs.microsoft.com/en-gb/learn/paths/manage-identity-and-access/" display="Training" xr:uid="{D92A5345-F998-468F-B77D-3FC724945D7B}"/>
    <hyperlink ref="I18" r:id="rId205" tooltip="https://docs.microsoft.com/learn/modules/create-custom-azure-roles-with-rbac/" display="Training" xr:uid="{4CF3A04B-17ED-4549-A739-F57082C4EECA}"/>
    <hyperlink ref="I19" r:id="rId206" tooltip="https://docs.microsoft.com/en-gb/learn/paths/secure-your-cloud-data/" display="Training" xr:uid="{48626A09-64DB-45F0-8DF2-5CDB74CD38E4}"/>
    <hyperlink ref="I20" r:id="rId207" tooltip="https://docs.microsoft.com/learn/modules/azure-active-directory/" display="Training" xr:uid="{ADE085F9-C457-4441-B011-B06CE9AB7809}"/>
    <hyperlink ref="I21" r:id="rId208" tooltip="https://docs.microsoft.com/en-gb/learn/modules/implement-hybrid-identity-windows-server/" display="Training" xr:uid="{FC81B899-072F-4673-B221-D89CC21D3735}"/>
    <hyperlink ref="I22" r:id="rId209" tooltip="https://docs.microsoft.com/en-gb/learn/paths/implement-windows-server-iaas-virtual-machine-identity/" display="Training" xr:uid="{E7C31FE0-718A-44C5-9A07-E73D7E73EE22}"/>
    <hyperlink ref="I23" r:id="rId210" tooltip="https://docs.microsoft.com/en-gb/learn/paths/implement-applications-external-access-azure-ad/" display="Training" xr:uid="{79A3E2EA-C47B-4EAD-BDA8-87F499373CD8}"/>
    <hyperlink ref="I24" r:id="rId211" tooltip="https://docs.microsoft.com/learn/modules/azure-architecture-fundamentals/" display="Training" xr:uid="{AD527716-A7C5-4D5A-914B-C14925368B53}"/>
    <hyperlink ref="I25" r:id="rId212" tooltip="https://docs.microsoft.com/learn/paths/implement-resource-mgmt-security/" display="Training" xr:uid="{B7DC48AA-A3A7-4EA4-A674-9A3AA2A2341C}"/>
    <hyperlink ref="I26" r:id="rId213" tooltip="https://docs.microsoft.com/learn/paths/enterprise-scale-architecture/" display="Training" xr:uid="{C87060F2-798F-46E0-8F96-4AD7DE1EEBC3}"/>
    <hyperlink ref="I27" r:id="rId214" tooltip="https://docs.microsoft.com/learn/paths/enterprise-scale-architecture/" display="Training" xr:uid="{969D1CE2-87F7-4BFD-AB8E-3FB69306A3F9}"/>
    <hyperlink ref="I28" r:id="rId215" tooltip="https://docs.microsoft.com/learn/paths/enterprise-scale-architecture/" display="Training" xr:uid="{33BDF14B-3353-42FC-B915-5A931EF94CCC}"/>
    <hyperlink ref="I34" r:id="rId216" tooltip="https://docs.microsoft.com/en-gb/learn/paths/improve-reliability-modern-operations/" display="Training" xr:uid="{9DC59EC8-5D50-4C68-A08B-DAFFE274C553}"/>
    <hyperlink ref="I35" r:id="rId217" tooltip="https://docs.microsoft.com/learn/paths/monitor-usage-performance-availability-resources-azure-monitor/" display="Training" xr:uid="{27B3C0EB-E446-40A4-982F-DF61F797BEA3}"/>
    <hyperlink ref="I36" r:id="rId218" tooltip="https://docs.microsoft.com/learn/modules/azure-architecture-fundamentals/" display="Training" xr:uid="{90536318-AF33-427F-9A1B-963602606CE8}"/>
    <hyperlink ref="I37" r:id="rId219" tooltip="https://docs.microsoft.com/en-gb/learn/paths/control-spending-manage-bills/" display="Training" xr:uid="{3B6ACE31-AF35-4387-9CCA-0DA57BF4F54F}"/>
    <hyperlink ref="I38" r:id="rId220" tooltip="https://docs.microsoft.com/learn/paths/enterprise-scale-architecture/" display="Training" xr:uid="{74531959-DFF3-469F-83F8-EEB782CB4EB0}"/>
    <hyperlink ref="I39" r:id="rId221" tooltip="https://docs.microsoft.com/learn/paths/implement-resource-mgmt-security/" display="Training" xr:uid="{B496095F-7C85-486C-9C90-5D6D6347F346}"/>
    <hyperlink ref="I40" r:id="rId222" tooltip="https://docs.microsoft.com/en-gb/learn/paths/architect-network-infrastructure/" display="Training" xr:uid="{4AEDCD42-C3F8-47A9-A221-576786F97014}"/>
    <hyperlink ref="I41" r:id="rId223" tooltip="https://docs.microsoft.com/en-gb/learn/paths/architect-network-infrastructure/" display="Training" xr:uid="{22C8806C-CCAF-4B8B-84AC-809144C854D9}"/>
    <hyperlink ref="I42" r:id="rId224" tooltip="https://docs.microsoft.com/en-gb/learn/paths/architect-network-infrastructure/" display="Training" xr:uid="{1F21F72C-B68D-4152-A7CC-2E89FFB07533}"/>
    <hyperlink ref="I43" r:id="rId225" tooltip="https://docs.microsoft.com/en-gb/learn/paths/architect-network-infrastructure/" display="Training" xr:uid="{E02C90EC-ACA3-4FF1-BA31-996FEE5AA280}"/>
    <hyperlink ref="I44" r:id="rId226" tooltip="https://docs.microsoft.com/en-gb/learn/paths/az-104-manage-virtual-networks/" display="Training" xr:uid="{FF7855D1-4CD4-4481-99A7-648EA1EFED20}"/>
    <hyperlink ref="I45" r:id="rId227" tooltip="https://docs.microsoft.com/en-gb/learn/paths/az-104-manage-virtual-networks/" display="Training" xr:uid="{751614D3-396B-410F-96BC-91E7C890D60C}"/>
    <hyperlink ref="I46" r:id="rId228" tooltip="https://docs.microsoft.com/en-gb/learn/paths/az-104-manage-virtual-networks/" display="Training" xr:uid="{48314890-8CC5-4C6E-A74F-4C033EE70505}"/>
    <hyperlink ref="I48" r:id="rId229" tooltip="https://docs.microsoft.com/en-gb/learn/paths/az-104-manage-virtual-networks/" display="Training" xr:uid="{7EAC5AAD-3031-47B7-A7D3-04C0838D7A8B}"/>
    <hyperlink ref="I49" r:id="rId230" tooltip="https://docs.microsoft.com/learn/modules/introduction-azure-virtual-wan/" display="Training" xr:uid="{25DFD8D5-7AB1-4FD6-804D-8BBFFE5BCD24}"/>
    <hyperlink ref="I52" r:id="rId231" tooltip="https://docs.microsoft.com/learn/modules/configure-expressroute-virtual-wan/" display="Training" xr:uid="{86410C71-432E-470D-BA5D-207A51901CF7}"/>
    <hyperlink ref="I53" r:id="rId232" tooltip="https://docs.microsoft.com/learn/modules/design-implement-hybrid-networking/" display="Training" xr:uid="{B4F3FA4F-F19A-48A4-A0FC-C06FF152384E}"/>
    <hyperlink ref="I54" r:id="rId233" tooltip="https://docs.microsoft.com/learn/modules/design-implement-hybrid-networking/" display="Training" xr:uid="{5646A68C-0814-490C-92B2-F8BF4E1639BD}"/>
    <hyperlink ref="I56" r:id="rId234" tooltip="https://docs.microsoft.com/en-gb/learn/paths/secure-networking-infrastructure/" display="Training" xr:uid="{EB09CA53-7886-40D6-A1AD-74679890BAAC}"/>
    <hyperlink ref="I61" r:id="rId235" tooltip="https://docs.microsoft.com/en-gb/learn/paths/architect-network-infrastructure/" display="Training" xr:uid="{EB149230-5C9F-4FC8-9275-A7CC298068A3}"/>
    <hyperlink ref="I66" r:id="rId236" tooltip="https://docs.microsoft.com/en-gb/learn/paths/azure-administrator-manage-virtual-networks/" display="Training" xr:uid="{C134746D-D3B4-48E4-AE26-38F6DA866BCC}"/>
    <hyperlink ref="I67" r:id="rId237" tooltip="https://docs.microsoft.com/learn/modules/design-implement-azure-expressroute/" display="Training" xr:uid="{9CBCDB67-CD2A-4E10-B497-9E71A938E8B3}"/>
    <hyperlink ref="I68" r:id="rId238" tooltip="https://docs.microsoft.com/learn/modules/design-implement-network-monitoring/" display="Training" xr:uid="{405D3857-0AA7-40B2-920A-46B6FB739C9A}"/>
    <hyperlink ref="I70" r:id="rId239" tooltip="https://docs.microsoft.com/learn/modules/design-implement-azure-expressroute/" display="Training" xr:uid="{148E6763-54D0-4EBA-A87F-38987050A16B}"/>
    <hyperlink ref="I71" r:id="rId240" tooltip="https://docs.microsoft.com/learn/modules/design-implement-azure-expressroute/" display="Training" xr:uid="{9E1E408E-6727-4A0D-8316-D8C87D6E8676}"/>
    <hyperlink ref="I72" r:id="rId241" tooltip="https://docs.microsoft.com/learn/modules/design-implement-azure-expressroute/" display="Training" xr:uid="{90201462-F799-42C6-B75A-52327436A11A}"/>
    <hyperlink ref="I73" r:id="rId242" tooltip="https://docs.microsoft.com/learn/modules/design-implement-azure-expressroute/" display="Training" xr:uid="{90D63228-FAE0-4246-ACCA-E0947CD97FA2}"/>
    <hyperlink ref="I74" r:id="rId243" tooltip="https://docs.microsoft.com/learn/modules/design-implement-azure-expressroute/" display="Training" xr:uid="{246E4BB9-7045-441D-ACAD-7EA4E75EC442}"/>
    <hyperlink ref="I75" r:id="rId244" tooltip="https://docs.microsoft.com/learn/modules/design-implement-azure-expressroute/" display="Training" xr:uid="{1302D481-1FA7-4239-99A2-2165CB572D7F}"/>
    <hyperlink ref="I76" r:id="rId245" tooltip="https://docs.microsoft.com/learn/modules/design-implement-azure-expressroute/" display="Training" xr:uid="{9381DA72-5FA9-4DEC-8402-AA53B2EA87FE}"/>
    <hyperlink ref="I77" r:id="rId246" tooltip="https://docs.microsoft.com/learn/modules/design-implement-azure-expressroute/" display="Training" xr:uid="{3561A8D7-D5D1-4291-BB2D-790CF73E1614}"/>
    <hyperlink ref="I78" r:id="rId247" tooltip="https://docs.microsoft.com/learn/modules/design-implement-azure-expressroute/" display="Training" xr:uid="{8DCA05C5-0468-40D8-89BF-D675780ACA29}"/>
    <hyperlink ref="I79" r:id="rId248" tooltip="https://docs.microsoft.com/learn/modules/design-implement-azure-expressroute/" display="Training" xr:uid="{8A64B4F0-47F9-4BA5-BEBF-A7E4D9A128AD}"/>
    <hyperlink ref="I80" r:id="rId249" tooltip="https://docs.microsoft.com/learn/modules/design-implement-azure-expressroute/" display="Training" xr:uid="{62D3ED9D-5FC1-4A75-B9F4-B9FCFA73424E}"/>
    <hyperlink ref="I81" r:id="rId250" tooltip="https://docs.microsoft.com/learn/modules/design-implement-azure-expressroute/" display="Training" xr:uid="{103E9F1F-A6F8-457B-82D4-2E12B4F7B415}"/>
    <hyperlink ref="I82" r:id="rId251" tooltip="https://docs.microsoft.com/learn/modules/design-implement-private-access-to-azure-services/" display="Training" xr:uid="{746C5966-571E-4EB9-BC6A-699DEF4EA6F6}"/>
    <hyperlink ref="I83" r:id="rId252" tooltip="https://docs.microsoft.com/learn/paths/implement-network-security/?source=learn" display="Training" xr:uid="{8B52E0D5-4337-4F0E-8006-F3CB5BD41EE9}"/>
    <hyperlink ref="I84" r:id="rId253" tooltip="https://docs.microsoft.com/learn/paths/secure-application-delivery/" display="Training" xr:uid="{0328D761-1D69-4370-9CA5-1F626A5CD721}"/>
    <hyperlink ref="I85" r:id="rId254" tooltip="https://docs.microsoft.com/learn/modules/design-implement-azure-expressroute/" display="Training" xr:uid="{AF0FE697-BE70-4832-A851-579AB2E43317}"/>
    <hyperlink ref="I86" r:id="rId255" tooltip="https://docs.microsoft.com/learn/paths/implement-network-security/?source=learn" display="Training" xr:uid="{307BF8C9-0E93-46D3-93C4-3FA1700A2700}"/>
    <hyperlink ref="I87" r:id="rId256" tooltip="https://docs.microsoft.com/learn/paths/implement-network-security/?source=learn" display="Training" xr:uid="{AD190B24-52A6-49EE-8DCD-EEA3AA4484C4}"/>
    <hyperlink ref="I88" r:id="rId257" tooltip="https://docs.microsoft.com/learn/paths/implement-network-security/?source=learn" display="Training" xr:uid="{1D2A98D3-C956-4C8D-A92D-1E3470801786}"/>
  </hyperlinks>
  <pageMargins left="0.7" right="0.7" top="0.75" bottom="0.75" header="0.3" footer="0.3"/>
  <pageSetup paperSize="9" orientation="portrait" horizontalDpi="4294967293" r:id="rId258"/>
  <drawing r:id="rId259"/>
  <legacyDrawing r:id="rId26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1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2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3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4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5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H5" sqref="H5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51</v>
      </c>
      <c r="K1" s="13" t="s">
        <v>57</v>
      </c>
    </row>
    <row r="2" spans="1:11">
      <c r="A2" t="s">
        <v>5</v>
      </c>
      <c r="B2" s="11" t="s">
        <v>6</v>
      </c>
      <c r="C2" t="s">
        <v>78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52</v>
      </c>
      <c r="K2" s="17" t="s">
        <v>58</v>
      </c>
    </row>
    <row r="3" spans="1:11">
      <c r="A3" t="s">
        <v>8</v>
      </c>
      <c r="B3" s="8" t="s">
        <v>9</v>
      </c>
      <c r="C3" t="s">
        <v>47</v>
      </c>
      <c r="F3" t="s">
        <v>31</v>
      </c>
      <c r="G3" t="s">
        <v>35</v>
      </c>
      <c r="H3" t="s">
        <v>44</v>
      </c>
      <c r="J3" t="s">
        <v>53</v>
      </c>
      <c r="K3" t="s">
        <v>59</v>
      </c>
    </row>
    <row r="4" spans="1:11">
      <c r="A4" t="s">
        <v>7</v>
      </c>
      <c r="B4" s="9" t="s">
        <v>10</v>
      </c>
      <c r="C4" t="s">
        <v>81</v>
      </c>
      <c r="F4" t="s">
        <v>32</v>
      </c>
      <c r="G4" t="s">
        <v>36</v>
      </c>
      <c r="H4" t="s">
        <v>46</v>
      </c>
      <c r="J4" t="s">
        <v>54</v>
      </c>
      <c r="K4" t="s">
        <v>60</v>
      </c>
    </row>
    <row r="5" spans="1:11">
      <c r="B5" s="9" t="s">
        <v>82</v>
      </c>
      <c r="C5" t="s">
        <v>80</v>
      </c>
      <c r="F5" t="s">
        <v>40</v>
      </c>
      <c r="G5" t="s">
        <v>37</v>
      </c>
      <c r="H5" t="s">
        <v>83</v>
      </c>
      <c r="J5" t="s">
        <v>55</v>
      </c>
      <c r="K5" t="s">
        <v>61</v>
      </c>
    </row>
    <row r="6" spans="1:11">
      <c r="B6" s="10" t="s">
        <v>11</v>
      </c>
      <c r="C6" t="s">
        <v>79</v>
      </c>
      <c r="F6" t="s">
        <v>33</v>
      </c>
      <c r="G6" t="s">
        <v>38</v>
      </c>
      <c r="H6" t="s">
        <v>45</v>
      </c>
      <c r="J6" t="s">
        <v>56</v>
      </c>
      <c r="K6" t="s">
        <v>62</v>
      </c>
    </row>
    <row r="7" spans="1:11">
      <c r="C7" t="s">
        <v>48</v>
      </c>
      <c r="F7" t="s">
        <v>50</v>
      </c>
      <c r="J7" t="s">
        <v>63</v>
      </c>
    </row>
    <row r="8" spans="1:11">
      <c r="C8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2022-03-18T08:40:58Z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