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E8B7F16E-F794-4C4A-90F3-9523EFA1DA5C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Checklist!$A$9:$L$246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5" l="1"/>
  <c r="G7" i="5"/>
  <c r="N5" i="7"/>
  <c r="F5" i="7"/>
  <c r="H7" i="5"/>
  <c r="H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H4" i="5"/>
  <c r="H6" i="5"/>
  <c r="H5" i="5"/>
  <c r="G6" i="5"/>
  <c r="G5" i="5"/>
  <c r="G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3" i="7" l="1" a="1"/>
  <c r="N13" i="7" s="1"/>
  <c r="N14" i="7" s="1"/>
  <c r="E54" i="7"/>
  <c r="R8" i="5" s="1"/>
  <c r="E55" i="7"/>
  <c r="S8" i="5" s="1"/>
  <c r="E52" i="7"/>
  <c r="P8" i="5" s="1"/>
  <c r="E53" i="7"/>
  <c r="Q8" i="5" s="1"/>
  <c r="E51" i="7"/>
  <c r="O8" i="5" s="1"/>
  <c r="R20" i="7" l="1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O13" i="7" l="1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<sst xmlns="http://schemas.openxmlformats.org/spreadsheetml/2006/main" count="125" uniqueCount="113">
  <si>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</si>
  <si>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</si>
  <si>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</si>
  <si>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</si>
  <si>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</si>
  <si>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</si>
  <si>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</si>
  <si>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</si>
  <si>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</si>
  <si>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</si>
  <si>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</si>
  <si>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</si>
  <si>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</si>
  <si>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</si>
  <si>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</si>
  <si>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</si>
  <si>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</si>
  <si>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</si>
  <si>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</si>
  <si>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</si>
  <si>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</si>
  <si>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</si>
  <si>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</si>
  <si>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</si>
  <si>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</si>
  <si>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</si>
  <si>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</si>
  <si>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</si>
  <si>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</si>
  <si>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</si>
  <si>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</si>
  <si>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</si>
  <si>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</si>
  <si>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</si>
  <si>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</si>
  <si>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</si>
  <si>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</si>
  <si>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</si>
  <si>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</si>
  <si>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</si>
  <si>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</si>
  <si>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</si>
  <si>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</si>
  <si>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</si>
  <si>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</si>
  <si>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</si>
  <si>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</si>
  <si>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</si>
  <si>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</si>
  <si>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</si>
  <si>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</si>
  <si>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</si>
  <si>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</si>
  <si>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</si>
  <si>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</si>
  <si>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</si>
  <si>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</si>
  <si>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</si>
  <si>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</si>
  <si>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</si>
  <si>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</si>
  <si>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</si>
  <si>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</si>
  <si>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</si>
  <si>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</si>
  <si>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</si>
  <si>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</si>
  <si>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</si>
  <si>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</si>
  <si>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</si>
  <si>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Recommendation understood, but not needed by current requirements</t>
  </si>
  <si>
    <t>SAP</t>
  </si>
  <si>
    <t>sap</t>
  </si>
  <si>
    <t>App Services Security</t>
  </si>
  <si>
    <t>appsvc_security</t>
  </si>
  <si>
    <t>apim</t>
  </si>
  <si>
    <t>sqldb_security</t>
  </si>
  <si>
    <t>Azure SQL DB Security</t>
  </si>
  <si>
    <t>Blob Storage Security</t>
  </si>
  <si>
    <t>blob_storage_security</t>
  </si>
  <si>
    <t>ACR Security</t>
  </si>
  <si>
    <t>acr_security</t>
  </si>
  <si>
    <t>Events Hub Security</t>
  </si>
  <si>
    <t>Service Bus Security</t>
  </si>
  <si>
    <t>eh_security</t>
  </si>
  <si>
    <t>asb_security</t>
  </si>
  <si>
    <t>API Management</t>
  </si>
  <si>
    <t>Last modified: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</si>
  <si>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</si>
  <si>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</si>
  <si>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</si>
  <si>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</si>
  <si>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</si>
  <si>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</si>
  <si>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</si>
  <si>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</si>
  <si>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</si>
  <si>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</si>
  <si>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</si>
  <si>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</si>
  <si>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</si>
  <si>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1.3.2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</si>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</sst>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7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2"/>
      <color theme="4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6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0" fontId="22" fillId="0" borderId="0" xfId="0" applyFont="1" applyAlignment="1">
      <alignment vertical="top" wrapText="1"/>
    </xf>
    <xf numFmtId="0" fontId="23" fillId="0" borderId="0" xfId="0" applyFont="1" applyAlignment="1">
      <alignment vertical="top" wrapText="1"/>
    </xf>
    <xf numFmtId="15" fontId="23" fillId="0" borderId="0" xfId="0" applyNumberFormat="1" applyFont="1" applyAlignment="1">
      <alignment vertical="top" wrapText="1"/>
    </xf>
    <xf numFmtId="0" fontId="24" fillId="5" borderId="0" xfId="0" applyFont="1" applyFill="1" applyAlignment="1">
      <alignment horizontal="left" vertical="top"/>
    </xf>
    <xf numFmtId="0" fontId="25" fillId="5" borderId="0" xfId="0" applyFont="1" applyFill="1" applyAlignment="1">
      <alignment horizontal="left" vertical="top"/>
    </xf>
    <xf numFmtId="0" fontId="25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6" fillId="0" borderId="0" xfId="0" applyFont="1" applyAlignment="1">
      <alignment horizontal="left" vertical="center" wrapText="1" indent="10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7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multiLvlStrRef>
              <c:f>Dashboard!$I$6:$I$13</c:f>
            </c:multiLvl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multiLvlStrRef>
              <c:f>Dashboard!$P$21:$P$28</c:f>
            </c:multiLvl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1109661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4905375</xdr:colOff>
          <xdr:row>1</xdr:row>
          <xdr:rowOff>533400</xdr:rowOff>
        </xdr:from>
        <xdr:to>
          <xdr:col>11</xdr:col>
          <xdr:colOff>85725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4905375</xdr:colOff>
          <xdr:row>1</xdr:row>
          <xdr:rowOff>200025</xdr:rowOff>
        </xdr:from>
        <xdr:to>
          <xdr:col>11</xdr:col>
          <xdr:colOff>0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</xdr:row>
          <xdr:rowOff>161925</xdr:rowOff>
        </xdr:from>
        <xdr:to>
          <xdr:col>5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4524375</xdr:colOff>
          <xdr:row>1</xdr:row>
          <xdr:rowOff>142875</xdr:rowOff>
        </xdr:from>
        <xdr:to>
          <xdr:col>11</xdr:col>
          <xdr:colOff>333375</xdr:colOff>
          <xdr:row>4</xdr:row>
          <xdr:rowOff>66675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4905375</xdr:colOff>
          <xdr:row>2</xdr:row>
          <xdr:rowOff>161925</xdr:rowOff>
        </xdr:from>
        <xdr:to>
          <xdr:col>11</xdr:col>
          <xdr:colOff>95250</xdr:colOff>
          <xdr:row>3</xdr:row>
          <xdr:rowOff>200025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learn.microsoft.com/learn/paths/azure-administrator-manage-virtual-networks/" TargetMode="External"/><Relationship Id="rId299" Type="http://schemas.openxmlformats.org/officeDocument/2006/relationships/hyperlink" Target="https://learn.microsoft.com/learn/paths/implement-resource-mgmt-security/" TargetMode="External"/><Relationship Id="rId21" Type="http://schemas.openxmlformats.org/officeDocument/2006/relationships/hyperlink" Target="https://learn.microsoft.com/azure/governance/policy/overview" TargetMode="External"/><Relationship Id="rId63" Type="http://schemas.openxmlformats.org/officeDocument/2006/relationships/hyperlink" Target="https://learn.microsoft.com/azure/azure-monitor/logs/design-logs-deployment" TargetMode="External"/><Relationship Id="rId159" Type="http://schemas.openxmlformats.org/officeDocument/2006/relationships/hyperlink" Target="https://learn.microsoft.com/learn/paths/secure-application-delivery/" TargetMode="External"/><Relationship Id="rId324" Type="http://schemas.openxmlformats.org/officeDocument/2006/relationships/printerSettings" Target="../printerSettings/printerSettings2.bin"/><Relationship Id="rId170" Type="http://schemas.openxmlformats.org/officeDocument/2006/relationships/hyperlink" Target="https://learn.microsoft.com/azure/app-service/networking-features" TargetMode="External"/><Relationship Id="rId226" Type="http://schemas.openxmlformats.org/officeDocument/2006/relationships/hyperlink" Target="https://learn.microsoft.com/learn/modules/azure-ad-privileged-identity-management/" TargetMode="External"/><Relationship Id="rId268" Type="http://schemas.openxmlformats.org/officeDocument/2006/relationships/hyperlink" Target="https://learn.microsoft.com/learn/paths/implement-network-security/?source=learn" TargetMode="External"/><Relationship Id="rId32" Type="http://schemas.openxmlformats.org/officeDocument/2006/relationships/hyperlink" Target="https://learn.microsoft.com/azure/role-based-access-control/overview" TargetMode="External"/><Relationship Id="rId74" Type="http://schemas.openxmlformats.org/officeDocument/2006/relationships/hyperlink" Target="https://learn.microsoft.com/azure/reliability/availability-zones-overview" TargetMode="External"/><Relationship Id="rId128" Type="http://schemas.openxmlformats.org/officeDocument/2006/relationships/hyperlink" Target="https://learn.microsoft.com/learn/modules/design-implement-azure-expressroute/" TargetMode="External"/><Relationship Id="rId5" Type="http://schemas.openxmlformats.org/officeDocument/2006/relationships/hyperlink" Target="https://learn.microsoft.com/en-us/azure/cloud-adoption-framework/ready/landing-zone/design-area/azure-billing-microsoft-customer-agreement" TargetMode="External"/><Relationship Id="rId181" Type="http://schemas.openxmlformats.org/officeDocument/2006/relationships/hyperlink" Target="https://learn.microsoft.com/azure/virtual-wan/virtual-wan-about" TargetMode="External"/><Relationship Id="rId237" Type="http://schemas.openxmlformats.org/officeDocument/2006/relationships/hyperlink" Target="https://learn.microsoft.com/en-us/azure/role-based-access-control/overview" TargetMode="External"/><Relationship Id="rId279" Type="http://schemas.openxmlformats.org/officeDocument/2006/relationships/hyperlink" Target="https://learn.microsoft.com/learn/paths/enterprise-scale-architecture/" TargetMode="External"/><Relationship Id="rId43" Type="http://schemas.openxmlformats.org/officeDocument/2006/relationships/hyperlink" Target="https://learn.microsoft.com/azure/active-directory/app-proxy/application-proxy" TargetMode="External"/><Relationship Id="rId139" Type="http://schemas.openxmlformats.org/officeDocument/2006/relationships/hyperlink" Target="https://learn.microsoft.com/learn/modules/design-implement-azure-expressroute/" TargetMode="External"/><Relationship Id="rId290" Type="http://schemas.openxmlformats.org/officeDocument/2006/relationships/hyperlink" Target="https://learn.microsoft.com/azure/architecture/framework/scalability/design-capacity" TargetMode="External"/><Relationship Id="rId304" Type="http://schemas.openxmlformats.org/officeDocument/2006/relationships/hyperlink" Target="https://learn.microsoft.com/azure/key-vault/general/best-practices" TargetMode="External"/><Relationship Id="rId85" Type="http://schemas.openxmlformats.org/officeDocument/2006/relationships/hyperlink" Target="https://learn.microsoft.com/azure/web-application-firewall/ag/ag-overview" TargetMode="External"/><Relationship Id="rId150" Type="http://schemas.openxmlformats.org/officeDocument/2006/relationships/hyperlink" Target="https://learn.microsoft.com/azure/virtual-network/virtual-networks-name-resolution-for-vms-and-role-instances" TargetMode="External"/><Relationship Id="rId192" Type="http://schemas.openxmlformats.org/officeDocument/2006/relationships/hyperlink" Target="https://learn.microsoft.com/azure/frontdoor/best-practices" TargetMode="External"/><Relationship Id="rId206" Type="http://schemas.openxmlformats.org/officeDocument/2006/relationships/hyperlink" Target="https://learn.microsoft.com/en-us/azure/cloud-adoption-framework/ready/considerations/development-strategy-development-lifecycle" TargetMode="External"/><Relationship Id="rId248" Type="http://schemas.openxmlformats.org/officeDocument/2006/relationships/hyperlink" Target="https://learn.microsoft.com/learn/paths/implement-applications-external-access-azure-ad/" TargetMode="External"/><Relationship Id="rId12" Type="http://schemas.openxmlformats.org/officeDocument/2006/relationships/hyperlink" Target="https://learn.microsoft.com/en-us/azure/cloud-adoption-framework/ready/landing-zone/design-area/azure-billing-microsoft-customer-agreement" TargetMode="External"/><Relationship Id="rId108" Type="http://schemas.openxmlformats.org/officeDocument/2006/relationships/hyperlink" Target="https://learn.microsoft.com/azure/azure-resource-manager/management/azure-subscription-service-limits?toc=/azure/virtual-network/toc.json" TargetMode="External"/><Relationship Id="rId315" Type="http://schemas.openxmlformats.org/officeDocument/2006/relationships/hyperlink" Target="https://learn.microsoft.com/azure/azure-monitor/logs/logs-data-export?tabs=portal" TargetMode="External"/><Relationship Id="rId54" Type="http://schemas.openxmlformats.org/officeDocument/2006/relationships/hyperlink" Target="https://learn.microsoft.com/azure/azure-monitor/logs/design-logs-deployment" TargetMode="External"/><Relationship Id="rId96" Type="http://schemas.openxmlformats.org/officeDocument/2006/relationships/hyperlink" Target="https://learn.microsoft.com/azure/nat-gateway/nat-overview" TargetMode="External"/><Relationship Id="rId161" Type="http://schemas.openxmlformats.org/officeDocument/2006/relationships/hyperlink" Target="https://learn.microsoft.com/azure/web-application-firewall/ag/ag-overview" TargetMode="External"/><Relationship Id="rId217" Type="http://schemas.openxmlformats.org/officeDocument/2006/relationships/hyperlink" Target="https://learn.microsoft.com/azure/cloud-adoption-framework/ready/landing-zone/design-area/resource-org-management-groups" TargetMode="External"/><Relationship Id="rId259" Type="http://schemas.openxmlformats.org/officeDocument/2006/relationships/hyperlink" Target="https://learn.microsoft.com/azure/dns/private-dns-autoregistration" TargetMode="External"/><Relationship Id="rId23" Type="http://schemas.openxmlformats.org/officeDocument/2006/relationships/hyperlink" Target="https://learn.microsoft.com/azure/governance/policy/overview" TargetMode="External"/><Relationship Id="rId119" Type="http://schemas.openxmlformats.org/officeDocument/2006/relationships/hyperlink" Target="https://learn.microsoft.com/azure/architecture/reference-architectures/hybrid-networking/hub-spoke?tabs=cli" TargetMode="External"/><Relationship Id="rId270" Type="http://schemas.openxmlformats.org/officeDocument/2006/relationships/hyperlink" Target="https://learn.microsoft.com/learn/paths/implement-resource-mgmt-security/" TargetMode="External"/><Relationship Id="rId326" Type="http://schemas.openxmlformats.org/officeDocument/2006/relationships/vmlDrawing" Target="../drawings/vmlDrawing1.vml"/><Relationship Id="rId65" Type="http://schemas.openxmlformats.org/officeDocument/2006/relationships/hyperlink" Target="https://learn.microsoft.com/azure/azure-monitor/agents/diagnostics-extension-overview" TargetMode="External"/><Relationship Id="rId130" Type="http://schemas.openxmlformats.org/officeDocument/2006/relationships/hyperlink" Target="https://learn.microsoft.com/learn/modules/design-implement-azure-expressroute/" TargetMode="External"/><Relationship Id="rId172" Type="http://schemas.openxmlformats.org/officeDocument/2006/relationships/hyperlink" Target="https://learn.microsoft.com/azure/app-service/networking-features" TargetMode="External"/><Relationship Id="rId228" Type="http://schemas.openxmlformats.org/officeDocument/2006/relationships/hyperlink" Target="https://learn.microsoft.com/learn/paths/manage-identity-and-access/" TargetMode="External"/><Relationship Id="rId281" Type="http://schemas.openxmlformats.org/officeDocument/2006/relationships/hyperlink" Target="https://learn.microsoft.com/azure/cloud-adoption-framework/ready/landing-zone/design-area/resource-org-management-groups" TargetMode="External"/><Relationship Id="rId34" Type="http://schemas.openxmlformats.org/officeDocument/2006/relationships/hyperlink" Target="https://learn.microsoft.com/azure/active-directory/authentication/concept-mfa-howitworks" TargetMode="External"/><Relationship Id="rId76" Type="http://schemas.openxmlformats.org/officeDocument/2006/relationships/hyperlink" Target="https://learn.microsoft.com/azure/load-balancer/load-balancer-overview" TargetMode="External"/><Relationship Id="rId141" Type="http://schemas.openxmlformats.org/officeDocument/2006/relationships/hyperlink" Target="https://learn.microsoft.com/azure/cloud-adoption-framework/ready/azure-best-practices/plan-for-ip-addressing" TargetMode="External"/><Relationship Id="rId7" Type="http://schemas.openxmlformats.org/officeDocument/2006/relationships/hyperlink" Target="https://learn.microsoft.com/en-us/azure/cost-management-billing/manage/direct-ea-administration" TargetMode="External"/><Relationship Id="rId183" Type="http://schemas.openxmlformats.org/officeDocument/2006/relationships/hyperlink" Target="https://learn.microsoft.com/azure/virtual-wan/virtual-wan-about" TargetMode="External"/><Relationship Id="rId239" Type="http://schemas.openxmlformats.org/officeDocument/2006/relationships/hyperlink" Target="https://learn.microsoft.com/learn/paths/architect-infrastructure-operations/" TargetMode="External"/><Relationship Id="rId250" Type="http://schemas.openxmlformats.org/officeDocument/2006/relationships/hyperlink" Target="https://learn.microsoft.com/learn/modules/design-implement-network-monitoring/" TargetMode="External"/><Relationship Id="rId271" Type="http://schemas.openxmlformats.org/officeDocument/2006/relationships/hyperlink" Target="https://learn.microsoft.com/learn/paths/implement-network-security/" TargetMode="External"/><Relationship Id="rId292" Type="http://schemas.openxmlformats.org/officeDocument/2006/relationships/hyperlink" Target="https://azure.microsoft.com/global-infrastructure/services/" TargetMode="External"/><Relationship Id="rId306" Type="http://schemas.openxmlformats.org/officeDocument/2006/relationships/hyperlink" Target="https://learn.microsoft.com/azure/key-vault/general/best-practices" TargetMode="External"/><Relationship Id="rId24" Type="http://schemas.openxmlformats.org/officeDocument/2006/relationships/hyperlink" Target="https://learn.microsoft.com/azure/governance/policy/overview" TargetMode="External"/><Relationship Id="rId45" Type="http://schemas.openxmlformats.org/officeDocument/2006/relationships/hyperlink" Target="https://learn.microsoft.com/en-us/azure/cloud-adoption-framework/ready/landing-zone/design-area/identity-access-landing-zones" TargetMode="External"/><Relationship Id="rId66" Type="http://schemas.openxmlformats.org/officeDocument/2006/relationships/hyperlink" Target="https://learn.microsoft.com/azure/azure-monitor/alerts/alerts-overview" TargetMode="External"/><Relationship Id="rId87" Type="http://schemas.openxmlformats.org/officeDocument/2006/relationships/hyperlink" Target="https://learn.microsoft.com/azure/web-application-firewall/ag/ag-overview" TargetMode="External"/><Relationship Id="rId110" Type="http://schemas.openxmlformats.org/officeDocument/2006/relationships/hyperlink" Target="https://learn.microsoft.com/learn/paths/azure-administrator-manage-compute-resources/" TargetMode="External"/><Relationship Id="rId131" Type="http://schemas.openxmlformats.org/officeDocument/2006/relationships/hyperlink" Target="https://learn.microsoft.com/azure/expressroute/about-fastpath" TargetMode="External"/><Relationship Id="rId327" Type="http://schemas.openxmlformats.org/officeDocument/2006/relationships/ctrlProp" Target="../ctrlProps/ctrlProp1.xml"/><Relationship Id="rId152" Type="http://schemas.openxmlformats.org/officeDocument/2006/relationships/hyperlink" Target="https://learn.microsoft.com/azure/bastion/bastion-overview" TargetMode="External"/><Relationship Id="rId173" Type="http://schemas.openxmlformats.org/officeDocument/2006/relationships/hyperlink" Target="https://learn.microsoft.com/azure/firewall/firewall-faq" TargetMode="External"/><Relationship Id="rId194" Type="http://schemas.openxmlformats.org/officeDocument/2006/relationships/hyperlink" Target="https://learn.microsoft.com/azure/web-application-firewall/afds/waf-front-door-best-practices" TargetMode="External"/><Relationship Id="rId208" Type="http://schemas.openxmlformats.org/officeDocument/2006/relationships/hyperlink" Target="https://learn.microsoft.com/en-us/azure/cloud-adoption-framework/ready/landing-zone/design-area/subscription-vending" TargetMode="External"/><Relationship Id="rId229" Type="http://schemas.openxmlformats.org/officeDocument/2006/relationships/hyperlink" Target="https://learn.microsoft.com/learn/modules/create-custom-azure-roles-with-rbac/" TargetMode="External"/><Relationship Id="rId240" Type="http://schemas.openxmlformats.org/officeDocument/2006/relationships/hyperlink" Target="https://learn.microsoft.com/learn/paths/architect-infrastructure-operations/" TargetMode="External"/><Relationship Id="rId261" Type="http://schemas.openxmlformats.org/officeDocument/2006/relationships/hyperlink" Target="https://learn.microsoft.com/learn/paths/secure-networking-infrastructure/" TargetMode="External"/><Relationship Id="rId14" Type="http://schemas.openxmlformats.org/officeDocument/2006/relationships/hyperlink" Target="https://learn.microsoft.com/en-us/azure/cloud-adoption-framework/ready/landing-zone/design-area/azure-billing-microsoft-customer-agreement" TargetMode="External"/><Relationship Id="rId35" Type="http://schemas.openxmlformats.org/officeDocument/2006/relationships/hyperlink" Target="https://learn.microsoft.com/azure/cloud-adoption-framework/manage/centralize-operations" TargetMode="External"/><Relationship Id="rId56" Type="http://schemas.openxmlformats.org/officeDocument/2006/relationships/hyperlink" Target="https://learn.microsoft.com/azure/automation/update-management/overview" TargetMode="External"/><Relationship Id="rId77" Type="http://schemas.openxmlformats.org/officeDocument/2006/relationships/hyperlink" Target="https://learn.microsoft.com/azure/virtual-machine-scale-sets/overview" TargetMode="External"/><Relationship Id="rId100" Type="http://schemas.openxmlformats.org/officeDocument/2006/relationships/hyperlink" Target="https://learn.microsoft.com/azure/expressroute/expressroute-erdirect-about" TargetMode="External"/><Relationship Id="rId282" Type="http://schemas.openxmlformats.org/officeDocument/2006/relationships/hyperlink" Target="https://learn.microsoft.com/learn/paths/enterprise-scale-architecture/" TargetMode="External"/><Relationship Id="rId317" Type="http://schemas.openxmlformats.org/officeDocument/2006/relationships/hyperlink" Target="https://learn.microsoft.com/azure/security-center/" TargetMode="External"/><Relationship Id="rId8" Type="http://schemas.openxmlformats.org/officeDocument/2006/relationships/hyperlink" Target="https://learn.microsoft.com/en-us/azure/cloud-adoption-framework/ready/landing-zone/design-area/azure-billing-enterprise-agreement" TargetMode="External"/><Relationship Id="rId98" Type="http://schemas.openxmlformats.org/officeDocument/2006/relationships/hyperlink" Target="https://learn.microsoft.com/azure/web-application-firewall/afds/waf-front-door-best-practices" TargetMode="External"/><Relationship Id="rId121" Type="http://schemas.openxmlformats.org/officeDocument/2006/relationships/hyperlink" Target="https://learn.microsoft.com/azure/expressroute/expressroute-routing" TargetMode="External"/><Relationship Id="rId142" Type="http://schemas.openxmlformats.org/officeDocument/2006/relationships/hyperlink" Target="https://learn.microsoft.com/learn/paths/architect-network-infrastructure/" TargetMode="External"/><Relationship Id="rId163" Type="http://schemas.openxmlformats.org/officeDocument/2006/relationships/hyperlink" Target="https://learn.microsoft.com/azure/firewall/fqdn-filtering-network-rules" TargetMode="External"/><Relationship Id="rId184" Type="http://schemas.openxmlformats.org/officeDocument/2006/relationships/hyperlink" Target="https://learn.microsoft.com/azure/azure-resource-manager/management/azure-subscription-service-limits" TargetMode="External"/><Relationship Id="rId219" Type="http://schemas.openxmlformats.org/officeDocument/2006/relationships/hyperlink" Target="https://learn.microsoft.com/azure/active-directory/roles/security-planning" TargetMode="External"/><Relationship Id="rId230" Type="http://schemas.openxmlformats.org/officeDocument/2006/relationships/hyperlink" Target="https://learn.microsoft.com/learn/paths/secure-your-cloud-data/" TargetMode="External"/><Relationship Id="rId251" Type="http://schemas.openxmlformats.org/officeDocument/2006/relationships/hyperlink" Target="https://learn.microsoft.com/learn/modules/design-implement-azure-expressroute/" TargetMode="External"/><Relationship Id="rId25" Type="http://schemas.openxmlformats.org/officeDocument/2006/relationships/hyperlink" Target="https://learn.microsoft.com/azure/governance/policy/overview" TargetMode="External"/><Relationship Id="rId46" Type="http://schemas.openxmlformats.org/officeDocument/2006/relationships/hyperlink" Target="https://learn.microsoft.com/en-us/azure/cloud-adoption-framework/ready/landing-zone/design-area/identity-access-landing-zones" TargetMode="External"/><Relationship Id="rId67" Type="http://schemas.openxmlformats.org/officeDocument/2006/relationships/hyperlink" Target="https://learn.microsoft.com/azure/architecture/best-practices/monitoring" TargetMode="External"/><Relationship Id="rId272" Type="http://schemas.openxmlformats.org/officeDocument/2006/relationships/hyperlink" Target="https://learn.microsoft.com/learn/paths/implement-network-security/" TargetMode="External"/><Relationship Id="rId293" Type="http://schemas.openxmlformats.org/officeDocument/2006/relationships/hyperlink" Target="https://learn.microsoft.com/learn/modules/azure-architecture-fundamentals/" TargetMode="External"/><Relationship Id="rId307" Type="http://schemas.openxmlformats.org/officeDocument/2006/relationships/hyperlink" Target="https://learn.microsoft.com/azure/key-vault/general/best-practices" TargetMode="External"/><Relationship Id="rId328" Type="http://schemas.openxmlformats.org/officeDocument/2006/relationships/ctrlProp" Target="../ctrlProps/ctrlProp2.xml"/><Relationship Id="rId88" Type="http://schemas.openxmlformats.org/officeDocument/2006/relationships/hyperlink" Target="https://learn.microsoft.com/azure/active-directory/app-proxy/application-proxy" TargetMode="External"/><Relationship Id="rId111" Type="http://schemas.openxmlformats.org/officeDocument/2006/relationships/hyperlink" Target="https://learn.microsoft.com/learn/modules/configure-network-watcher/" TargetMode="External"/><Relationship Id="rId132" Type="http://schemas.openxmlformats.org/officeDocument/2006/relationships/hyperlink" Target="https://learn.microsoft.com/azure/vpn-gateway/create-zone-redundant-vnet-gateway" TargetMode="External"/><Relationship Id="rId153" Type="http://schemas.openxmlformats.org/officeDocument/2006/relationships/hyperlink" Target="https://learn.microsoft.com/en-us/azure/bastion/bastion-faq" TargetMode="External"/><Relationship Id="rId174" Type="http://schemas.openxmlformats.org/officeDocument/2006/relationships/hyperlink" Target="https://learn.microsoft.com/azure/expressroute/expressroute-howto-add-gateway-resource-manager" TargetMode="External"/><Relationship Id="rId195" Type="http://schemas.openxmlformats.org/officeDocument/2006/relationships/hyperlink" Target="https://learn.microsoft.com/azure/web-application-firewall/afds/waf-front-door-best-practices" TargetMode="External"/><Relationship Id="rId209" Type="http://schemas.openxmlformats.org/officeDocument/2006/relationships/hyperlink" Target="https://learn.microsoft.com/en-us/azure/cloud-adoption-framework/ready/considerations/infrastructure-as-code" TargetMode="External"/><Relationship Id="rId220" Type="http://schemas.openxmlformats.org/officeDocument/2006/relationships/hyperlink" Target="https://learn.microsoft.com/en-us/azure/active-directory/managed-identities-azure-resources/overview" TargetMode="External"/><Relationship Id="rId241" Type="http://schemas.openxmlformats.org/officeDocument/2006/relationships/hyperlink" Target="https://learn.microsoft.com/learn/paths/implement-resource-mgmt-security/" TargetMode="External"/><Relationship Id="rId15" Type="http://schemas.openxmlformats.org/officeDocument/2006/relationships/hyperlink" Target="https://learn.microsoft.com/en-us/azure/cloud-adoption-framework/ready/landing-zone/design-area/azure-billing-microsoft-customer-agreement" TargetMode="External"/><Relationship Id="rId36" Type="http://schemas.openxmlformats.org/officeDocument/2006/relationships/hyperlink" Target="https://learn.microsoft.com/azure/active-directory/privileged-identity-management/pim-configure" TargetMode="External"/><Relationship Id="rId57" Type="http://schemas.openxmlformats.org/officeDocument/2006/relationships/hyperlink" Target="https://learn.microsoft.com/azure/network-watcher/network-watcher-monitoring-overview" TargetMode="External"/><Relationship Id="rId262" Type="http://schemas.openxmlformats.org/officeDocument/2006/relationships/hyperlink" Target="https://learn.microsoft.com/learn/paths/secure-application-delivery/" TargetMode="External"/><Relationship Id="rId283" Type="http://schemas.openxmlformats.org/officeDocument/2006/relationships/hyperlink" Target="https://learn.microsoft.com/azure/governance/management-groups/how-to/protect-resource-hierarchy" TargetMode="External"/><Relationship Id="rId318" Type="http://schemas.openxmlformats.org/officeDocument/2006/relationships/hyperlink" Target="https://learn.microsoft.com/azure/azure-monitor/logs/design-logs-deployment" TargetMode="External"/><Relationship Id="rId78" Type="http://schemas.openxmlformats.org/officeDocument/2006/relationships/hyperlink" Target="https://learn.microsoft.com/azure/frontdoor/best-practices" TargetMode="External"/><Relationship Id="rId99" Type="http://schemas.openxmlformats.org/officeDocument/2006/relationships/hyperlink" Target="https://learn.microsoft.com/azure/virtual-network/network-security-group-how-it-works" TargetMode="External"/><Relationship Id="rId101" Type="http://schemas.openxmlformats.org/officeDocument/2006/relationships/hyperlink" Target="https://learn.microsoft.com/azure/cloud-adoption-framework/ready/enterprise-scale/network-topology-and-connectivity" TargetMode="External"/><Relationship Id="rId122" Type="http://schemas.openxmlformats.org/officeDocument/2006/relationships/hyperlink" Target="https://learn.microsoft.com/learn/modules/design-implement-azure-expressroute/" TargetMode="External"/><Relationship Id="rId143" Type="http://schemas.openxmlformats.org/officeDocument/2006/relationships/hyperlink" Target="https://learn.microsoft.com/azure/cloud-adoption-framework/ready/azure-best-practices/plan-for-ip-addressing" TargetMode="External"/><Relationship Id="rId164" Type="http://schemas.openxmlformats.org/officeDocument/2006/relationships/hyperlink" Target="https://learn.microsoft.com/azure/firewall/premium-features" TargetMode="External"/><Relationship Id="rId185" Type="http://schemas.openxmlformats.org/officeDocument/2006/relationships/hyperlink" Target="https://learn.microsoft.com/azure/virtual-wan/azure-monitor-insights" TargetMode="External"/><Relationship Id="rId9" Type="http://schemas.openxmlformats.org/officeDocument/2006/relationships/hyperlink" Target="https://learn.microsoft.com/en-us/azure/cloud-adoption-framework/ready/landing-zone/design-area/azure-billing-enterprise-agreement" TargetMode="External"/><Relationship Id="rId210" Type="http://schemas.openxmlformats.org/officeDocument/2006/relationships/hyperlink" Target="https://learn.microsoft.com/en-us/azure/cloud-adoption-framework/ready/considerations/development-strategy-development-lifecycle" TargetMode="External"/><Relationship Id="rId26" Type="http://schemas.openxmlformats.org/officeDocument/2006/relationships/hyperlink" Target="https://learn.microsoft.com/en-us/azure/automation/automation-solution-vm-management-config" TargetMode="External"/><Relationship Id="rId231" Type="http://schemas.openxmlformats.org/officeDocument/2006/relationships/hyperlink" Target="https://learn.microsoft.com/learn/modules/azure-active-directory/" TargetMode="External"/><Relationship Id="rId252" Type="http://schemas.openxmlformats.org/officeDocument/2006/relationships/hyperlink" Target="https://learn.microsoft.com/training/modules/intro-to-azure-vpn-gateway/" TargetMode="External"/><Relationship Id="rId273" Type="http://schemas.openxmlformats.org/officeDocument/2006/relationships/hyperlink" Target="https://learn.microsoft.com/learn/paths/implement-network-security/" TargetMode="External"/><Relationship Id="rId294" Type="http://schemas.openxmlformats.org/officeDocument/2006/relationships/hyperlink" Target="https://learn.microsoft.com/azure/cost-management-billing/cost-management-billing-overview" TargetMode="External"/><Relationship Id="rId308" Type="http://schemas.openxmlformats.org/officeDocument/2006/relationships/hyperlink" Target="https://learn.microsoft.com/azure/key-vault/general/best-practices" TargetMode="External"/><Relationship Id="rId329" Type="http://schemas.openxmlformats.org/officeDocument/2006/relationships/ctrlProp" Target="../ctrlProps/ctrlProp3.xml"/><Relationship Id="rId47" Type="http://schemas.openxmlformats.org/officeDocument/2006/relationships/hyperlink" Target="https://learn.microsoft.com/en-us/azure/active-directory/privileged-identity-management/pim-create-roles-and-resource-roles-review" TargetMode="External"/><Relationship Id="rId68" Type="http://schemas.openxmlformats.org/officeDocument/2006/relationships/hyperlink" Target="https://learn.microsoft.com/azure/automation/how-to/region-mappings" TargetMode="External"/><Relationship Id="rId89" Type="http://schemas.openxmlformats.org/officeDocument/2006/relationships/hyperlink" Target="https://learn.microsoft.com/azure/active-directory/app-proxy/application-proxy" TargetMode="External"/><Relationship Id="rId112" Type="http://schemas.openxmlformats.org/officeDocument/2006/relationships/hyperlink" Target="https://learn.microsoft.com/learn/paths/secure-application-delivery/" TargetMode="External"/><Relationship Id="rId133" Type="http://schemas.openxmlformats.org/officeDocument/2006/relationships/hyperlink" Target="https://learn.microsoft.com/azure/expressroute/expressroute-erdirect-about" TargetMode="External"/><Relationship Id="rId154" Type="http://schemas.openxmlformats.org/officeDocument/2006/relationships/hyperlink" Target="https://learn.microsoft.com/azure/app-service/networking-features" TargetMode="External"/><Relationship Id="rId175" Type="http://schemas.openxmlformats.org/officeDocument/2006/relationships/hyperlink" Target="https://learn.microsoft.com/azure/virtual-network/service-tags-overview" TargetMode="External"/><Relationship Id="rId196" Type="http://schemas.openxmlformats.org/officeDocument/2006/relationships/hyperlink" Target="https://learn.microsoft.com/azure/web-application-firewall/afds/waf-front-door-best-practices" TargetMode="External"/><Relationship Id="rId200" Type="http://schemas.openxmlformats.org/officeDocument/2006/relationships/hyperlink" Target="https://learn.microsoft.com/azure/web-application-firewall/afds/waf-front-door-best-practices" TargetMode="External"/><Relationship Id="rId16" Type="http://schemas.openxmlformats.org/officeDocument/2006/relationships/hyperlink" Target="https://learn.microsoft.com/en-us/azure/cloud-adoption-framework/ready/landing-zone/design-area/azure-billing-enterprise-agreement" TargetMode="External"/><Relationship Id="rId221" Type="http://schemas.openxmlformats.org/officeDocument/2006/relationships/hyperlink" Target="https://learn.microsoft.com/learn/modules/azure-ad-privileged-identity-management/" TargetMode="External"/><Relationship Id="rId242" Type="http://schemas.openxmlformats.org/officeDocument/2006/relationships/hyperlink" Target="https://learn.microsoft.com/learn/paths/implement-resource-mgmt-security/" TargetMode="External"/><Relationship Id="rId263" Type="http://schemas.openxmlformats.org/officeDocument/2006/relationships/hyperlink" Target="https://learn.microsoft.com/learn/paths/architect-network-infrastructure/" TargetMode="External"/><Relationship Id="rId284" Type="http://schemas.openxmlformats.org/officeDocument/2006/relationships/hyperlink" Target="https://learn.microsoft.com/azure/governance/management-groups/how-to/protect-resource-hierarchy" TargetMode="External"/><Relationship Id="rId319" Type="http://schemas.openxmlformats.org/officeDocument/2006/relationships/hyperlink" Target="https://learn.microsoft.com/azure/storage/common/storage-require-secure-transfer" TargetMode="External"/><Relationship Id="rId37" Type="http://schemas.openxmlformats.org/officeDocument/2006/relationships/hyperlink" Target="https://learn.microsoft.com/azure/active-directory/fundamentals/active-directory-groups-create-azure-portal" TargetMode="External"/><Relationship Id="rId58" Type="http://schemas.openxmlformats.org/officeDocument/2006/relationships/hyperlink" Target="https://learn.microsoft.com/azure/azure-resource-manager/management/lock-resources?tabs=json" TargetMode="External"/><Relationship Id="rId79" Type="http://schemas.openxmlformats.org/officeDocument/2006/relationships/hyperlink" Target="https://learn.microsoft.com/azure/cloud-adoption-framework/ready/landing-zone/design-area/resource-org-management-groups" TargetMode="External"/><Relationship Id="rId102" Type="http://schemas.openxmlformats.org/officeDocument/2006/relationships/hyperlink" Target="https://learn.microsoft.com/azure/architecture/reference-architectures/hybrid-networking/expressroute" TargetMode="External"/><Relationship Id="rId123" Type="http://schemas.openxmlformats.org/officeDocument/2006/relationships/hyperlink" Target="https://learn.microsoft.com/azure/expressroute/expressroute-routing" TargetMode="External"/><Relationship Id="rId144" Type="http://schemas.openxmlformats.org/officeDocument/2006/relationships/hyperlink" Target="https://learn.microsoft.com/learn/paths/architect-network-infrastructure/" TargetMode="External"/><Relationship Id="rId330" Type="http://schemas.openxmlformats.org/officeDocument/2006/relationships/ctrlProp" Target="../ctrlProps/ctrlProp4.xml"/><Relationship Id="rId90" Type="http://schemas.openxmlformats.org/officeDocument/2006/relationships/hyperlink" Target="https://learn.microsoft.com/azure/web-application-firewall/afds/waf-front-door-policy-settings" TargetMode="External"/><Relationship Id="rId165" Type="http://schemas.openxmlformats.org/officeDocument/2006/relationships/hyperlink" Target="https://learn.microsoft.com/azure/firewall/premium-features" TargetMode="External"/><Relationship Id="rId186" Type="http://schemas.openxmlformats.org/officeDocument/2006/relationships/hyperlink" Target="https://learn.microsoft.com/azure/virtual-wan/virtual-wan-faq" TargetMode="External"/><Relationship Id="rId211" Type="http://schemas.openxmlformats.org/officeDocument/2006/relationships/hyperlink" Target="https://learn.microsoft.com/en-us/azure/cloud-adoption-framework/ready/considerations/development-strategy-development-lifecycle" TargetMode="External"/><Relationship Id="rId232" Type="http://schemas.openxmlformats.org/officeDocument/2006/relationships/hyperlink" Target="https://learn.microsoft.com/learn/modules/implement-hybrid-identity-windows-server/" TargetMode="External"/><Relationship Id="rId253" Type="http://schemas.openxmlformats.org/officeDocument/2006/relationships/hyperlink" Target="https://learn.microsoft.com/learn/modules/design-implement-azure-expressroute/" TargetMode="External"/><Relationship Id="rId274" Type="http://schemas.openxmlformats.org/officeDocument/2006/relationships/hyperlink" Target="https://learn.microsoft.com/learn/modules/design-implement-network-monitoring/" TargetMode="External"/><Relationship Id="rId295" Type="http://schemas.openxmlformats.org/officeDocument/2006/relationships/hyperlink" Target="https://learn.microsoft.com/learn/paths/control-spending-manage-bills/" TargetMode="External"/><Relationship Id="rId309" Type="http://schemas.openxmlformats.org/officeDocument/2006/relationships/hyperlink" Target="https://learn.microsoft.com/azure/key-vault/general/monitor-key-vault" TargetMode="External"/><Relationship Id="rId27" Type="http://schemas.openxmlformats.org/officeDocument/2006/relationships/hyperlink" Target="https://learn.microsoft.com/en-us/azure/cost-management-billing/costs/tutorial-acm-create-budgets?bc=%2Fazure%2Fcloud-adoption-framework%2F_bread%2Ftoc.json&amp;toc=%2Fazure%2Fcloud-adoption-framework%2Ftoc.json" TargetMode="External"/><Relationship Id="rId48" Type="http://schemas.openxmlformats.org/officeDocument/2006/relationships/hyperlink" Target="https://learn.microsoft.com/azure/web-application-firewall/afds/waf-front-door-best-practices" TargetMode="External"/><Relationship Id="rId69" Type="http://schemas.openxmlformats.org/officeDocument/2006/relationships/hyperlink" Target="https://learn.microsoft.com/azure/governance/policy/concepts/guest-configuration" TargetMode="External"/><Relationship Id="rId113" Type="http://schemas.openxmlformats.org/officeDocument/2006/relationships/hyperlink" Target="https://learn.microsoft.com/learn/paths/secure-networking-infrastructure/" TargetMode="External"/><Relationship Id="rId134" Type="http://schemas.openxmlformats.org/officeDocument/2006/relationships/hyperlink" Target="https://learn.microsoft.com/azure/architecture/framework/services/networking/expressroute/reliability" TargetMode="External"/><Relationship Id="rId320" Type="http://schemas.openxmlformats.org/officeDocument/2006/relationships/hyperlink" Target="https://learn.microsoft.com/azure/storage/blobs/data-protection-overview" TargetMode="External"/><Relationship Id="rId80" Type="http://schemas.openxmlformats.org/officeDocument/2006/relationships/hyperlink" Target="https://learn.microsoft.com/azure/application-gateway/overview-v2" TargetMode="External"/><Relationship Id="rId155" Type="http://schemas.openxmlformats.org/officeDocument/2006/relationships/hyperlink" Target="https://learn.microsoft.com/learn/paths/secure-networking-infrastructure/" TargetMode="External"/><Relationship Id="rId176" Type="http://schemas.openxmlformats.org/officeDocument/2006/relationships/hyperlink" Target="https://learn.microsoft.com/azure/cloud-adoption-framework/ready/azure-best-practices/plan-for-landing-zone-network-segmentation" TargetMode="External"/><Relationship Id="rId197" Type="http://schemas.openxmlformats.org/officeDocument/2006/relationships/hyperlink" Target="https://learn.microsoft.com/azure/web-application-firewall/afds/waf-front-door-best-practices" TargetMode="External"/><Relationship Id="rId201" Type="http://schemas.openxmlformats.org/officeDocument/2006/relationships/hyperlink" Target="https://learn.microsoft.com/azure/web-application-firewall/afds/waf-front-door-best-practices" TargetMode="External"/><Relationship Id="rId222" Type="http://schemas.openxmlformats.org/officeDocument/2006/relationships/hyperlink" Target="https://learn.microsoft.com/learn/paths/implement-resource-mgmt-security/" TargetMode="External"/><Relationship Id="rId243" Type="http://schemas.openxmlformats.org/officeDocument/2006/relationships/hyperlink" Target="https://learn.microsoft.com/learn/paths/secure-application-delivery/" TargetMode="External"/><Relationship Id="rId264" Type="http://schemas.openxmlformats.org/officeDocument/2006/relationships/hyperlink" Target="https://learn.microsoft.com/learn/paths/secure-networking-infrastructure/" TargetMode="External"/><Relationship Id="rId285" Type="http://schemas.openxmlformats.org/officeDocument/2006/relationships/hyperlink" Target="https://learn.microsoft.com/azure/governance/management-groups/overview" TargetMode="External"/><Relationship Id="rId17" Type="http://schemas.openxmlformats.org/officeDocument/2006/relationships/hyperlink" Target="https://learn.microsoft.com/azure/governance/policy/overview" TargetMode="External"/><Relationship Id="rId38" Type="http://schemas.openxmlformats.org/officeDocument/2006/relationships/hyperlink" Target="https://learn.microsoft.com/azure/cloud-adoption-framework/ready/landing-zone/design-area/identity-access" TargetMode="External"/><Relationship Id="rId59" Type="http://schemas.openxmlformats.org/officeDocument/2006/relationships/hyperlink" Target="https://learn.microsoft.com/azure/governance/policy/overview" TargetMode="External"/><Relationship Id="rId103" Type="http://schemas.openxmlformats.org/officeDocument/2006/relationships/hyperlink" Target="https://learn.microsoft.com/azure/architecture/reference-architectures/dmz/nva-ha" TargetMode="External"/><Relationship Id="rId124" Type="http://schemas.openxmlformats.org/officeDocument/2006/relationships/hyperlink" Target="https://learn.microsoft.com/learn/modules/design-implement-azure-expressroute/" TargetMode="External"/><Relationship Id="rId310" Type="http://schemas.openxmlformats.org/officeDocument/2006/relationships/hyperlink" Target="https://learn.microsoft.com/azure/key-vault/general/best-practices" TargetMode="External"/><Relationship Id="rId70" Type="http://schemas.openxmlformats.org/officeDocument/2006/relationships/hyperlink" Target="https://learn.microsoft.com/azure/cloud-adoption-framework/ready/landing-zone/design-area/management-operational-compliance" TargetMode="External"/><Relationship Id="rId91" Type="http://schemas.openxmlformats.org/officeDocument/2006/relationships/hyperlink" Target="https://learn.microsoft.com/azure/frontdoor/best-practices" TargetMode="External"/><Relationship Id="rId145" Type="http://schemas.openxmlformats.org/officeDocument/2006/relationships/hyperlink" Target="https://learn.microsoft.com/azure/cloud-adoption-framework/ready/azure-best-practices/plan-for-ip-addressing" TargetMode="External"/><Relationship Id="rId166" Type="http://schemas.openxmlformats.org/officeDocument/2006/relationships/hyperlink" Target="https://learn.microsoft.com/azure/firewall/premium-features" TargetMode="External"/><Relationship Id="rId187" Type="http://schemas.openxmlformats.org/officeDocument/2006/relationships/hyperlink" Target="https://learn.microsoft.com/azure/virtual-wan/about-virtual-hub-routing-preference" TargetMode="External"/><Relationship Id="rId331" Type="http://schemas.openxmlformats.org/officeDocument/2006/relationships/ctrlProp" Target="../ctrlProps/ctrlProp5.xml"/><Relationship Id="rId1" Type="http://schemas.openxmlformats.org/officeDocument/2006/relationships/hyperlink" Target="https://learn.microsoft.com/en-us/azure/architecture/guide/multitenant/considerations/tenancy-models" TargetMode="External"/><Relationship Id="rId212" Type="http://schemas.openxmlformats.org/officeDocument/2006/relationships/hyperlink" Target="https://learn.microsoft.com/en-us/azure/cloud-adoption-framework/ready/considerations/infrastructure-as-code" TargetMode="External"/><Relationship Id="rId233" Type="http://schemas.openxmlformats.org/officeDocument/2006/relationships/hyperlink" Target="https://learn.microsoft.com/learn/paths/implement-windows-server-iaas-virtual-machine-identity/" TargetMode="External"/><Relationship Id="rId254" Type="http://schemas.openxmlformats.org/officeDocument/2006/relationships/hyperlink" Target="https://learn.microsoft.com/learn/modules/design-implement-azure-expressroute/" TargetMode="External"/><Relationship Id="rId28" Type="http://schemas.openxmlformats.org/officeDocument/2006/relationships/hyperlink" Target="https://learn.microsoft.com/en-us/azure/cloud-adoption-framework/ready/landing-zone/design-area/identity-access-landing-zones" TargetMode="External"/><Relationship Id="rId49" Type="http://schemas.openxmlformats.org/officeDocument/2006/relationships/hyperlink" Target="https://learn.microsoft.com/azure/web-application-firewall/afds/waf-front-door-best-practices" TargetMode="External"/><Relationship Id="rId114" Type="http://schemas.openxmlformats.org/officeDocument/2006/relationships/hyperlink" Target="https://learn.microsoft.com/learn/paths/secure-networking-infrastructure/" TargetMode="External"/><Relationship Id="rId275" Type="http://schemas.openxmlformats.org/officeDocument/2006/relationships/hyperlink" Target="https://learn.microsoft.com/learn/modules/introduction-azure-virtual-wan/" TargetMode="External"/><Relationship Id="rId296" Type="http://schemas.openxmlformats.org/officeDocument/2006/relationships/hyperlink" Target="https://learn.microsoft.com/azure/governance/management-groups/overview" TargetMode="External"/><Relationship Id="rId300" Type="http://schemas.openxmlformats.org/officeDocument/2006/relationships/hyperlink" Target="https://learn.microsoft.com/security/benchmark/azure/security-control-incident-response" TargetMode="External"/><Relationship Id="rId60" Type="http://schemas.openxmlformats.org/officeDocument/2006/relationships/hyperlink" Target="https://learn.microsoft.com/azure/service-health/alerts-activity-log-service-notifications-portal" TargetMode="External"/><Relationship Id="rId81" Type="http://schemas.openxmlformats.org/officeDocument/2006/relationships/hyperlink" Target="https://learn.microsoft.com/azure/load-balancer/load-balancer-overview" TargetMode="External"/><Relationship Id="rId135" Type="http://schemas.openxmlformats.org/officeDocument/2006/relationships/hyperlink" Target="https://learn.microsoft.com/azure/expressroute/expressroute-monitoring-metrics-alerts" TargetMode="External"/><Relationship Id="rId156" Type="http://schemas.openxmlformats.org/officeDocument/2006/relationships/hyperlink" Target="https://learn.microsoft.com/azure/firewall/" TargetMode="External"/><Relationship Id="rId177" Type="http://schemas.openxmlformats.org/officeDocument/2006/relationships/hyperlink" Target="https://learn.microsoft.com/azure/web-application-firewall/ag/ag-overview" TargetMode="External"/><Relationship Id="rId198" Type="http://schemas.openxmlformats.org/officeDocument/2006/relationships/hyperlink" Target="https://learn.microsoft.com/azure/web-application-firewall/afds/waf-front-door-best-practices" TargetMode="External"/><Relationship Id="rId321" Type="http://schemas.openxmlformats.org/officeDocument/2006/relationships/hyperlink" Target="https://learn.microsoft.com/en-us/azure/active-directory/roles/security-planning" TargetMode="External"/><Relationship Id="rId202" Type="http://schemas.openxmlformats.org/officeDocument/2006/relationships/hyperlink" Target="https://learn.microsoft.com/en-us/azure/cloud-adoption-framework/ready/landing-zone/design-area/platform-automation-devops" TargetMode="External"/><Relationship Id="rId223" Type="http://schemas.openxmlformats.org/officeDocument/2006/relationships/hyperlink" Target="https://learn.microsoft.com/learn/modules/plan-implement-administer-conditional-access/" TargetMode="External"/><Relationship Id="rId244" Type="http://schemas.openxmlformats.org/officeDocument/2006/relationships/hyperlink" Target="https://learn.microsoft.com/learn/paths/secure-application-delivery/" TargetMode="External"/><Relationship Id="rId18" Type="http://schemas.openxmlformats.org/officeDocument/2006/relationships/hyperlink" Target="https://learn.microsoft.com/azure/cloud-adoption-framework/ready/azure-best-practices/naming-and-tagging" TargetMode="External"/><Relationship Id="rId39" Type="http://schemas.openxmlformats.org/officeDocument/2006/relationships/hyperlink" Target="https://azure.microsoft.com/resources/achieving-compliant-data-residency-and-security-with-azure/" TargetMode="External"/><Relationship Id="rId265" Type="http://schemas.openxmlformats.org/officeDocument/2006/relationships/hyperlink" Target="https://learn.microsoft.com/learn/paths/implement-network-security/?source=learn" TargetMode="External"/><Relationship Id="rId286" Type="http://schemas.openxmlformats.org/officeDocument/2006/relationships/hyperlink" Target="https://learn.microsoft.com/azure/governance/management-groups/overview" TargetMode="External"/><Relationship Id="rId50" Type="http://schemas.openxmlformats.org/officeDocument/2006/relationships/hyperlink" Target="https://learn.microsoft.com/azure/reliability/cross-region-replication-azure" TargetMode="External"/><Relationship Id="rId104" Type="http://schemas.openxmlformats.org/officeDocument/2006/relationships/hyperlink" Target="https://learn.microsoft.com/azure/expressroute/expressroute-howto-coexist-resource-manager" TargetMode="External"/><Relationship Id="rId125" Type="http://schemas.openxmlformats.org/officeDocument/2006/relationships/hyperlink" Target="https://learn.microsoft.com/azure/expressroute/plan-manage-cost" TargetMode="External"/><Relationship Id="rId146" Type="http://schemas.openxmlformats.org/officeDocument/2006/relationships/hyperlink" Target="https://learn.microsoft.com/azure/site-recovery/concepts-on-premises-to-azure-networking" TargetMode="External"/><Relationship Id="rId167" Type="http://schemas.openxmlformats.org/officeDocument/2006/relationships/hyperlink" Target="https://learn.microsoft.com/azure/virtual-network/virtual-networks-udr-overview" TargetMode="External"/><Relationship Id="rId188" Type="http://schemas.openxmlformats.org/officeDocument/2006/relationships/hyperlink" Target="https://learn.microsoft.com/azure/virtual-wan/about-virtual-hub-routing" TargetMode="External"/><Relationship Id="rId311" Type="http://schemas.openxmlformats.org/officeDocument/2006/relationships/hyperlink" Target="https://learn.microsoft.com/azure/security/fundamentals/encryption-atrest" TargetMode="External"/><Relationship Id="rId71" Type="http://schemas.openxmlformats.org/officeDocument/2006/relationships/hyperlink" Target="https://learn.microsoft.com/azure/site-recovery/site-recovery-overview" TargetMode="External"/><Relationship Id="rId92" Type="http://schemas.openxmlformats.org/officeDocument/2006/relationships/hyperlink" Target="https://learn.microsoft.com/azure/frontdoor/best-practices" TargetMode="External"/><Relationship Id="rId213" Type="http://schemas.openxmlformats.org/officeDocument/2006/relationships/hyperlink" Target="https://learn.microsoft.com/en-us/azure/cloud-adoption-framework/ready/considerations/landing-zone-security" TargetMode="External"/><Relationship Id="rId234" Type="http://schemas.openxmlformats.org/officeDocument/2006/relationships/hyperlink" Target="https://learn.microsoft.com/learn/paths/implement-applications-external-access-azure-ad/" TargetMode="External"/><Relationship Id="rId2" Type="http://schemas.openxmlformats.org/officeDocument/2006/relationships/hyperlink" Target="https://learn.microsoft.com/en-us/azure/cloud-adoption-framework/ready/landing-zone/design-area/multi-tenant/automation" TargetMode="External"/><Relationship Id="rId29" Type="http://schemas.openxmlformats.org/officeDocument/2006/relationships/hyperlink" Target="https://learn.microsoft.com/azure/active-directory/hybrid/how-to-connect-sync-staging-server" TargetMode="External"/><Relationship Id="rId255" Type="http://schemas.openxmlformats.org/officeDocument/2006/relationships/hyperlink" Target="https://learn.microsoft.com/learn/modules/design-implement-azure-expressroute/" TargetMode="External"/><Relationship Id="rId276" Type="http://schemas.openxmlformats.org/officeDocument/2006/relationships/hyperlink" Target="https://learn.microsoft.com/learn/paths/secure-networking-infrastructure/" TargetMode="External"/><Relationship Id="rId297" Type="http://schemas.openxmlformats.org/officeDocument/2006/relationships/hyperlink" Target="https://learn.microsoft.com/learn/paths/enterprise-scale-architecture/" TargetMode="External"/><Relationship Id="rId40" Type="http://schemas.openxmlformats.org/officeDocument/2006/relationships/hyperlink" Target="https://learn.microsoft.com/azure/active-directory-domain-services/overview" TargetMode="External"/><Relationship Id="rId115" Type="http://schemas.openxmlformats.org/officeDocument/2006/relationships/hyperlink" Target="https://learn.microsoft.com/learn/paths/secure-networking-infrastructure/" TargetMode="External"/><Relationship Id="rId136" Type="http://schemas.openxmlformats.org/officeDocument/2006/relationships/hyperlink" Target="https://learn.microsoft.com/azure/expressroute/how-to-configure-connection-monitor" TargetMode="External"/><Relationship Id="rId157" Type="http://schemas.openxmlformats.org/officeDocument/2006/relationships/hyperlink" Target="https://learn.microsoft.com/azure/firewall/" TargetMode="External"/><Relationship Id="rId178" Type="http://schemas.openxmlformats.org/officeDocument/2006/relationships/hyperlink" Target="https://learn.microsoft.com/azure/virtual-network/network-security-group-how-it-works" TargetMode="External"/><Relationship Id="rId301" Type="http://schemas.openxmlformats.org/officeDocument/2006/relationships/hyperlink" Target="https://www.microsoft.com/security/business/zero-trust" TargetMode="External"/><Relationship Id="rId322" Type="http://schemas.openxmlformats.org/officeDocument/2006/relationships/hyperlink" Target="https://learn.microsoft.com/azure/cloud-adoption-framework/ready/landing-zone/design-area/service-enablement-framework" TargetMode="External"/><Relationship Id="rId61" Type="http://schemas.openxmlformats.org/officeDocument/2006/relationships/hyperlink" Target="https://learn.microsoft.com/azure/azure-monitor/alerts/action-groups" TargetMode="External"/><Relationship Id="rId82" Type="http://schemas.openxmlformats.org/officeDocument/2006/relationships/hyperlink" Target="https://learn.microsoft.com/azure/application-gateway/configuration-infrastructure" TargetMode="External"/><Relationship Id="rId199" Type="http://schemas.openxmlformats.org/officeDocument/2006/relationships/hyperlink" Target="https://learn.microsoft.com/azure/web-application-firewall/afds/waf-front-door-best-practices" TargetMode="External"/><Relationship Id="rId203" Type="http://schemas.openxmlformats.org/officeDocument/2006/relationships/hyperlink" Target="https://learn.microsoft.com/en-us/azure/cloud-adoption-framework/ready/considerations/devops-teams-topologies" TargetMode="External"/><Relationship Id="rId19" Type="http://schemas.openxmlformats.org/officeDocument/2006/relationships/hyperlink" Target="https://learn.microsoft.com/azure/governance/policy/overview" TargetMode="External"/><Relationship Id="rId224" Type="http://schemas.openxmlformats.org/officeDocument/2006/relationships/hyperlink" Target="https://learn.microsoft.com/learn/modules/secure-aad-users-with-mfa/" TargetMode="External"/><Relationship Id="rId245" Type="http://schemas.openxmlformats.org/officeDocument/2006/relationships/hyperlink" Target="https://learn.microsoft.com/learn/paths/secure-application-delivery/" TargetMode="External"/><Relationship Id="rId266" Type="http://schemas.openxmlformats.org/officeDocument/2006/relationships/hyperlink" Target="https://learn.microsoft.com/learn/paths/secure-application-delivery/" TargetMode="External"/><Relationship Id="rId287" Type="http://schemas.openxmlformats.org/officeDocument/2006/relationships/hyperlink" Target="https://learn.microsoft.com/azure/azure-resource-manager/management/azure-subscription-service-limits" TargetMode="External"/><Relationship Id="rId30" Type="http://schemas.openxmlformats.org/officeDocument/2006/relationships/hyperlink" Target="https://learn.microsoft.com/azure/active-directory/roles/security-emergency-access" TargetMode="External"/><Relationship Id="rId105" Type="http://schemas.openxmlformats.org/officeDocument/2006/relationships/hyperlink" Target="https://learn.microsoft.com/azure/route-server/quickstart-configure-route-server-portal" TargetMode="External"/><Relationship Id="rId126" Type="http://schemas.openxmlformats.org/officeDocument/2006/relationships/hyperlink" Target="https://learn.microsoft.com/azure/expressroute/expressroute-faqs" TargetMode="External"/><Relationship Id="rId147" Type="http://schemas.openxmlformats.org/officeDocument/2006/relationships/hyperlink" Target="https://learn.microsoft.com/azure/virtual-network/virtual-networks-name-resolution-for-vms-and-role-instances" TargetMode="External"/><Relationship Id="rId168" Type="http://schemas.openxmlformats.org/officeDocument/2006/relationships/hyperlink" Target="https://learn.microsoft.com/azure/virtual-network/vnet-integration-for-azure-services" TargetMode="External"/><Relationship Id="rId312" Type="http://schemas.openxmlformats.org/officeDocument/2006/relationships/hyperlink" Target="https://learn.microsoft.com/azure/key-vault/general/best-practices" TargetMode="External"/><Relationship Id="rId51" Type="http://schemas.openxmlformats.org/officeDocument/2006/relationships/hyperlink" Target="https://learn.microsoft.com/azure/storage/common/storage-redundancy" TargetMode="External"/><Relationship Id="rId72" Type="http://schemas.openxmlformats.org/officeDocument/2006/relationships/hyperlink" Target="https://learn.microsoft.com/azure/architecture/framework/resiliency/backup-and-recovery" TargetMode="External"/><Relationship Id="rId93" Type="http://schemas.openxmlformats.org/officeDocument/2006/relationships/hyperlink" Target="https://learn.microsoft.com/azure/frontdoor/best-practices" TargetMode="External"/><Relationship Id="rId189" Type="http://schemas.openxmlformats.org/officeDocument/2006/relationships/hyperlink" Target="https://learn.microsoft.com/azure/virtual-wan/virtual-wan-faq" TargetMode="External"/><Relationship Id="rId3" Type="http://schemas.openxmlformats.org/officeDocument/2006/relationships/hyperlink" Target="https://learn.microsoft.com/en-us/azure/cloud-adoption-framework/ready/landing-zone/design-area/multi-tenant/lighthouse" TargetMode="External"/><Relationship Id="rId214" Type="http://schemas.openxmlformats.org/officeDocument/2006/relationships/hyperlink" Target="https://learn.microsoft.com/azure/cloud-adoption-framework/ready/azure-best-practices/resource-naming" TargetMode="External"/><Relationship Id="rId235" Type="http://schemas.openxmlformats.org/officeDocument/2006/relationships/hyperlink" Target="https://learn.microsoft.com/learn/modules/design-identity-security-strategy/" TargetMode="External"/><Relationship Id="rId256" Type="http://schemas.openxmlformats.org/officeDocument/2006/relationships/hyperlink" Target="https://learn.microsoft.com/learn/paths/architect-network-infrastructure/" TargetMode="External"/><Relationship Id="rId277" Type="http://schemas.openxmlformats.org/officeDocument/2006/relationships/hyperlink" Target="https://learn.microsoft.com/learn/modules/azure-architecture-fundamentals/" TargetMode="External"/><Relationship Id="rId298" Type="http://schemas.openxmlformats.org/officeDocument/2006/relationships/hyperlink" Target="https://learn.microsoft.com/azure/cloud-adoption-framework/ready/azure-best-practices/track-costs" TargetMode="External"/><Relationship Id="rId116" Type="http://schemas.openxmlformats.org/officeDocument/2006/relationships/hyperlink" Target="https://learn.microsoft.com/learn/paths/architect-network-infrastructure/" TargetMode="External"/><Relationship Id="rId137" Type="http://schemas.openxmlformats.org/officeDocument/2006/relationships/hyperlink" Target="https://learn.microsoft.com/learn/modules/design-implement-azure-expressroute/" TargetMode="External"/><Relationship Id="rId158" Type="http://schemas.openxmlformats.org/officeDocument/2006/relationships/hyperlink" Target="https://learn.microsoft.com/azure/web-application-firewall/afds/afds-overview" TargetMode="External"/><Relationship Id="rId302" Type="http://schemas.openxmlformats.org/officeDocument/2006/relationships/hyperlink" Target="https://learn.microsoft.com/azure/key-vault/general/overview" TargetMode="External"/><Relationship Id="rId323" Type="http://schemas.openxmlformats.org/officeDocument/2006/relationships/hyperlink" Target="https://learn.microsoft.com/azure/cloud-adoption-framework/ready/landing-zone/design-area/service-enablement-framework" TargetMode="External"/><Relationship Id="rId20" Type="http://schemas.openxmlformats.org/officeDocument/2006/relationships/hyperlink" Target="https://learn.microsoft.com/azure/governance/policy/overview" TargetMode="External"/><Relationship Id="rId41" Type="http://schemas.openxmlformats.org/officeDocument/2006/relationships/hyperlink" Target="https://learn.microsoft.com/azure/active-directory-domain-services/overview" TargetMode="External"/><Relationship Id="rId62" Type="http://schemas.openxmlformats.org/officeDocument/2006/relationships/hyperlink" Target="https://learn.microsoft.com/azure/sentinel/quickstart-onboard" TargetMode="External"/><Relationship Id="rId83" Type="http://schemas.openxmlformats.org/officeDocument/2006/relationships/hyperlink" Target="https://learn.microsoft.com/azure/web-application-firewall/ag/ag-overview" TargetMode="External"/><Relationship Id="rId179" Type="http://schemas.openxmlformats.org/officeDocument/2006/relationships/hyperlink" Target="https://learn.microsoft.com/azure/virtual-network/network-security-group-how-it-works" TargetMode="External"/><Relationship Id="rId190" Type="http://schemas.openxmlformats.org/officeDocument/2006/relationships/hyperlink" Target="https://learn.microsoft.com/azure/frontdoor/best-practices" TargetMode="External"/><Relationship Id="rId204" Type="http://schemas.openxmlformats.org/officeDocument/2006/relationships/hyperlink" Target="https://learn.microsoft.com/en-us/azure/cloud-adoption-framework/ready/considerations/devops-teams-topologies" TargetMode="External"/><Relationship Id="rId225" Type="http://schemas.openxmlformats.org/officeDocument/2006/relationships/hyperlink" Target="https://learn.microsoft.com/learn/paths/azure-administrator-manage-identities-governance/" TargetMode="External"/><Relationship Id="rId246" Type="http://schemas.openxmlformats.org/officeDocument/2006/relationships/hyperlink" Target="https://learn.microsoft.com/learn/paths/secure-networking-infrastructure/" TargetMode="External"/><Relationship Id="rId267" Type="http://schemas.openxmlformats.org/officeDocument/2006/relationships/hyperlink" Target="https://learn.microsoft.com/learn/modules/design-implement-azure-expressroute/" TargetMode="External"/><Relationship Id="rId288" Type="http://schemas.openxmlformats.org/officeDocument/2006/relationships/hyperlink" Target="https://learn.microsoft.com/azure/cost-management-billing/reservations/save-compute-costs-reservations" TargetMode="External"/><Relationship Id="rId106" Type="http://schemas.openxmlformats.org/officeDocument/2006/relationships/hyperlink" Target="https://learn.microsoft.com/azure/virtual-network/virtual-networks-faq" TargetMode="External"/><Relationship Id="rId127" Type="http://schemas.openxmlformats.org/officeDocument/2006/relationships/hyperlink" Target="https://learn.microsoft.com/azure/expressroute/expressroute-about-virtual-network-gateways" TargetMode="External"/><Relationship Id="rId313" Type="http://schemas.openxmlformats.org/officeDocument/2006/relationships/hyperlink" Target="https://learn.microsoft.com/azure/key-vault/general/best-practices" TargetMode="External"/><Relationship Id="rId10" Type="http://schemas.openxmlformats.org/officeDocument/2006/relationships/hyperlink" Target="https://learn.microsoft.com/en-us/azure/cloud-adoption-framework/ready/landing-zone/design-area/azure-billing-enterprise-agreement" TargetMode="External"/><Relationship Id="rId31" Type="http://schemas.openxmlformats.org/officeDocument/2006/relationships/hyperlink" Target="https://learn.microsoft.com/en-us/azure/active-directory/reports-monitoring/concept-activity-logs-azure-monitor" TargetMode="External"/><Relationship Id="rId52" Type="http://schemas.openxmlformats.org/officeDocument/2006/relationships/hyperlink" Target="https://learn.microsoft.com/azure/azure-monitor/logs/design-logs-deployment" TargetMode="External"/><Relationship Id="rId73" Type="http://schemas.openxmlformats.org/officeDocument/2006/relationships/hyperlink" Target="https://learn.microsoft.com/azure/backup/backup-center-overview" TargetMode="External"/><Relationship Id="rId94" Type="http://schemas.openxmlformats.org/officeDocument/2006/relationships/hyperlink" Target="https://learn.microsoft.com/azure/frontdoor/best-practices" TargetMode="External"/><Relationship Id="rId148" Type="http://schemas.openxmlformats.org/officeDocument/2006/relationships/hyperlink" Target="https://learn.microsoft.com/azure/dns/dns-private-resolver-overview" TargetMode="External"/><Relationship Id="rId169" Type="http://schemas.openxmlformats.org/officeDocument/2006/relationships/hyperlink" Target="https://learn.microsoft.com/azure/app-service/networking-features" TargetMode="External"/><Relationship Id="rId4" Type="http://schemas.openxmlformats.org/officeDocument/2006/relationships/hyperlink" Target="https://learn.microsoft.com/en-us/azure/cloud-adoption-framework/ready/landing-zone/design-area/azure-billing-microsoft-customer-agreement" TargetMode="External"/><Relationship Id="rId180" Type="http://schemas.openxmlformats.org/officeDocument/2006/relationships/hyperlink" Target="https://learn.microsoft.com/azure/virtual-wan/scenario-any-to-any" TargetMode="External"/><Relationship Id="rId215" Type="http://schemas.openxmlformats.org/officeDocument/2006/relationships/hyperlink" Target="https://learn.microsoft.com/azure/cloud-adoption-framework/ready/landing-zone/design-area/resource-org-management-groups" TargetMode="External"/><Relationship Id="rId236" Type="http://schemas.openxmlformats.org/officeDocument/2006/relationships/hyperlink" Target="https://learn.microsoft.com/en-us/azure/architecture/example-scenario/identity/adds-extend-domain" TargetMode="External"/><Relationship Id="rId257" Type="http://schemas.openxmlformats.org/officeDocument/2006/relationships/hyperlink" Target="https://learn.microsoft.com/learn/paths/az-104-manage-virtual-networks/" TargetMode="External"/><Relationship Id="rId278" Type="http://schemas.openxmlformats.org/officeDocument/2006/relationships/hyperlink" Target="https://learn.microsoft.com/learn/paths/implement-resource-mgmt-security/" TargetMode="External"/><Relationship Id="rId303" Type="http://schemas.openxmlformats.org/officeDocument/2006/relationships/hyperlink" Target="https://learn.microsoft.com/azure/key-vault/general/overview-throttling" TargetMode="External"/><Relationship Id="rId42" Type="http://schemas.openxmlformats.org/officeDocument/2006/relationships/hyperlink" Target="https://learn.microsoft.com/azure/architecture/reference-architectures/identity/adds-extend-domain" TargetMode="External"/><Relationship Id="rId84" Type="http://schemas.openxmlformats.org/officeDocument/2006/relationships/hyperlink" Target="https://learn.microsoft.com/azure/web-application-firewall/ag/ag-overview" TargetMode="External"/><Relationship Id="rId138" Type="http://schemas.openxmlformats.org/officeDocument/2006/relationships/hyperlink" Target="https://learn.microsoft.com/azure/expressroute/designing-for-disaster-recovery-with-expressroute-privatepeering" TargetMode="External"/><Relationship Id="rId191" Type="http://schemas.openxmlformats.org/officeDocument/2006/relationships/hyperlink" Target="https://learn.microsoft.com/azure/frontdoor/best-practices" TargetMode="External"/><Relationship Id="rId205" Type="http://schemas.openxmlformats.org/officeDocument/2006/relationships/hyperlink" Target="https://learn.microsoft.com/en-us/azure/cloud-adoption-framework/ready/considerations/infrastructure-as-code" TargetMode="External"/><Relationship Id="rId247" Type="http://schemas.openxmlformats.org/officeDocument/2006/relationships/hyperlink" Target="https://learn.microsoft.com/learn/modules/configure-azure-ad-application-proxy/" TargetMode="External"/><Relationship Id="rId107" Type="http://schemas.openxmlformats.org/officeDocument/2006/relationships/hyperlink" Target="https://learn.microsoft.com/azure/azure-monitor/insights/network-insights-overview" TargetMode="External"/><Relationship Id="rId289" Type="http://schemas.openxmlformats.org/officeDocument/2006/relationships/hyperlink" Target="https://learn.microsoft.com/learn/paths/improve-reliability-modern-operations/" TargetMode="External"/><Relationship Id="rId11" Type="http://schemas.openxmlformats.org/officeDocument/2006/relationships/hyperlink" Target="https://learn.microsoft.com/en-us/azure/cloud-adoption-framework/ready/landing-zone/design-area/azure-billing-enterprise-agreement" TargetMode="External"/><Relationship Id="rId53" Type="http://schemas.openxmlformats.org/officeDocument/2006/relationships/hyperlink" Target="https://learn.microsoft.com/en-us/azure/azure-monitor/logs/data-retention-archive?tabs=portal-1%2Cportal-2" TargetMode="External"/><Relationship Id="rId149" Type="http://schemas.openxmlformats.org/officeDocument/2006/relationships/hyperlink" Target="https://learn.microsoft.com/training/modules/intro-to-azure-dns-private-resolver/" TargetMode="External"/><Relationship Id="rId314" Type="http://schemas.openxmlformats.org/officeDocument/2006/relationships/hyperlink" Target="https://learn.microsoft.com/azure/active-directory/reports-monitoring/overview-reports" TargetMode="External"/><Relationship Id="rId95" Type="http://schemas.openxmlformats.org/officeDocument/2006/relationships/hyperlink" Target="https://learn.microsoft.com/azure/frontdoor/best-practices" TargetMode="External"/><Relationship Id="rId160" Type="http://schemas.openxmlformats.org/officeDocument/2006/relationships/hyperlink" Target="https://learn.microsoft.com/azure/web-application-firewall/ag/ag-overview" TargetMode="External"/><Relationship Id="rId216" Type="http://schemas.openxmlformats.org/officeDocument/2006/relationships/hyperlink" Target="https://learn.microsoft.com/azure/cloud-adoption-framework/decision-guides/resource-tagging/?toc=/azure/azure-resource-manager/management/toc.json" TargetMode="External"/><Relationship Id="rId258" Type="http://schemas.openxmlformats.org/officeDocument/2006/relationships/hyperlink" Target="https://learn.microsoft.com/learn/paths/az-104-manage-virtual-networks/" TargetMode="External"/><Relationship Id="rId22" Type="http://schemas.openxmlformats.org/officeDocument/2006/relationships/hyperlink" Target="https://learn.microsoft.com/security/benchmark/azure/mcsb-asset-management" TargetMode="External"/><Relationship Id="rId64" Type="http://schemas.openxmlformats.org/officeDocument/2006/relationships/hyperlink" Target="https://learn.microsoft.com/azure/cloud-adoption-framework/ready/azure-setup-guide/monitoring-reporting?tabs=AzureMonitor" TargetMode="External"/><Relationship Id="rId118" Type="http://schemas.openxmlformats.org/officeDocument/2006/relationships/hyperlink" Target="https://learn.microsoft.com/azure/virtual-network/virtual-network-manage-peering" TargetMode="External"/><Relationship Id="rId325" Type="http://schemas.openxmlformats.org/officeDocument/2006/relationships/drawing" Target="../drawings/drawing2.xml"/><Relationship Id="rId171" Type="http://schemas.openxmlformats.org/officeDocument/2006/relationships/hyperlink" Target="https://learn.microsoft.com/azure/app-service/networking-features" TargetMode="External"/><Relationship Id="rId227" Type="http://schemas.openxmlformats.org/officeDocument/2006/relationships/hyperlink" Target="https://learn.microsoft.com/learn/modules/explore-basic-services-identity-types/" TargetMode="External"/><Relationship Id="rId269" Type="http://schemas.openxmlformats.org/officeDocument/2006/relationships/hyperlink" Target="https://learn.microsoft.com/learn/paths/implement-network-security/?source=learn" TargetMode="External"/><Relationship Id="rId33" Type="http://schemas.openxmlformats.org/officeDocument/2006/relationships/hyperlink" Target="https://learn.microsoft.com/azure/active-directory/conditional-access/overview" TargetMode="External"/><Relationship Id="rId129" Type="http://schemas.openxmlformats.org/officeDocument/2006/relationships/hyperlink" Target="https://learn.microsoft.com/azure/networking/" TargetMode="External"/><Relationship Id="rId280" Type="http://schemas.openxmlformats.org/officeDocument/2006/relationships/hyperlink" Target="https://learn.microsoft.com/learn/paths/enterprise-scale-architecture/" TargetMode="External"/><Relationship Id="rId75" Type="http://schemas.openxmlformats.org/officeDocument/2006/relationships/hyperlink" Target="https://learn.microsoft.com/azure/virtual-machines/availability" TargetMode="External"/><Relationship Id="rId140" Type="http://schemas.openxmlformats.org/officeDocument/2006/relationships/hyperlink" Target="https://learn.microsoft.com/azure/architecture/reference-architectures/identity/adds-extend-domain" TargetMode="External"/><Relationship Id="rId182" Type="http://schemas.openxmlformats.org/officeDocument/2006/relationships/hyperlink" Target="https://learn.microsoft.com/azure/virtual-wan/virtual-wan-about" TargetMode="External"/><Relationship Id="rId6" Type="http://schemas.openxmlformats.org/officeDocument/2006/relationships/hyperlink" Target="https://learn.microsoft.com/en-us/azure/cloud-adoption-framework/ready/landing-zone/design-area/azure-billing-microsoft-customer-agreement" TargetMode="External"/><Relationship Id="rId238" Type="http://schemas.openxmlformats.org/officeDocument/2006/relationships/hyperlink" Target="https://learn.microsoft.com/azure/azure-monitor/logs/design-logs-deployment" TargetMode="External"/><Relationship Id="rId291" Type="http://schemas.openxmlformats.org/officeDocument/2006/relationships/hyperlink" Target="https://learn.microsoft.com/learn/paths/monitor-usage-performance-availability-resources-azure-monitor/" TargetMode="External"/><Relationship Id="rId305" Type="http://schemas.openxmlformats.org/officeDocument/2006/relationships/hyperlink" Target="https://learn.microsoft.com/azure/key-vault/general/best-practices" TargetMode="External"/><Relationship Id="rId44" Type="http://schemas.openxmlformats.org/officeDocument/2006/relationships/hyperlink" Target="https://learn.microsoft.com/azure/active-directory/roles/best-practices" TargetMode="External"/><Relationship Id="rId86" Type="http://schemas.openxmlformats.org/officeDocument/2006/relationships/hyperlink" Target="https://learn.microsoft.com/azure/ddos-protection/ddos-protection-overview" TargetMode="External"/><Relationship Id="rId151" Type="http://schemas.openxmlformats.org/officeDocument/2006/relationships/hyperlink" Target="https://learn.microsoft.com/learn/paths/az-104-manage-virtual-networks/" TargetMode="External"/><Relationship Id="rId193" Type="http://schemas.openxmlformats.org/officeDocument/2006/relationships/hyperlink" Target="https://learn.microsoft.com/azure/web-application-firewall/afds/waf-front-door-best-practices" TargetMode="External"/><Relationship Id="rId207" Type="http://schemas.openxmlformats.org/officeDocument/2006/relationships/hyperlink" Target="https://learn.microsoft.com/en-us/azure/cloud-adoption-framework/ready/considerations/development-strategy-development-lifecycle" TargetMode="External"/><Relationship Id="rId249" Type="http://schemas.openxmlformats.org/officeDocument/2006/relationships/hyperlink" Target="https://learn.microsoft.com/learn/paths/implement-network-security/" TargetMode="External"/><Relationship Id="rId13" Type="http://schemas.openxmlformats.org/officeDocument/2006/relationships/hyperlink" Target="https://learn.microsoft.com/en-us/azure/cost-management-billing/manage/mca-section-invoice" TargetMode="External"/><Relationship Id="rId109" Type="http://schemas.openxmlformats.org/officeDocument/2006/relationships/hyperlink" Target="https://learn.microsoft.com/azure/azure-resource-manager/management/azure-subscription-service-limits?toc=/azure/virtual-network/toc.json" TargetMode="External"/><Relationship Id="rId260" Type="http://schemas.openxmlformats.org/officeDocument/2006/relationships/hyperlink" Target="https://learn.microsoft.com/learn/paths/secure-networking-infrastructure/" TargetMode="External"/><Relationship Id="rId316" Type="http://schemas.openxmlformats.org/officeDocument/2006/relationships/hyperlink" Target="https://learn.microsoft.com/azure/security-center/" TargetMode="External"/><Relationship Id="rId55" Type="http://schemas.openxmlformats.org/officeDocument/2006/relationships/hyperlink" Target="https://learn.microsoft.com/azure/governance/policy/how-to/guest-configuration-create" TargetMode="External"/><Relationship Id="rId97" Type="http://schemas.openxmlformats.org/officeDocument/2006/relationships/hyperlink" Target="https://learn.microsoft.com/azure/frontdoor/best-practices" TargetMode="External"/><Relationship Id="rId120" Type="http://schemas.openxmlformats.org/officeDocument/2006/relationships/hyperlink" Target="https://learn.microsoft.com/learn/modules/design-implement-azure-expressroute/" TargetMode="External"/><Relationship Id="rId162" Type="http://schemas.openxmlformats.org/officeDocument/2006/relationships/hyperlink" Target="https://learn.microsoft.com/azure/ddos-protection/ddos-protection-reference-architectures" TargetMode="External"/><Relationship Id="rId218" Type="http://schemas.openxmlformats.org/officeDocument/2006/relationships/hyperlink" Target="https://learn.microsoft.com/azure/cloud-adoption-framework/ready/landing-zone/design-area/resource-org-management-group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246"/>
  <sheetViews>
    <sheetView zoomScale="80" zoomScaleNormal="80" workbookViewId="0">
      <selection activeCell="H9" sqref="H9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21</v>
      </c>
      <c r="E1" s="18" t="s">
        <v>22</v>
      </c>
      <c r="F1" s="18"/>
    </row>
    <row r="2" spans="1:15" ht="31.5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SUMPRODUCT(--(Checklist!$G$10:$K$487=$A6)*--(Checklist!$H$10:$H$487=B$5))</f>
        <v>0</v>
      </c>
      <c r="C6" cm="1">
        <f t="array" ref="C6">SUMPRODUCT(--(Checklist!$G$10:$K$487=$A6)*--(Checklist!$H$10:$H$487=C$5))</f>
        <v>0</v>
      </c>
      <c r="D6" cm="1">
        <f t="array" ref="D6">SUMPRODUCT(--(Checklist!$G$10:$K$487=$A6)*--(Checklist!$H$10:$H$487=D$5))</f>
        <v>0</v>
      </c>
      <c r="E6" cm="1">
        <f t="array" ref="E6">SUMPRODUCT(--(Checklist!$G$10:$K$487=$A6)*--(Checklist!$H$10:$H$487=E$5))</f>
        <v>0</v>
      </c>
      <c r="F6" cm="1">
        <f t="array" ref="F6">SUMPRODUCT(--(Checklist!$G$10:$K$487=$A6)*--(Checklist!$H$10:$H$487=F$5))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IF($I6="","",SUMPRODUCT(--(Checklist!$B$10:$B$487=$I6)*--(Checklist!$H$10:$H$487=J$5)))</f>
        <v/>
      </c>
      <c r="K6" t="str" cm="1">
        <f t="array" ref="K6">IF($I6="","",SUMPRODUCT(--(Checklist!$B$10:$B$487=$I6)*--(Checklist!$H$10:$H$487=K$5)))</f>
        <v/>
      </c>
      <c r="L6" t="str" cm="1">
        <f t="array" ref="L6">IF($I6="","",SUMPRODUCT(--(Checklist!$B$10:$B$487=$I6)*--(Checklist!$H$10:$H$487=L$5)))</f>
        <v/>
      </c>
      <c r="M6" t="str" cm="1">
        <f t="array" ref="M6">IF($I6="","",SUMPRODUCT(--(Checklist!$B$10:$B$487=$I6)*--(Checklist!$H$10:$H$487=M$5)))</f>
        <v/>
      </c>
      <c r="N6" t="str" cm="1">
        <f t="array" ref="N6">IF($I6="","",SUMPRODUCT(--(Checklist!$B$10:$B$487=$I6)*--(Checklist!$H$10:$H$487=N$5)))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SUMPRODUCT(--(Checklist!$G$10:$K$487=$A7)*--(Checklist!$H$10:$H$487=B$5))</f>
        <v>0</v>
      </c>
      <c r="C7" cm="1">
        <f t="array" ref="C7">SUMPRODUCT(--(Checklist!$G$10:$K$487=$A7)*--(Checklist!$H$10:$H$487=C$5))</f>
        <v>0</v>
      </c>
      <c r="D7" cm="1">
        <f t="array" ref="D7">SUMPRODUCT(--(Checklist!$G$10:$K$487=$A7)*--(Checklist!$H$10:$H$487=D$5))</f>
        <v>0</v>
      </c>
      <c r="E7" cm="1">
        <f t="array" ref="E7">SUMPRODUCT(--(Checklist!$G$10:$K$487=$A7)*--(Checklist!$H$10:$H$487=E$5))</f>
        <v>0</v>
      </c>
      <c r="F7" cm="1">
        <f t="array" ref="F7">SUMPRODUCT(--(Checklist!$G$10:$K$487=$A7)*--(Checklist!$H$10:$H$487=F$5))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IF($I7="","",SUMPRODUCT(--(Checklist!$B$10:$B$487=$I7)*--(Checklist!$H$10:$H$487=J$5)))</f>
        <v/>
      </c>
      <c r="K7" t="str" cm="1">
        <f t="array" ref="K7">IF($I7="","",SUMPRODUCT(--(Checklist!$B$10:$B$487=$I7)*--(Checklist!$H$10:$H$487=K$5)))</f>
        <v/>
      </c>
      <c r="L7" t="str" cm="1">
        <f t="array" ref="L7">IF($I7="","",SUMPRODUCT(--(Checklist!$B$10:$B$487=$I7)*--(Checklist!$H$10:$H$487=L$5)))</f>
        <v/>
      </c>
      <c r="M7" t="str" cm="1">
        <f t="array" ref="M7">IF($I7="","",SUMPRODUCT(--(Checklist!$B$10:$B$487=$I7)*--(Checklist!$H$10:$H$487=M$5)))</f>
        <v/>
      </c>
      <c r="N7" t="str" cm="1">
        <f t="array" ref="N7">IF($I7="","",SUMPRODUCT(--(Checklist!$B$10:$B$487=$I7)*--(Checklist!$H$10:$H$487=N$5)))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SUMPRODUCT(--(Checklist!$G$10:$K$487=$A8)*--(Checklist!$H$10:$H$487=B$5))</f>
        <v>0</v>
      </c>
      <c r="C8" cm="1">
        <f t="array" ref="C8">SUMPRODUCT(--(Checklist!$G$10:$K$487=$A8)*--(Checklist!$H$10:$H$487=C$5))</f>
        <v>0</v>
      </c>
      <c r="D8" cm="1">
        <f t="array" ref="D8">SUMPRODUCT(--(Checklist!$G$10:$K$487=$A8)*--(Checklist!$H$10:$H$487=D$5))</f>
        <v>0</v>
      </c>
      <c r="E8" cm="1">
        <f t="array" ref="E8">SUMPRODUCT(--(Checklist!$G$10:$K$487=$A8)*--(Checklist!$H$10:$H$487=E$5))</f>
        <v>0</v>
      </c>
      <c r="F8" cm="1">
        <f t="array" ref="F8">SUMPRODUCT(--(Checklist!$G$10:$K$487=$A8)*--(Checklist!$H$10:$H$487=F$5))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IF($I8="","",SUMPRODUCT(--(Checklist!$B$10:$B$487=$I8)*--(Checklist!$H$10:$H$487=J$5)))</f>
        <v/>
      </c>
      <c r="K8" t="str" cm="1">
        <f t="array" ref="K8">IF($I8="","",SUMPRODUCT(--(Checklist!$B$10:$B$487=$I8)*--(Checklist!$H$10:$H$487=K$5)))</f>
        <v/>
      </c>
      <c r="L8" t="str" cm="1">
        <f t="array" ref="L8">IF($I8="","",SUMPRODUCT(--(Checklist!$B$10:$B$487=$I8)*--(Checklist!$H$10:$H$487=L$5)))</f>
        <v/>
      </c>
      <c r="M8" t="str" cm="1">
        <f t="array" ref="M8">IF($I8="","",SUMPRODUCT(--(Checklist!$B$10:$B$487=$I8)*--(Checklist!$H$10:$H$487=M$5)))</f>
        <v/>
      </c>
      <c r="N8" t="str" cm="1">
        <f t="array" ref="N8">IF($I8="","",SUMPRODUCT(--(Checklist!$B$10:$B$487=$I8)*--(Checklist!$H$10:$H$487=N$5)))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IF($I9="","",SUMPRODUCT(--(Checklist!$B$10:$B$487=$I9)*--(Checklist!$H$10:$H$487=J$5)))</f>
        <v/>
      </c>
      <c r="K9" t="str" cm="1">
        <f t="array" ref="K9">IF($I9="","",SUMPRODUCT(--(Checklist!$B$10:$B$487=$I9)*--(Checklist!$H$10:$H$487=K$5)))</f>
        <v/>
      </c>
      <c r="L9" t="str" cm="1">
        <f t="array" ref="L9">IF($I9="","",SUMPRODUCT(--(Checklist!$B$10:$B$487=$I9)*--(Checklist!$H$10:$H$487=L$5)))</f>
        <v/>
      </c>
      <c r="M9" t="str" cm="1">
        <f t="array" ref="M9">IF($I9="","",SUMPRODUCT(--(Checklist!$B$10:$B$487=$I9)*--(Checklist!$H$10:$H$487=M$5)))</f>
        <v/>
      </c>
      <c r="N9" t="str" cm="1">
        <f t="array" ref="N9">IF($I9="","",SUMPRODUCT(--(Checklist!$B$10:$B$487=$I9)*--(Checklist!$H$10:$H$487=N$5)))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IF($I10="","",SUMPRODUCT(--(Checklist!$B$10:$B$487=$I10)*--(Checklist!$H$10:$H$487=J$5)))</f>
        <v/>
      </c>
      <c r="K10" s="43" t="str" cm="1">
        <f t="array" ref="K10">IF($I10="","",SUMPRODUCT(--(Checklist!$B$10:$B$487=$I10)*--(Checklist!$H$10:$H$487=K$5)))</f>
        <v/>
      </c>
      <c r="L10" t="str" cm="1">
        <f t="array" ref="L10">IF($I10="","",SUMPRODUCT(--(Checklist!$B$10:$B$487=$I10)*--(Checklist!$H$10:$H$487=L$5)))</f>
        <v/>
      </c>
      <c r="M10" t="str" cm="1">
        <f t="array" ref="M10">IF($I10="","",SUMPRODUCT(--(Checklist!$B$10:$B$487=$I10)*--(Checklist!$H$10:$H$487=M$5)))</f>
        <v/>
      </c>
      <c r="N10" t="str" cm="1">
        <f t="array" ref="N10">IF($I10="","",SUMPRODUCT(--(Checklist!$B$10:$B$487=$I10)*--(Checklist!$H$10:$H$487=N$5)))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IF($I11="","",SUMPRODUCT(--(Checklist!$B$10:$B$487=$I11)*--(Checklist!$H$10:$H$487=J$5)))</f>
        <v/>
      </c>
      <c r="K11" s="43" t="str" cm="1">
        <f t="array" ref="K11">IF($I11="","",SUMPRODUCT(--(Checklist!$B$10:$B$487=$I11)*--(Checklist!$H$10:$H$487=K$5)))</f>
        <v/>
      </c>
      <c r="L11" t="str" cm="1">
        <f t="array" ref="L11">IF($I11="","",SUMPRODUCT(--(Checklist!$B$10:$B$487=$I11)*--(Checklist!$H$10:$H$487=L$5)))</f>
        <v/>
      </c>
      <c r="M11" t="str" cm="1">
        <f t="array" ref="M11">IF($I11="","",SUMPRODUCT(--(Checklist!$B$10:$B$487=$I11)*--(Checklist!$H$10:$H$487=M$5)))</f>
        <v/>
      </c>
      <c r="N11" t="str" cm="1">
        <f t="array" ref="N11">IF($I11="","",SUMPRODUCT(--(Checklist!$B$10:$B$487=$I11)*--(Checklist!$H$10:$H$487=N$5)))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IF($I12="","",SUMPRODUCT(--(Checklist!$B$10:$B$487=$I12)*--(Checklist!$H$10:$H$487=J$5)))</f>
        <v/>
      </c>
      <c r="K12" s="43" t="str" cm="1">
        <f t="array" ref="K12">IF($I12="","",SUMPRODUCT(--(Checklist!$B$10:$B$487=$I12)*--(Checklist!$H$10:$H$487=K$5)))</f>
        <v/>
      </c>
      <c r="L12" t="str" cm="1">
        <f t="array" ref="L12">IF($I12="","",SUMPRODUCT(--(Checklist!$B$10:$B$487=$I12)*--(Checklist!$H$10:$H$487=L$5)))</f>
        <v/>
      </c>
      <c r="M12" t="str" cm="1">
        <f t="array" ref="M12">IF($I12="","",SUMPRODUCT(--(Checklist!$B$10:$B$487=$I12)*--(Checklist!$H$10:$H$487=M$5)))</f>
        <v/>
      </c>
      <c r="N12" t="str" cm="1">
        <f t="array" ref="N12">IF($I12="","",SUMPRODUCT(--(Checklist!$B$10:$B$487=$I12)*--(Checklist!$H$10:$H$487=N$5)))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IF($I13="","",SUMPRODUCT(--(Checklist!$B$10:$B$487=$I13)*--(Checklist!$H$10:$H$487=J$5)))</f>
        <v/>
      </c>
      <c r="K13" s="43" t="str" cm="1">
        <f t="array" ref="K13">IF($I13="","",SUMPRODUCT(--(Checklist!$B$10:$B$487=$I13)*--(Checklist!$H$10:$H$487=K$5)))</f>
        <v/>
      </c>
      <c r="L13" t="str" cm="1">
        <f t="array" ref="L13">IF($I13="","",SUMPRODUCT(--(Checklist!$B$10:$B$487=$I13)*--(Checklist!$H$10:$H$487=L$5)))</f>
        <v/>
      </c>
      <c r="M13" t="str" cm="1">
        <f t="array" ref="M13">IF($I13="","",SUMPRODUCT(--(Checklist!$B$10:$B$487=$I13)*--(Checklist!$H$10:$H$487=M$5)))</f>
        <v/>
      </c>
      <c r="N13" t="str" cm="1">
        <f t="array" ref="N13">IF($I13="","",SUMPRODUCT(--(Checklist!$B$10:$B$487=$I13)*--(Checklist!$H$10:$H$487=N$5)))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3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3"/>
    </row>
    <row r="16" spans="1:15">
      <c r="K16" s="43"/>
    </row>
    <row r="17" spans="11:21">
      <c r="K17" s="43"/>
    </row>
    <row r="18" spans="11:21">
      <c r="K18" s="43"/>
    </row>
    <row r="19" spans="11:21">
      <c r="K19" s="43"/>
    </row>
    <row r="20" spans="11:21">
      <c r="K20" s="43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3"/>
      <c r="P21" s="12" t="str">
        <f>IF(Values!$C2="","",Values!$C2)</f>
        <v/>
      </c>
      <c r="Q21" t="str" cm="1">
        <f t="array" ref="Q21">IF($P21="","",SUMPRODUCT(--(Checklist!$B$10:$B$487=$P21)*--(Checklist!$H$10:$H$487=Q$20)))</f>
        <v/>
      </c>
      <c r="R21" t="str" cm="1">
        <f t="array" ref="R21">IF($P21="","",SUMPRODUCT(--(Checklist!$B$10:$B$487=$P21)*--(Checklist!$H$10:$H$487=R$20)))</f>
        <v/>
      </c>
      <c r="S21" t="str" cm="1">
        <f t="array" ref="S21">IF($P21="","",SUMPRODUCT(--(Checklist!$B$10:$B$487=$P21)*(--(Checklist!$H$10:$H$487=Values!$B$4)+--(Checklist!$H$10:$H$487=Values!$B$5)+--(Checklist!$H$10:$H$487=Values!$B$6))))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3"/>
      <c r="P22" s="12" t="str">
        <f>IF(Values!$C3="","",Values!$C3)</f>
        <v/>
      </c>
      <c r="Q22" t="str" cm="1">
        <f t="array" ref="Q22">IF($P22="","",SUMPRODUCT(--(Checklist!$B$10:$B$487=$P22)*--(Checklist!$H$10:$H$487=Q$20)))</f>
        <v/>
      </c>
      <c r="R22" t="str" cm="1">
        <f t="array" ref="R22">IF($P22="","",SUMPRODUCT(--(Checklist!$B$10:$B$487=$P22)*--(Checklist!$H$10:$H$487=R$20)))</f>
        <v/>
      </c>
      <c r="S22" t="str" cm="1">
        <f t="array" ref="S22">IF($P22="","",SUMPRODUCT(--(Checklist!$B$10:$B$487=$P22)*(--(Checklist!$H$10:$H$487=Values!$B$4)+--(Checklist!$H$10:$H$487=Values!$B$5)+--(Checklist!$H$10:$H$487=Values!$B$6))))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3"/>
      <c r="P23" s="12" t="str">
        <f>IF(Values!$C4="","",Values!$C4)</f>
        <v/>
      </c>
      <c r="Q23" t="str" cm="1">
        <f t="array" ref="Q23">IF($P23="","",SUMPRODUCT(--(Checklist!$B$10:$B$487=$P23)*--(Checklist!$H$10:$H$487=Q$20)))</f>
        <v/>
      </c>
      <c r="R23" t="str" cm="1">
        <f t="array" ref="R23">IF($P23="","",SUMPRODUCT(--(Checklist!$B$10:$B$487=$P23)*--(Checklist!$H$10:$H$487=R$20)))</f>
        <v/>
      </c>
      <c r="S23" t="str" cm="1">
        <f t="array" ref="S23">IF($P23="","",SUMPRODUCT(--(Checklist!$B$10:$B$487=$P23)*(--(Checklist!$H$10:$H$487=Values!$B$4)+--(Checklist!$H$10:$H$487=Values!$B$5)+--(Checklist!$H$10:$H$487=Values!$B$6))))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3"/>
      <c r="P24" s="12" t="str">
        <f>IF(Values!$C5="","",Values!$C5)</f>
        <v/>
      </c>
      <c r="Q24" t="str" cm="1">
        <f t="array" ref="Q24">IF($P24="","",SUMPRODUCT(--(Checklist!$B$10:$B$487=$P24)*--(Checklist!$H$10:$H$487=Q$20)))</f>
        <v/>
      </c>
      <c r="R24" t="str" cm="1">
        <f t="array" ref="R24">IF($P24="","",SUMPRODUCT(--(Checklist!$B$10:$B$487=$P24)*--(Checklist!$H$10:$H$487=R$20)))</f>
        <v/>
      </c>
      <c r="S24" t="str" cm="1">
        <f t="array" ref="S24">IF($P24="","",SUMPRODUCT(--(Checklist!$B$10:$B$487=$P24)*(--(Checklist!$H$10:$H$487=Values!$B$4)+--(Checklist!$H$10:$H$487=Values!$B$5)+--(Checklist!$H$10:$H$487=Values!$B$6))))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3"/>
      <c r="P25" s="12" t="str">
        <f>IF(Values!$C6="","",Values!$C6)</f>
        <v/>
      </c>
      <c r="Q25" t="str" cm="1">
        <f t="array" ref="Q25">IF($P25="","",SUMPRODUCT(--(Checklist!$B$10:$B$487=$P25)*--(Checklist!$H$10:$H$487=Q$20)))</f>
        <v/>
      </c>
      <c r="R25" t="str" cm="1">
        <f t="array" ref="R25">IF($P25="","",SUMPRODUCT(--(Checklist!$B$10:$B$487=$P25)*--(Checklist!$H$10:$H$487=R$20)))</f>
        <v/>
      </c>
      <c r="S25" t="str" cm="1">
        <f t="array" ref="S25">IF($P25="","",SUMPRODUCT(--(Checklist!$B$10:$B$487=$P25)*(--(Checklist!$H$10:$H$487=Values!$B$4)+--(Checklist!$H$10:$H$487=Values!$B$5)+--(Checklist!$H$10:$H$487=Values!$B$6))))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3"/>
      <c r="P26" s="12" t="str">
        <f>IF(Values!$C7="","",Values!$C7)</f>
        <v/>
      </c>
      <c r="Q26" t="str" cm="1">
        <f t="array" ref="Q26">IF($P26="","",SUMPRODUCT(--(Checklist!$B$10:$B$487=$P26)*--(Checklist!$H$10:$H$487=Q$20)))</f>
        <v/>
      </c>
      <c r="R26" t="str" cm="1">
        <f t="array" ref="R26">IF($P26="","",SUMPRODUCT(--(Checklist!$B$10:$B$487=$P26)*--(Checklist!$H$10:$H$487=R$20)))</f>
        <v/>
      </c>
      <c r="S26" t="str" cm="1">
        <f t="array" ref="S26">IF($P26="","",SUMPRODUCT(--(Checklist!$B$10:$B$487=$P26)*(--(Checklist!$H$10:$H$487=Values!$B$4)+--(Checklist!$H$10:$H$487=Values!$B$5)+--(Checklist!$H$10:$H$487=Values!$B$6))))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3"/>
      <c r="P27" s="12" t="str">
        <f>IF(Values!$C8="","",Values!$C8)</f>
        <v/>
      </c>
      <c r="Q27" t="str" cm="1">
        <f t="array" ref="Q27">IF($P27="","",SUMPRODUCT(--(Checklist!$B$10:$B$487=$P27)*--(Checklist!$H$10:$H$487=Q$20)))</f>
        <v/>
      </c>
      <c r="R27" t="str" cm="1">
        <f t="array" ref="R27">IF($P27="","",SUMPRODUCT(--(Checklist!$B$10:$B$487=$P27)*--(Checklist!$H$10:$H$487=R$20)))</f>
        <v/>
      </c>
      <c r="S27" t="str" cm="1">
        <f t="array" ref="S27">IF($P27="","",SUMPRODUCT(--(Checklist!$B$10:$B$487=$P27)*(--(Checklist!$H$10:$H$487=Values!$B$4)+--(Checklist!$H$10:$H$487=Values!$B$5)+--(Checklist!$H$10:$H$487=Values!$B$6))))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3"/>
      <c r="P28" s="12" t="str">
        <f>IF(Values!$C9="","",Values!$C9)</f>
        <v/>
      </c>
      <c r="Q28" t="str" cm="1">
        <f t="array" ref="Q28">IF($P28="","",SUMPRODUCT(--(Checklist!$B$10:$B$487=$P28)*--(Checklist!$H$10:$H$487=Q$20)))</f>
        <v/>
      </c>
      <c r="R28" t="str" cm="1">
        <f t="array" ref="R28">IF($P28="","",SUMPRODUCT(--(Checklist!$B$10:$B$487=$P28)*--(Checklist!$H$10:$H$487=R$20)))</f>
        <v/>
      </c>
      <c r="S28" t="str" cm="1">
        <f t="array" ref="S28">IF($P28="","",SUMPRODUCT(--(Checklist!$B$10:$B$487=$P28)*(--(Checklist!$H$10:$H$487=Values!$B$4)+--(Checklist!$H$10:$H$487=Values!$B$5)+--(Checklist!$H$10:$H$487=Values!$B$6))))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3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3"/>
    </row>
    <row r="31" spans="11:21">
      <c r="K31" s="43"/>
    </row>
    <row r="32" spans="11:21">
      <c r="K32" s="43"/>
    </row>
    <row r="33" spans="11:12">
      <c r="K33" s="43"/>
    </row>
    <row r="34" spans="11:12">
      <c r="K34" s="43"/>
    </row>
    <row r="35" spans="11:12">
      <c r="K35" s="43"/>
    </row>
    <row r="36" spans="11:12">
      <c r="K36" s="43"/>
    </row>
    <row r="37" spans="11:12">
      <c r="K37" s="43"/>
      <c r="L37" s="43"/>
    </row>
    <row r="38" spans="11:12">
      <c r="K38" s="43"/>
    </row>
    <row r="39" spans="11:12">
      <c r="K39" s="43"/>
      <c r="L39" s="43"/>
    </row>
    <row r="40" spans="11:12">
      <c r="K40" s="43"/>
    </row>
    <row r="41" spans="11:12">
      <c r="K41" s="43"/>
      <c r="L41" s="43"/>
    </row>
    <row r="42" spans="11:12">
      <c r="K42" s="43"/>
      <c r="L42" s="43"/>
    </row>
    <row r="43" spans="11:12">
      <c r="K43" s="43"/>
      <c r="L43" s="43"/>
    </row>
    <row r="44" spans="11:12">
      <c r="K44" s="43"/>
      <c r="L44" s="43"/>
    </row>
    <row r="45" spans="11:12">
      <c r="K45" s="43"/>
      <c r="L45" s="43"/>
    </row>
    <row r="46" spans="11:12">
      <c r="K46" s="43"/>
      <c r="L46" s="43"/>
    </row>
    <row r="47" spans="11:12">
      <c r="K47" s="43"/>
      <c r="L47" s="43"/>
    </row>
    <row r="48" spans="11:12">
      <c r="K48" s="43"/>
      <c r="L48" s="43"/>
    </row>
    <row r="49" spans="1:12">
      <c r="A49" s="12" t="s">
        <v>68</v>
      </c>
      <c r="K49" s="43"/>
      <c r="L49" s="43"/>
    </row>
    <row r="50" spans="1:12">
      <c r="B50" t="s">
        <v>65</v>
      </c>
      <c r="C50" t="s">
        <v>66</v>
      </c>
      <c r="D50" s="33" t="s">
        <v>67</v>
      </c>
      <c r="E50" t="s">
        <v>15</v>
      </c>
      <c r="K50" s="43"/>
      <c r="L50" s="43"/>
    </row>
    <row r="51" spans="1:12">
      <c r="A51" t="s">
        <v>58</v>
      </c>
      <c r="B51" s="33" cm="1">
        <f t="array" ref="B51">SUMPRODUCT(--(Checklist!$H$10:$H$299=Values!$B$4),Checklist!$O$10:$O$299,--(Checklist!$O$10:$O$299&lt;0))+SUMPRODUCT(--(Checklist!$H$10:$H$299=Values!$B$6),Checklist!$O$10:$O$299,--(Checklist!$O$10:$O$299&lt;0))+SUMPRODUCT(--(Checklist!$H$10:$H$299=Values!$B$3),Checklist!$O$10:$O$299,--(Checklist!$O$10:$O$299&lt;0))</f>
        <v>0</v>
      </c>
      <c r="C51" s="33" cm="1">
        <f t="array" ref="C51">SUMPRODUCT(--(Checklist!$H$10:$H$299=Values!$B$4),Checklist!$O$10:$O$299,--(Checklist!$O$10:$O$299&gt;0))+SUMPRODUCT(--(Checklist!$H$10:$H$299=Values!$B$6),Checklist!$O$10:$O$299,--(Checklist!$O$10:$O$299&gt;0))+SUMPRODUCT(--(Checklist!$H$10:$H$299=Values!$B$3),Checklist!$O$10:$O$299,--(Checklist!$O$10:$O$299&gt;0))</f>
        <v>0</v>
      </c>
      <c r="D51" s="33" cm="1">
        <f t="array" ref="D51">SUMPRODUCT(--(Checklist!$H$10:$H$299=Values!$B$4),Checklist!$O$10:$O$299)+SUMPRODUCT(--(Checklist!$H$10:$H$299=Values!$B$3),Checklist!$O$10:$O$299)</f>
        <v>0</v>
      </c>
      <c r="E51" s="14">
        <f>IF((C51-B51)=0,1,(D51-B51)/(C51-B51))</f>
        <v>1</v>
      </c>
      <c r="F51" s="14"/>
      <c r="K51" s="43"/>
      <c r="L51" s="43"/>
    </row>
    <row r="52" spans="1:12">
      <c r="A52" t="s">
        <v>61</v>
      </c>
      <c r="B52" s="33" cm="1">
        <f t="array" ref="B52">SUMPRODUCT(--(Checklist!$H$10:$H$299=Values!$B$4),Checklist!$P$10:$P$299,--(Checklist!$P$10:$P$299&lt;0))+SUMPRODUCT(--(Checklist!$H$10:$H$299=Values!$B$6),Checklist!$P$10:$P$299,--(Checklist!$P$10:$P$299&lt;0))+SUMPRODUCT(--(Checklist!$H$10:$H$299=Values!$B$3),Checklist!$P$10:$P$299,--(Checklist!$P$10:$P$299&lt;0))</f>
        <v>0</v>
      </c>
      <c r="C52" s="33" cm="1">
        <f t="array" ref="C52">SUMPRODUCT(--(Checklist!$H$10:$H$299=Values!$B$4),Checklist!$P$10:$P$299,--(Checklist!$P$10:$P$299&gt;0))+SUMPRODUCT(--(Checklist!$H$10:$H$299=Values!$B$6),Checklist!$P$10:$P$299,--(Checklist!$P$10:$P$299&gt;0))+SUMPRODUCT(--(Checklist!$H$10:$H$299=Values!$B$3),Checklist!$P$10:$P$299,--(Checklist!$P$10:$P$299&gt;0))</f>
        <v>0</v>
      </c>
      <c r="D52" s="33" cm="1">
        <f t="array" ref="D52">SUMPRODUCT(--(Checklist!$H$10:$H$299=Values!$B$4),Checklist!$P$10:$P$299)+SUMPRODUCT(--(Checklist!$H$10:$H$299=Values!$B$3),Checklist!$P$10:$P$299)</f>
        <v>0</v>
      </c>
      <c r="E52" s="14">
        <f t="shared" ref="E52:E55" si="5">IF((C52-B52)=0,1,(D52-B52)/(C52-B52))</f>
        <v>1</v>
      </c>
      <c r="F52" s="14"/>
      <c r="K52" s="43"/>
      <c r="L52" s="43"/>
    </row>
    <row r="53" spans="1:12">
      <c r="A53" t="s">
        <v>63</v>
      </c>
      <c r="B53" s="33" cm="1">
        <f t="array" ref="B53">SUMPRODUCT(--(Checklist!$H$10:$H$299=Values!$B$4),Checklist!$Q$10:$Q$299,--(Checklist!$Q$10:$Q$299&lt;0))+SUMPRODUCT(--(Checklist!$H$10:$H$299=Values!$B$6),Checklist!$Q$10:$Q$299,--(Checklist!$Q$10:$Q$299&lt;0))+SUMPRODUCT(--(Checklist!$H$10:$H$299=Values!$B$3),Checklist!$Q$10:$Q$299,--(Checklist!$Q$10:$Q$299&lt;0))</f>
        <v>0</v>
      </c>
      <c r="C53" s="33" cm="1">
        <f t="array" ref="C53">SUMPRODUCT(--(Checklist!$H$10:$H$299=Values!$B$4),Checklist!$Q$10:$Q$299,--(Checklist!$Q$10:$Q$299&gt;0))+SUMPRODUCT(--(Checklist!$H$10:$H$299=Values!$B$6),Checklist!$Q$10:$Q$299,--(Checklist!$Q$10:$Q$299&gt;0))+SUMPRODUCT(--(Checklist!$H$10:$H$299=Values!$B$3),Checklist!$Q$10:$Q$299,--(Checklist!$Q$10:$Q$299&gt;0))</f>
        <v>0</v>
      </c>
      <c r="D53" s="33" cm="1">
        <f t="array" ref="D53">SUMPRODUCT(--(Checklist!$H$10:$H$299=Values!$B$4),Checklist!$Q$10:$Q$299)+SUMPRODUCT(--(Checklist!$H$10:$H$299=Values!$B$3),Checklist!$Q$10:$Q$299)</f>
        <v>0</v>
      </c>
      <c r="E53" s="14">
        <f t="shared" si="5"/>
        <v>1</v>
      </c>
      <c r="F53" s="14"/>
      <c r="K53" s="43"/>
      <c r="L53" s="43"/>
    </row>
    <row r="54" spans="1:12">
      <c r="A54" t="s">
        <v>59</v>
      </c>
      <c r="B54" s="33" cm="1">
        <f t="array" ref="B54">SUMPRODUCT(--(Checklist!$H$10:$H$299=Values!$B$4),Checklist!$R$10:$R$299,--(Checklist!$R$10:$R$299&lt;0))+SUMPRODUCT(--(Checklist!$H$10:$H$299=Values!$B$6),Checklist!$R$10:$R$299,--(Checklist!$R$10:$R$299&lt;0))+SUMPRODUCT(--(Checklist!$H$10:$H$299=Values!$B$3),Checklist!$R$10:$R$299,--(Checklist!$R$10:$R$299&lt;0))</f>
        <v>0</v>
      </c>
      <c r="C54" s="33" cm="1">
        <f t="array" ref="C54">SUMPRODUCT(--(Checklist!$H$10:$H$299=Values!$B$4),Checklist!$R$10:$R$299,--(Checklist!$R$10:$R$299&gt;0))+SUMPRODUCT(--(Checklist!$H$10:$H$299=Values!$B$6),Checklist!$R$10:$R$299,--(Checklist!$R$10:$R$299&gt;0))+SUMPRODUCT(--(Checklist!$H$10:$H$299=Values!$B$3),Checklist!$R$10:$R$299,--(Checklist!$R$10:$R$299&gt;0))</f>
        <v>0</v>
      </c>
      <c r="D54" s="33" cm="1">
        <f t="array" ref="D54">SUMPRODUCT(--(Checklist!$H$10:$H$299=Values!$B$4),Checklist!$R$10:$R$299)+SUMPRODUCT(--(Checklist!$H$10:$H$299=Values!$B$3),Checklist!$R$10:$R$299)</f>
        <v>0</v>
      </c>
      <c r="E54" s="14">
        <f t="shared" si="5"/>
        <v>1</v>
      </c>
      <c r="F54" s="14"/>
      <c r="K54" s="43"/>
      <c r="L54" s="43"/>
    </row>
    <row r="55" spans="1:12">
      <c r="A55" t="s">
        <v>62</v>
      </c>
      <c r="B55" s="33" cm="1">
        <f t="array" ref="B55">SUMPRODUCT(--(Checklist!$H$10:$H$299=Values!$B$4),Checklist!$S$10:$S$299,--(Checklist!$S$10:$S$299&lt;0))+SUMPRODUCT(--(Checklist!$H$10:$H$299=Values!$B$6),Checklist!$S$10:$S$299,--(Checklist!$S$10:$S$299&lt;0))+SUMPRODUCT(--(Checklist!$H$10:$H$299=Values!$B$3),Checklist!$S$10:$S$299,--(Checklist!$S$10:$S$299&lt;0))</f>
        <v>0</v>
      </c>
      <c r="C55" s="33" cm="1">
        <f t="array" ref="C55">SUMPRODUCT(--(Checklist!$H$10:$H$299=Values!$B$4),Checklist!$S$10:$S$299,--(Checklist!$S$10:$S$299&gt;0))+SUMPRODUCT(--(Checklist!$H$10:$H$299=Values!$B$6),Checklist!$S$10:$S$299,--(Checklist!$S$10:$S$299&gt;0))+SUMPRODUCT(--(Checklist!$H$10:$H$299=Values!$B$3),Checklist!$S$10:$S$299,--(Checklist!$S$10:$S$299&gt;0))</f>
        <v>0</v>
      </c>
      <c r="D55" s="33" cm="1">
        <f t="array" ref="D55">SUMPRODUCT(--(Checklist!$H$10:$H$299=Values!$B$4),Checklist!$S$10:$S$299)+SUMPRODUCT(--(Checklist!$H$10:$H$299=Values!$B$3),Checklist!$S$10:$S$299)</f>
        <v>0</v>
      </c>
      <c r="E55" s="14">
        <f t="shared" si="5"/>
        <v>1</v>
      </c>
      <c r="F55" s="14"/>
      <c r="K55" s="43"/>
      <c r="L55" s="43"/>
    </row>
    <row r="56" spans="1:12">
      <c r="K56" s="43"/>
      <c r="L56" s="43"/>
    </row>
    <row r="57" spans="1:12">
      <c r="K57" s="43"/>
    </row>
    <row r="58" spans="1:12">
      <c r="K58" s="43"/>
    </row>
    <row r="59" spans="1:12">
      <c r="K59" s="43"/>
    </row>
    <row r="60" spans="1:12">
      <c r="K60" s="43"/>
    </row>
    <row r="61" spans="1:12">
      <c r="K61" s="43"/>
    </row>
    <row r="62" spans="1:12">
      <c r="K62" s="43"/>
      <c r="L62" s="43"/>
    </row>
    <row r="64" spans="1:12">
      <c r="K64" s="43"/>
      <c r="L64" s="43"/>
    </row>
    <row r="65" spans="11:12">
      <c r="K65" s="43"/>
      <c r="L65" s="43"/>
    </row>
    <row r="66" spans="11:12">
      <c r="K66" s="43"/>
      <c r="L66" s="43"/>
    </row>
    <row r="67" spans="11:12">
      <c r="K67" s="43"/>
      <c r="L67" s="43"/>
    </row>
    <row r="68" spans="11:12">
      <c r="K68" s="43"/>
      <c r="L68" s="43"/>
    </row>
    <row r="69" spans="11:12">
      <c r="K69" s="43"/>
      <c r="L69" s="43"/>
    </row>
    <row r="70" spans="11:12">
      <c r="K70" s="43"/>
    </row>
    <row r="71" spans="11:12">
      <c r="K71" s="43"/>
    </row>
    <row r="72" spans="11:12">
      <c r="K72" s="43"/>
    </row>
    <row r="73" spans="11:12">
      <c r="K73" s="43"/>
    </row>
    <row r="74" spans="11:12">
      <c r="K74" s="43"/>
    </row>
    <row r="75" spans="11:12">
      <c r="K75" s="43"/>
    </row>
    <row r="76" spans="11:12">
      <c r="K76" s="43"/>
    </row>
    <row r="77" spans="11:12">
      <c r="K77" s="43"/>
    </row>
    <row r="78" spans="11:12">
      <c r="K78" s="43"/>
    </row>
    <row r="79" spans="11:12">
      <c r="K79" s="43"/>
    </row>
    <row r="80" spans="11:12">
      <c r="K80" s="43"/>
    </row>
    <row r="81" spans="11:12">
      <c r="K81" s="43"/>
    </row>
    <row r="82" spans="11:12">
      <c r="K82" s="43"/>
    </row>
    <row r="83" spans="11:12">
      <c r="K83" s="43"/>
    </row>
    <row r="84" spans="11:12">
      <c r="K84" s="43"/>
    </row>
    <row r="85" spans="11:12">
      <c r="K85" s="43"/>
    </row>
    <row r="86" spans="11:12">
      <c r="K86" s="43"/>
    </row>
    <row r="87" spans="11:12">
      <c r="K87" s="43"/>
    </row>
    <row r="88" spans="11:12">
      <c r="K88" s="43"/>
    </row>
    <row r="89" spans="11:12">
      <c r="K89" s="43"/>
    </row>
    <row r="90" spans="11:12">
      <c r="K90" s="43"/>
      <c r="L90" s="43"/>
    </row>
    <row r="91" spans="11:12">
      <c r="K91" s="43"/>
      <c r="L91" s="43"/>
    </row>
    <row r="92" spans="11:12">
      <c r="K92" s="43"/>
    </row>
    <row r="93" spans="11:12">
      <c r="K93" s="43"/>
      <c r="L93" s="43"/>
    </row>
    <row r="94" spans="11:12">
      <c r="K94" s="43"/>
      <c r="L94" s="43"/>
    </row>
    <row r="95" spans="11:12">
      <c r="K95" s="43"/>
      <c r="L95" s="43"/>
    </row>
    <row r="96" spans="11:12">
      <c r="K96" s="43"/>
      <c r="L96" s="43"/>
    </row>
    <row r="97" spans="11:12">
      <c r="K97" s="43"/>
      <c r="L97" s="43"/>
    </row>
    <row r="98" spans="11:12">
      <c r="K98" s="43"/>
      <c r="L98" s="43"/>
    </row>
    <row r="99" spans="11:12">
      <c r="K99" s="43"/>
      <c r="L99" s="43"/>
    </row>
    <row r="100" spans="11:12">
      <c r="K100" s="43"/>
      <c r="L100" s="43"/>
    </row>
    <row r="101" spans="11:12">
      <c r="K101" s="43"/>
    </row>
    <row r="102" spans="11:12">
      <c r="K102" s="43"/>
    </row>
    <row r="103" spans="11:12">
      <c r="K103" s="43"/>
    </row>
    <row r="104" spans="11:12">
      <c r="K104" s="43"/>
    </row>
    <row r="105" spans="11:12">
      <c r="K105" s="43"/>
    </row>
    <row r="106" spans="11:12">
      <c r="K106" s="43"/>
    </row>
    <row r="107" spans="11:12">
      <c r="K107" s="43"/>
    </row>
    <row r="108" spans="11:12">
      <c r="K108" s="43"/>
    </row>
    <row r="109" spans="11:12">
      <c r="K109" s="43"/>
    </row>
    <row r="110" spans="11:12">
      <c r="K110" s="43"/>
    </row>
    <row r="111" spans="11:12">
      <c r="K111" s="43"/>
      <c r="L111" s="43"/>
    </row>
    <row r="112" spans="11:12">
      <c r="K112" s="43"/>
      <c r="L112" s="43"/>
    </row>
    <row r="113" spans="11:12">
      <c r="K113" s="43"/>
    </row>
    <row r="114" spans="11:12">
      <c r="K114" s="43"/>
    </row>
    <row r="115" spans="11:12">
      <c r="K115" s="43"/>
    </row>
    <row r="116" spans="11:12">
      <c r="K116" s="43"/>
    </row>
    <row r="117" spans="11:12">
      <c r="K117" s="43"/>
      <c r="L117" s="43"/>
    </row>
    <row r="118" spans="11:12">
      <c r="K118" s="43"/>
      <c r="L118" s="43"/>
    </row>
    <row r="119" spans="11:12">
      <c r="K119" s="43"/>
    </row>
    <row r="120" spans="11:12">
      <c r="K120" s="43"/>
    </row>
    <row r="121" spans="11:12">
      <c r="K121" s="43"/>
    </row>
    <row r="122" spans="11:12">
      <c r="K122" s="43"/>
      <c r="L122" s="43"/>
    </row>
    <row r="123" spans="11:12">
      <c r="K123" s="43"/>
      <c r="L123" s="43"/>
    </row>
    <row r="124" spans="11:12">
      <c r="K124" s="43"/>
      <c r="L124" s="43"/>
    </row>
    <row r="125" spans="11:12">
      <c r="K125" s="43"/>
    </row>
    <row r="126" spans="11:12">
      <c r="K126" s="43"/>
    </row>
    <row r="127" spans="11:12">
      <c r="K127" s="43"/>
      <c r="L127" s="43"/>
    </row>
    <row r="128" spans="11:12">
      <c r="K128" s="43"/>
      <c r="L128" s="43"/>
    </row>
    <row r="129" spans="11:12">
      <c r="K129" s="43"/>
      <c r="L129" s="43"/>
    </row>
    <row r="130" spans="11:12">
      <c r="K130" s="43"/>
      <c r="L130" s="43"/>
    </row>
    <row r="131" spans="11:12">
      <c r="K131" s="43"/>
      <c r="L131" s="43"/>
    </row>
    <row r="132" spans="11:12">
      <c r="K132" s="43"/>
      <c r="L132" s="43"/>
    </row>
    <row r="133" spans="11:12">
      <c r="K133" s="43"/>
      <c r="L133" s="43"/>
    </row>
    <row r="134" spans="11:12">
      <c r="K134" s="43"/>
      <c r="L134" s="43"/>
    </row>
    <row r="135" spans="11:12">
      <c r="K135" s="43"/>
      <c r="L135" s="43"/>
    </row>
    <row r="136" spans="11:12">
      <c r="K136" s="43"/>
    </row>
    <row r="137" spans="11:12">
      <c r="K137" s="43"/>
      <c r="L137" s="43"/>
    </row>
    <row r="138" spans="11:12">
      <c r="K138" s="43"/>
      <c r="L138" s="43"/>
    </row>
    <row r="139" spans="11:12">
      <c r="K139" s="43"/>
      <c r="L139" s="43"/>
    </row>
    <row r="140" spans="11:12">
      <c r="K140" s="43"/>
      <c r="L140" s="43"/>
    </row>
    <row r="141" spans="11:12">
      <c r="K141" s="43"/>
      <c r="L141" s="43"/>
    </row>
    <row r="142" spans="11:12">
      <c r="K142" s="43"/>
      <c r="L142" s="43"/>
    </row>
    <row r="143" spans="11:12">
      <c r="K143" s="43"/>
    </row>
    <row r="144" spans="11:12">
      <c r="K144" s="43"/>
      <c r="L144" s="43"/>
    </row>
    <row r="145" spans="11:12">
      <c r="K145" s="43"/>
    </row>
    <row r="146" spans="11:12">
      <c r="K146" s="43"/>
    </row>
    <row r="147" spans="11:12">
      <c r="K147" s="43"/>
      <c r="L147" s="43"/>
    </row>
    <row r="148" spans="11:12">
      <c r="K148" s="43"/>
      <c r="L148" s="43"/>
    </row>
    <row r="149" spans="11:12">
      <c r="K149" s="43"/>
      <c r="L149" s="43"/>
    </row>
    <row r="150" spans="11:12">
      <c r="K150" s="43"/>
      <c r="L150" s="43"/>
    </row>
    <row r="151" spans="11:12">
      <c r="K151" s="43"/>
      <c r="L151" s="43"/>
    </row>
    <row r="152" spans="11:12">
      <c r="K152" s="43"/>
      <c r="L152" s="43"/>
    </row>
    <row r="153" spans="11:12">
      <c r="K153" s="43"/>
      <c r="L153" s="43"/>
    </row>
    <row r="154" spans="11:12">
      <c r="K154" s="43"/>
    </row>
    <row r="155" spans="11:12">
      <c r="K155" s="43"/>
    </row>
    <row r="156" spans="11:12">
      <c r="K156" s="43"/>
    </row>
    <row r="157" spans="11:12">
      <c r="K157" s="43"/>
    </row>
    <row r="158" spans="11:12">
      <c r="K158" s="43"/>
    </row>
    <row r="159" spans="11:12">
      <c r="K159" s="43"/>
      <c r="L159" s="43"/>
    </row>
    <row r="160" spans="11:12">
      <c r="K160" s="43"/>
      <c r="L160" s="43"/>
    </row>
    <row r="161" spans="11:12">
      <c r="K161" s="43"/>
      <c r="L161" s="43"/>
    </row>
    <row r="162" spans="11:12">
      <c r="K162" s="43"/>
      <c r="L162" s="43"/>
    </row>
    <row r="163" spans="11:12">
      <c r="K163" s="43"/>
      <c r="L163" s="43"/>
    </row>
    <row r="164" spans="11:12">
      <c r="K164" s="43"/>
    </row>
    <row r="165" spans="11:12">
      <c r="K165" s="43"/>
    </row>
    <row r="166" spans="11:12">
      <c r="K166" s="43"/>
    </row>
    <row r="167" spans="11:12">
      <c r="K167" s="43"/>
      <c r="L167" s="43"/>
    </row>
    <row r="168" spans="11:12">
      <c r="K168" s="43"/>
      <c r="L168" s="43"/>
    </row>
    <row r="169" spans="11:12">
      <c r="L169" s="43"/>
    </row>
    <row r="170" spans="11:12">
      <c r="K170" s="43"/>
      <c r="L170" s="43"/>
    </row>
    <row r="171" spans="11:12">
      <c r="K171" s="43"/>
      <c r="L171" s="43"/>
    </row>
    <row r="172" spans="11:12">
      <c r="K172" s="43"/>
      <c r="L172" s="43"/>
    </row>
    <row r="173" spans="11:12">
      <c r="K173" s="43"/>
    </row>
    <row r="174" spans="11:12">
      <c r="K174" s="43"/>
    </row>
    <row r="175" spans="11:12">
      <c r="K175" s="43"/>
      <c r="L175" s="43"/>
    </row>
    <row r="176" spans="11:12">
      <c r="K176" s="43"/>
    </row>
    <row r="177" spans="11:11">
      <c r="K177" s="43"/>
    </row>
    <row r="178" spans="11:11">
      <c r="K178" s="43"/>
    </row>
    <row r="179" spans="11:11">
      <c r="K179" s="43"/>
    </row>
    <row r="180" spans="11:11">
      <c r="K180" s="43"/>
    </row>
    <row r="181" spans="11:11">
      <c r="K181" s="43"/>
    </row>
    <row r="182" spans="11:11">
      <c r="K182" s="43"/>
    </row>
    <row r="183" spans="11:11">
      <c r="K183" s="43"/>
    </row>
    <row r="184" spans="11:11">
      <c r="K184" s="43"/>
    </row>
    <row r="185" spans="11:11">
      <c r="K185" s="43"/>
    </row>
    <row r="186" spans="11:11">
      <c r="K186" s="43"/>
    </row>
    <row r="187" spans="11:11">
      <c r="K187" s="43"/>
    </row>
    <row r="188" spans="11:11">
      <c r="K188" s="43"/>
    </row>
    <row r="189" spans="11:11">
      <c r="K189" s="43"/>
    </row>
    <row r="190" spans="11:11">
      <c r="K190" s="43"/>
    </row>
    <row r="191" spans="11:11">
      <c r="K191" s="43"/>
    </row>
    <row r="192" spans="11:11">
      <c r="K192" s="43"/>
    </row>
    <row r="193" spans="11:12">
      <c r="K193" s="43"/>
    </row>
    <row r="194" spans="11:12">
      <c r="K194" s="43"/>
    </row>
    <row r="195" spans="11:12">
      <c r="K195" s="43"/>
    </row>
    <row r="196" spans="11:12">
      <c r="K196" s="43"/>
    </row>
    <row r="197" spans="11:12">
      <c r="K197" s="43"/>
    </row>
    <row r="198" spans="11:12">
      <c r="K198" s="43"/>
    </row>
    <row r="199" spans="11:12">
      <c r="K199" s="43"/>
    </row>
    <row r="200" spans="11:12">
      <c r="K200" s="43"/>
    </row>
    <row r="201" spans="11:12">
      <c r="K201" s="43"/>
    </row>
    <row r="202" spans="11:12">
      <c r="K202" s="43"/>
    </row>
    <row r="203" spans="11:12">
      <c r="K203" s="43"/>
    </row>
    <row r="204" spans="11:12">
      <c r="K204" s="43"/>
    </row>
    <row r="205" spans="11:12">
      <c r="K205" s="43"/>
    </row>
    <row r="206" spans="11:12">
      <c r="K206" s="43"/>
    </row>
    <row r="207" spans="11:12">
      <c r="K207" s="43"/>
      <c r="L207" s="43"/>
    </row>
    <row r="208" spans="11:12">
      <c r="K208" s="43"/>
      <c r="L208" s="43"/>
    </row>
    <row r="209" spans="11:12">
      <c r="K209" s="43"/>
      <c r="L209" s="43"/>
    </row>
    <row r="210" spans="11:12">
      <c r="K210" s="43"/>
      <c r="L210" s="43"/>
    </row>
    <row r="211" spans="11:12">
      <c r="K211" s="43"/>
      <c r="L211" s="43"/>
    </row>
    <row r="212" spans="11:12">
      <c r="K212" s="43"/>
    </row>
    <row r="213" spans="11:12">
      <c r="K213" s="43"/>
    </row>
    <row r="214" spans="11:12">
      <c r="K214" s="43"/>
    </row>
    <row r="215" spans="11:12">
      <c r="K215" s="43"/>
    </row>
    <row r="216" spans="11:12">
      <c r="K216" s="43"/>
    </row>
    <row r="217" spans="11:12">
      <c r="K217" s="43"/>
      <c r="L217" s="43"/>
    </row>
    <row r="218" spans="11:12">
      <c r="K218" s="43"/>
      <c r="L218" s="43"/>
    </row>
    <row r="219" spans="11:12">
      <c r="K219" s="43"/>
      <c r="L219" s="43"/>
    </row>
    <row r="220" spans="11:12">
      <c r="K220" s="43"/>
      <c r="L220" s="43"/>
    </row>
    <row r="221" spans="11:12">
      <c r="K221" s="43"/>
      <c r="L221" s="43"/>
    </row>
    <row r="222" spans="11:12">
      <c r="K222" s="43"/>
      <c r="L222" s="43"/>
    </row>
    <row r="223" spans="11:12">
      <c r="K223" s="43"/>
    </row>
    <row r="224" spans="11:12">
      <c r="K224" s="43"/>
    </row>
    <row r="225" spans="11:11">
      <c r="K225" s="43"/>
    </row>
    <row r="226" spans="11:11">
      <c r="K226" s="43"/>
    </row>
    <row r="227" spans="11:11">
      <c r="K227" s="43"/>
    </row>
    <row r="228" spans="11:11">
      <c r="K228" s="43"/>
    </row>
    <row r="229" spans="11:11">
      <c r="K229" s="43"/>
    </row>
    <row r="230" spans="11:11">
      <c r="K230" s="43"/>
    </row>
    <row r="231" spans="11:11">
      <c r="K231" s="43"/>
    </row>
    <row r="232" spans="11:11">
      <c r="K232" s="43"/>
    </row>
    <row r="233" spans="11:11">
      <c r="K233" s="43"/>
    </row>
    <row r="234" spans="11:11">
      <c r="K234" s="43"/>
    </row>
    <row r="235" spans="11:11">
      <c r="K235" s="43"/>
    </row>
    <row r="236" spans="11:11">
      <c r="K236" s="43"/>
    </row>
    <row r="237" spans="11:11">
      <c r="K237" s="43"/>
    </row>
    <row r="238" spans="11:11">
      <c r="K238" s="43"/>
    </row>
    <row r="239" spans="11:11">
      <c r="K239" s="43"/>
    </row>
    <row r="240" spans="11:11">
      <c r="K240" s="43"/>
    </row>
    <row r="241" spans="11:11">
      <c r="K241" s="43"/>
    </row>
    <row r="242" spans="11:11">
      <c r="K242" s="43"/>
    </row>
    <row r="243" spans="11:11">
      <c r="K243" s="43"/>
    </row>
    <row r="244" spans="11:11">
      <c r="K244" s="43"/>
    </row>
    <row r="245" spans="11:11">
      <c r="K245" s="43"/>
    </row>
    <row r="246" spans="11:11">
      <c r="K246" s="43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S306"/>
  <sheetViews>
    <sheetView showGridLines="0" tabSelected="1" zoomScale="80" zoomScaleNormal="80" workbookViewId="0">
      <selection activeCell="G2" sqref="G2"/>
    </sheetView>
  </sheetViews>
  <sheetFormatPr defaultColWidth="9" defaultRowHeight="16.5"/>
  <cols>
    <col min="1" max="1" width="10" style="2" customWidth="1"/>
    <col min="2" max="2" width="19" style="1" customWidth="1"/>
    <col min="3" max="3" width="22.28515625" style="1" customWidth="1"/>
    <col min="4" max="4" width="18.28515625" style="1" customWidth="1"/>
    <col min="5" max="5" width="94.5703125" style="2" customWidth="1"/>
    <col min="6" max="6" width="34.140625" style="2" customWidth="1"/>
    <col min="7" max="7" width="16.140625" style="2" customWidth="1"/>
    <col min="8" max="8" width="18.7109375" style="2" customWidth="1"/>
    <col min="9" max="9" width="76" style="2" customWidth="1"/>
    <col min="10" max="10" width="13.42578125" style="2" customWidth="1"/>
    <col min="11" max="11" width="18.42578125" style="2" customWidth="1"/>
    <col min="12" max="12" width="14.5703125" style="2" customWidth="1"/>
    <col min="13" max="13" width="11.42578125" style="2" customWidth="1"/>
    <col min="14" max="14" width="46.140625" style="2" customWidth="1"/>
    <col min="15" max="15" width="10.85546875" style="2" customWidth="1"/>
    <col min="16" max="16" width="10.28515625" style="2" customWidth="1"/>
    <col min="17" max="17" width="9.85546875" style="2" customWidth="1"/>
    <col min="18" max="19" width="10.28515625" style="2" customWidth="1"/>
    <col min="20" max="16384" width="9" style="2"/>
  </cols>
  <sheetData>
    <row r="1" spans="1:19" ht="17.25" thickBot="1"/>
    <row r="2" spans="1:19" ht="55.5" customHeight="1" thickBot="1">
      <c r="B2" s="45"/>
      <c r="C2" s="45"/>
      <c r="D2" s="23"/>
      <c r="E2" s="44" t="s">
        <v>96</v>
      </c>
      <c r="F2" s="20"/>
      <c r="G2" s="35" t="s">
        <v>95</v>
      </c>
      <c r="H2" s="21" t="s">
        <v>31</v>
      </c>
      <c r="I2" s="26" t="s">
        <v>37</v>
      </c>
      <c r="J2" s="26"/>
    </row>
    <row r="3" spans="1:19" ht="17.25">
      <c r="B3" s="23"/>
      <c r="C3" s="23"/>
      <c r="D3" s="23"/>
      <c r="E3" s="11"/>
      <c r="F3" s="11"/>
      <c r="G3" s="24"/>
      <c r="H3" s="25"/>
      <c r="I3" s="26"/>
      <c r="J3" s="26"/>
      <c r="S3" s="42" t="s">
        <v>99</v>
      </c>
    </row>
    <row r="4" spans="1:19" ht="17.25" customHeight="1">
      <c r="B4" s="23"/>
      <c r="C4" s="23"/>
      <c r="D4" s="23"/>
      <c r="E4" s="11"/>
      <c r="F4" s="11"/>
      <c r="G4" s="2" t="str">
        <f>Values!B2</f>
        <v>Not verified</v>
      </c>
      <c r="H4" s="28" t="str">
        <f>Values!H2</f>
        <v>This check has not been looked at yet</v>
      </c>
      <c r="I4" s="22"/>
      <c r="J4" s="22"/>
      <c r="S4" s="42" t="s">
        <v>101</v>
      </c>
    </row>
    <row r="5" spans="1:19">
      <c r="B5" s="23"/>
      <c r="C5" s="23"/>
      <c r="D5" s="23"/>
      <c r="E5" s="11"/>
      <c r="F5" s="11"/>
      <c r="G5" s="2" t="str">
        <f>Values!B3</f>
        <v>Open</v>
      </c>
      <c r="H5" s="28" t="str">
        <f>Values!H3</f>
        <v>There is an action item associated to this check</v>
      </c>
      <c r="I5" s="22"/>
      <c r="J5" s="22"/>
    </row>
    <row r="6" spans="1:19" s="5" customFormat="1" ht="17.25" customHeight="1">
      <c r="B6" s="16" t="s">
        <v>36</v>
      </c>
      <c r="C6" s="4"/>
      <c r="D6" s="4"/>
      <c r="E6" s="4"/>
      <c r="F6" s="4"/>
      <c r="G6" s="2" t="str">
        <f>Values!B4</f>
        <v>Fulfilled</v>
      </c>
      <c r="H6" s="28" t="str">
        <f>Values!H4</f>
        <v>This check has been verified, and there are no further action items associated to it</v>
      </c>
      <c r="I6" s="4"/>
      <c r="J6" s="4"/>
      <c r="K6" s="4"/>
    </row>
    <row r="7" spans="1:19" ht="17.25">
      <c r="B7" s="36"/>
      <c r="C7" s="38"/>
      <c r="D7" s="37"/>
      <c r="E7" s="6"/>
      <c r="F7" s="6"/>
      <c r="G7" s="2" t="str">
        <f>Values!B5</f>
        <v>Not required</v>
      </c>
      <c r="H7" s="28" t="str">
        <f>Values!H5</f>
        <v>Recommendation understood, but not needed by current requirements</v>
      </c>
      <c r="I7" s="3"/>
      <c r="J7" s="3"/>
      <c r="K7" s="3"/>
    </row>
    <row r="8" spans="1:19">
      <c r="B8" s="37" t="s">
        <v>87</v>
      </c>
      <c r="C8" s="38"/>
      <c r="D8" s="37"/>
      <c r="E8" s="6"/>
      <c r="F8" s="6"/>
      <c r="G8" s="2" t="str">
        <f>Values!B6</f>
        <v>N/A</v>
      </c>
      <c r="H8" s="28" t="str">
        <f>Values!H6</f>
        <v>Not applicable for current design</v>
      </c>
      <c r="I8" s="3"/>
      <c r="J8" s="3"/>
      <c r="K8" s="3"/>
      <c r="O8" s="34">
        <f>Dashboard!$E$51</f>
        <v>1</v>
      </c>
      <c r="P8" s="34">
        <f>Dashboard!$E$52</f>
        <v>1</v>
      </c>
      <c r="Q8" s="34">
        <f>Dashboard!$E$53</f>
        <v>1</v>
      </c>
      <c r="R8" s="34">
        <f>Dashboard!$E$54</f>
        <v>1</v>
      </c>
      <c r="S8" s="34">
        <f>Dashboard!$E$55</f>
        <v>1</v>
      </c>
    </row>
    <row r="9" spans="1:19" s="27" customFormat="1" ht="21.75" customHeight="1">
      <c r="A9" s="39" t="s">
        <v>100</v>
      </c>
      <c r="B9" s="39" t="s">
        <v>98</v>
      </c>
      <c r="C9" s="39" t="s">
        <v>0</v>
      </c>
      <c r="D9" s="39" t="s">
        <v>88</v>
      </c>
      <c r="E9" s="39" t="s">
        <v>24</v>
      </c>
      <c r="F9" s="39" t="s">
        <v>25</v>
      </c>
      <c r="G9" s="39" t="s">
        <v>1</v>
      </c>
      <c r="H9" s="39" t="s">
        <v>2</v>
      </c>
      <c r="I9" s="39" t="s">
        <v>3</v>
      </c>
      <c r="J9" s="39" t="s">
        <v>102</v>
      </c>
      <c r="K9" s="39" t="s">
        <v>11</v>
      </c>
      <c r="L9" s="39" t="s">
        <v>17</v>
      </c>
      <c r="M9" s="40" t="s">
        <v>69</v>
      </c>
      <c r="N9" s="40" t="s">
        <v>19</v>
      </c>
      <c r="O9" s="41" t="s">
        <v>58</v>
      </c>
      <c r="P9" s="41" t="s">
        <v>56</v>
      </c>
      <c r="Q9" s="41" t="s">
        <v>57</v>
      </c>
      <c r="R9" s="41" t="s">
        <v>59</v>
      </c>
      <c r="S9" s="41" t="s">
        <v>60</v>
      </c>
    </row>
    <row r="10" spans="1:19" ht="16.5" customHeight="1">
      <c r="A10" s="29"/>
      <c r="B10" s="29"/>
      <c r="C10" s="29"/>
      <c r="D10" s="29"/>
      <c r="E10" s="29"/>
      <c r="F10" s="29"/>
      <c r="G10" s="29"/>
      <c r="I10" s="29"/>
      <c r="J10" s="29"/>
      <c r="K10" s="19"/>
      <c r="L10" s="19"/>
      <c r="M10" s="30"/>
      <c r="N10" s="30"/>
      <c r="O10" s="32"/>
      <c r="P10" s="32"/>
      <c r="Q10" s="32"/>
      <c r="R10" s="32"/>
      <c r="S10" s="32"/>
    </row>
    <row r="11" spans="1:19" ht="16.5" customHeight="1">
      <c r="A11" s="29"/>
      <c r="B11" s="29"/>
      <c r="C11" s="29"/>
      <c r="D11" s="29"/>
      <c r="E11" s="29"/>
      <c r="F11" s="29"/>
      <c r="G11" s="29"/>
      <c r="I11" s="29"/>
      <c r="J11" s="29"/>
      <c r="K11" s="19"/>
      <c r="L11" s="19"/>
      <c r="M11" s="30"/>
      <c r="N11" s="30"/>
      <c r="O11" s="32"/>
      <c r="P11" s="32"/>
      <c r="Q11" s="32"/>
      <c r="R11" s="32"/>
      <c r="S11" s="32"/>
    </row>
    <row r="12" spans="1:19" ht="16.5" customHeight="1">
      <c r="A12" s="29"/>
      <c r="B12" s="29"/>
      <c r="C12" s="29"/>
      <c r="D12" s="29"/>
      <c r="E12" s="29"/>
      <c r="F12" s="29"/>
      <c r="G12" s="29"/>
      <c r="I12" s="29"/>
      <c r="J12" s="29"/>
      <c r="K12" s="19"/>
      <c r="L12" s="19"/>
      <c r="M12" s="30"/>
      <c r="N12" s="31"/>
      <c r="O12" s="32"/>
      <c r="P12" s="32"/>
      <c r="Q12" s="32"/>
      <c r="R12" s="32"/>
      <c r="S12" s="32"/>
    </row>
    <row r="13" spans="1:19" ht="16.5" customHeight="1">
      <c r="A13" s="29"/>
      <c r="B13" s="29"/>
      <c r="C13" s="29"/>
      <c r="D13" s="29"/>
      <c r="E13" s="29"/>
      <c r="F13" s="29"/>
      <c r="G13" s="29"/>
      <c r="I13" s="29"/>
      <c r="J13" s="29"/>
      <c r="K13" s="19"/>
      <c r="L13" s="19"/>
      <c r="M13" s="30"/>
      <c r="N13" s="30"/>
      <c r="O13" s="32"/>
      <c r="P13" s="32"/>
      <c r="Q13" s="32"/>
      <c r="R13" s="32"/>
      <c r="S13" s="32"/>
    </row>
    <row r="14" spans="1:19" ht="16.5" customHeight="1">
      <c r="A14" s="29"/>
      <c r="B14" s="29"/>
      <c r="C14" s="29"/>
      <c r="D14" s="29"/>
      <c r="E14" s="29"/>
      <c r="F14" s="29"/>
      <c r="G14" s="29"/>
      <c r="I14" s="29"/>
      <c r="J14" s="29"/>
      <c r="K14" s="19"/>
      <c r="L14" s="19"/>
      <c r="M14" s="30"/>
      <c r="N14" s="31"/>
      <c r="O14" s="32"/>
      <c r="P14" s="32"/>
      <c r="Q14" s="32"/>
      <c r="R14" s="32"/>
      <c r="S14" s="32"/>
    </row>
    <row r="15" spans="1:19" ht="16.5" customHeight="1">
      <c r="A15" s="29"/>
      <c r="B15" s="29"/>
      <c r="C15" s="29"/>
      <c r="D15" s="29"/>
      <c r="E15" s="29"/>
      <c r="F15" s="29"/>
      <c r="G15" s="29"/>
      <c r="I15" s="29"/>
      <c r="J15" s="29"/>
      <c r="K15" s="19"/>
      <c r="L15" s="19"/>
      <c r="M15" s="30"/>
      <c r="N15" s="30"/>
      <c r="O15" s="32"/>
      <c r="P15" s="32"/>
      <c r="Q15" s="32"/>
      <c r="R15" s="32"/>
      <c r="S15" s="32"/>
    </row>
    <row r="16" spans="1:19" ht="16.5" customHeight="1">
      <c r="A16" s="29"/>
      <c r="B16" s="29"/>
      <c r="C16" s="29"/>
      <c r="D16" s="29"/>
      <c r="E16" s="29"/>
      <c r="F16" s="29"/>
      <c r="G16" s="29"/>
      <c r="I16" s="29"/>
      <c r="J16" s="29"/>
      <c r="K16" s="19"/>
      <c r="L16" s="19"/>
      <c r="M16" s="30"/>
      <c r="N16" s="30"/>
      <c r="O16" s="32"/>
      <c r="P16" s="32"/>
      <c r="Q16" s="32"/>
      <c r="R16" s="32"/>
      <c r="S16" s="32"/>
    </row>
    <row r="17" spans="1:19" ht="16.5" customHeight="1">
      <c r="A17" s="29"/>
      <c r="B17" s="29"/>
      <c r="C17" s="29"/>
      <c r="D17" s="29"/>
      <c r="E17" s="29"/>
      <c r="F17" s="29"/>
      <c r="G17" s="29"/>
      <c r="I17" s="29"/>
      <c r="J17" s="29"/>
      <c r="K17" s="19"/>
      <c r="L17" s="19"/>
      <c r="M17" s="30"/>
      <c r="N17" s="30"/>
      <c r="O17" s="32"/>
      <c r="P17" s="32"/>
      <c r="Q17" s="32"/>
      <c r="R17" s="32"/>
      <c r="S17" s="32"/>
    </row>
    <row r="18" spans="1:19" ht="16.5" customHeight="1">
      <c r="A18" s="29"/>
      <c r="B18" s="29"/>
      <c r="C18" s="29"/>
      <c r="D18" s="29"/>
      <c r="E18" s="29"/>
      <c r="F18" s="29"/>
      <c r="G18" s="29"/>
      <c r="I18" s="29"/>
      <c r="J18" s="29"/>
      <c r="K18" s="19"/>
      <c r="L18" s="19"/>
      <c r="M18" s="30"/>
      <c r="N18" s="30"/>
      <c r="O18" s="32"/>
      <c r="P18" s="32"/>
      <c r="Q18" s="32"/>
      <c r="R18" s="32"/>
      <c r="S18" s="32"/>
    </row>
    <row r="19" spans="1:19" ht="16.5" customHeight="1">
      <c r="A19" s="29"/>
      <c r="B19" s="29"/>
      <c r="C19" s="29"/>
      <c r="D19" s="29"/>
      <c r="E19" s="29"/>
      <c r="F19" s="29"/>
      <c r="G19" s="29"/>
      <c r="I19" s="29"/>
      <c r="J19" s="29"/>
      <c r="K19" s="19"/>
      <c r="L19" s="19"/>
      <c r="M19" s="30"/>
      <c r="N19" s="30"/>
      <c r="O19" s="32"/>
      <c r="P19" s="32"/>
      <c r="Q19" s="32"/>
      <c r="R19" s="32"/>
      <c r="S19" s="32"/>
    </row>
    <row r="20" spans="1:19" ht="16.5" customHeight="1">
      <c r="A20" s="29"/>
      <c r="B20" s="29"/>
      <c r="C20" s="29"/>
      <c r="D20" s="29"/>
      <c r="E20" s="29"/>
      <c r="F20" s="29"/>
      <c r="G20" s="29"/>
      <c r="I20" s="29"/>
      <c r="J20" s="29"/>
      <c r="K20" s="19"/>
      <c r="L20" s="19"/>
      <c r="M20" s="30"/>
      <c r="N20" s="30"/>
      <c r="O20" s="32"/>
      <c r="P20" s="32"/>
      <c r="Q20" s="32"/>
      <c r="R20" s="32"/>
      <c r="S20" s="32"/>
    </row>
    <row r="21" spans="1:19" ht="16.5" customHeight="1">
      <c r="A21" s="29"/>
      <c r="B21" s="29"/>
      <c r="C21" s="29"/>
      <c r="D21" s="29"/>
      <c r="E21" s="29"/>
      <c r="F21" s="29"/>
      <c r="G21" s="29"/>
      <c r="I21" s="29"/>
      <c r="J21" s="29"/>
      <c r="K21" s="19"/>
      <c r="L21" s="19"/>
      <c r="M21" s="30"/>
      <c r="N21" s="30"/>
      <c r="O21" s="32"/>
      <c r="P21" s="32"/>
      <c r="Q21" s="32"/>
      <c r="R21" s="32"/>
      <c r="S21" s="32"/>
    </row>
    <row r="22" spans="1:19" ht="16.5" customHeight="1">
      <c r="A22" s="29"/>
      <c r="B22" s="29"/>
      <c r="C22" s="29"/>
      <c r="D22" s="29"/>
      <c r="E22" s="29"/>
      <c r="F22" s="29"/>
      <c r="G22" s="29"/>
      <c r="I22" s="29"/>
      <c r="J22" s="29"/>
      <c r="K22" s="19"/>
      <c r="L22" s="19"/>
      <c r="M22" s="30"/>
      <c r="N22" s="30"/>
      <c r="O22" s="32"/>
      <c r="P22" s="32"/>
      <c r="Q22" s="32"/>
      <c r="R22" s="32"/>
      <c r="S22" s="32"/>
    </row>
    <row r="23" spans="1:19" ht="16.5" customHeight="1">
      <c r="A23" s="29"/>
      <c r="B23" s="29"/>
      <c r="C23" s="29"/>
      <c r="D23" s="29"/>
      <c r="E23" s="29"/>
      <c r="F23" s="29"/>
      <c r="G23" s="29"/>
      <c r="I23" s="29"/>
      <c r="J23" s="29"/>
      <c r="K23" s="19"/>
      <c r="L23" s="19"/>
      <c r="M23" s="30"/>
      <c r="N23" s="31"/>
      <c r="O23" s="32"/>
      <c r="P23" s="32"/>
      <c r="Q23" s="32"/>
      <c r="R23" s="32"/>
      <c r="S23" s="32"/>
    </row>
    <row r="24" spans="1:19" ht="16.5" customHeight="1">
      <c r="A24" s="29"/>
      <c r="B24" s="29"/>
      <c r="C24" s="29"/>
      <c r="D24" s="29"/>
      <c r="E24" s="29"/>
      <c r="F24" s="29"/>
      <c r="G24" s="29"/>
      <c r="I24" s="29"/>
      <c r="J24" s="29"/>
      <c r="K24" s="19"/>
      <c r="L24" s="19"/>
      <c r="M24" s="30"/>
      <c r="N24" s="30"/>
      <c r="O24" s="32"/>
      <c r="P24" s="32"/>
      <c r="Q24" s="32"/>
      <c r="R24" s="32"/>
      <c r="S24" s="32"/>
    </row>
    <row r="25" spans="1:19" ht="16.5" customHeight="1">
      <c r="A25" s="29"/>
      <c r="B25" s="29"/>
      <c r="C25" s="29"/>
      <c r="D25" s="29"/>
      <c r="E25" s="29"/>
      <c r="F25" s="29"/>
      <c r="G25" s="29"/>
      <c r="I25" s="29"/>
      <c r="J25" s="29"/>
      <c r="K25" s="19"/>
      <c r="L25" s="19"/>
      <c r="M25" s="30"/>
      <c r="N25" s="31"/>
      <c r="O25" s="32"/>
      <c r="P25" s="32"/>
      <c r="Q25" s="32"/>
      <c r="R25" s="32"/>
      <c r="S25" s="32"/>
    </row>
    <row r="26" spans="1:19" ht="16.5" customHeight="1">
      <c r="A26" s="29"/>
      <c r="B26" s="29"/>
      <c r="C26" s="29"/>
      <c r="D26" s="29"/>
      <c r="E26" s="29"/>
      <c r="F26" s="29"/>
      <c r="G26" s="29"/>
      <c r="I26" s="29"/>
      <c r="J26" s="29"/>
      <c r="K26" s="19"/>
      <c r="L26" s="19"/>
      <c r="M26" s="30"/>
      <c r="N26" s="30"/>
      <c r="O26" s="32"/>
      <c r="P26" s="32"/>
      <c r="Q26" s="32"/>
      <c r="R26" s="32"/>
      <c r="S26" s="32"/>
    </row>
    <row r="27" spans="1:19" ht="16.5" customHeight="1">
      <c r="A27" s="29"/>
      <c r="B27" s="29"/>
      <c r="C27" s="29"/>
      <c r="D27" s="29"/>
      <c r="E27" s="29"/>
      <c r="F27" s="29"/>
      <c r="G27" s="29"/>
      <c r="I27" s="29"/>
      <c r="J27" s="29"/>
      <c r="K27" s="19"/>
      <c r="L27" s="19"/>
      <c r="M27" s="30"/>
      <c r="N27" s="31"/>
      <c r="O27" s="32"/>
      <c r="P27" s="32"/>
      <c r="Q27" s="32"/>
      <c r="R27" s="32"/>
      <c r="S27" s="32"/>
    </row>
    <row r="28" spans="1:19" ht="16.5" customHeight="1">
      <c r="A28" s="29"/>
      <c r="B28" s="29"/>
      <c r="C28" s="29"/>
      <c r="D28" s="29"/>
      <c r="E28" s="29"/>
      <c r="F28" s="29"/>
      <c r="G28" s="29"/>
      <c r="I28" s="29"/>
      <c r="J28" s="29"/>
      <c r="K28" s="19"/>
      <c r="L28" s="19"/>
      <c r="M28" s="30"/>
      <c r="N28" s="30"/>
      <c r="O28" s="32"/>
      <c r="P28" s="32"/>
      <c r="Q28" s="32"/>
      <c r="R28" s="32"/>
      <c r="S28" s="32"/>
    </row>
    <row r="29" spans="1:19" ht="16.5" customHeight="1">
      <c r="A29" s="29"/>
      <c r="B29" s="29"/>
      <c r="C29" s="29"/>
      <c r="D29" s="29"/>
      <c r="E29" s="29"/>
      <c r="F29" s="29"/>
      <c r="G29" s="29"/>
      <c r="I29" s="29"/>
      <c r="J29" s="29"/>
      <c r="K29" s="19"/>
      <c r="L29" s="19"/>
      <c r="M29" s="30"/>
      <c r="N29" s="30"/>
      <c r="O29" s="32"/>
      <c r="P29" s="32"/>
      <c r="Q29" s="32"/>
      <c r="R29" s="32"/>
      <c r="S29" s="32"/>
    </row>
    <row r="30" spans="1:19" ht="16.5" customHeight="1">
      <c r="A30" s="29"/>
      <c r="B30" s="29"/>
      <c r="C30" s="29"/>
      <c r="D30" s="29"/>
      <c r="E30" s="29"/>
      <c r="F30" s="29"/>
      <c r="G30" s="29"/>
      <c r="I30" s="29"/>
      <c r="J30" s="29"/>
      <c r="K30" s="19"/>
      <c r="L30" s="19"/>
      <c r="M30" s="30"/>
      <c r="N30" s="30"/>
      <c r="O30" s="32"/>
      <c r="P30" s="32"/>
      <c r="Q30" s="32"/>
      <c r="R30" s="32"/>
      <c r="S30" s="32"/>
    </row>
    <row r="31" spans="1:19" ht="16.5" customHeight="1">
      <c r="A31" s="29"/>
      <c r="B31" s="29"/>
      <c r="C31" s="29"/>
      <c r="D31" s="29"/>
      <c r="E31" s="29"/>
      <c r="F31" s="29"/>
      <c r="G31" s="29"/>
      <c r="I31" s="29"/>
      <c r="J31" s="29"/>
      <c r="K31" s="19"/>
      <c r="L31" s="19"/>
      <c r="M31" s="30"/>
      <c r="N31" s="31"/>
      <c r="O31" s="32"/>
      <c r="P31" s="32"/>
      <c r="Q31" s="32"/>
      <c r="R31" s="32"/>
      <c r="S31" s="32"/>
    </row>
    <row r="32" spans="1:19" ht="16.5" customHeight="1">
      <c r="A32" s="29"/>
      <c r="B32" s="29"/>
      <c r="C32" s="29"/>
      <c r="D32" s="29"/>
      <c r="E32" s="29"/>
      <c r="F32" s="29"/>
      <c r="G32" s="29"/>
      <c r="I32" s="29"/>
      <c r="J32" s="29"/>
      <c r="K32" s="19"/>
      <c r="M32" s="30"/>
      <c r="N32" s="30"/>
      <c r="O32" s="32"/>
      <c r="P32" s="32"/>
      <c r="Q32" s="32"/>
      <c r="R32" s="32"/>
      <c r="S32" s="32"/>
    </row>
    <row r="33" spans="1:19" ht="16.5" customHeight="1">
      <c r="A33" s="29"/>
      <c r="B33" s="29"/>
      <c r="C33" s="29"/>
      <c r="D33" s="29"/>
      <c r="E33" s="29"/>
      <c r="F33" s="29"/>
      <c r="G33" s="29"/>
      <c r="I33" s="29"/>
      <c r="J33" s="29"/>
      <c r="K33" s="19"/>
      <c r="M33" s="30"/>
      <c r="N33" s="30"/>
      <c r="O33" s="32"/>
      <c r="P33" s="32"/>
      <c r="Q33" s="32"/>
      <c r="R33" s="32"/>
      <c r="S33" s="32"/>
    </row>
    <row r="34" spans="1:19" ht="16.5" customHeight="1">
      <c r="A34" s="29"/>
      <c r="B34" s="29"/>
      <c r="C34" s="29"/>
      <c r="D34" s="29"/>
      <c r="E34" s="29"/>
      <c r="F34" s="29"/>
      <c r="G34" s="29"/>
      <c r="I34" s="29"/>
      <c r="J34" s="29"/>
      <c r="K34" s="19"/>
      <c r="L34" s="19"/>
      <c r="M34" s="30"/>
      <c r="N34" s="30"/>
      <c r="O34" s="32"/>
      <c r="P34" s="32"/>
      <c r="Q34" s="32"/>
      <c r="R34" s="32"/>
      <c r="S34" s="32"/>
    </row>
    <row r="35" spans="1:19" ht="16.5" customHeight="1">
      <c r="A35" s="29"/>
      <c r="B35" s="29"/>
      <c r="C35" s="29"/>
      <c r="D35" s="29"/>
      <c r="E35" s="29"/>
      <c r="F35" s="29"/>
      <c r="G35" s="29"/>
      <c r="I35" s="29"/>
      <c r="J35" s="29"/>
      <c r="K35" s="19"/>
      <c r="L35" s="19"/>
      <c r="M35" s="30"/>
      <c r="N35" s="31"/>
      <c r="O35" s="32"/>
      <c r="P35" s="32"/>
      <c r="Q35" s="32"/>
      <c r="R35" s="32"/>
      <c r="S35" s="32"/>
    </row>
    <row r="36" spans="1:19" ht="16.5" customHeight="1">
      <c r="A36" s="29"/>
      <c r="B36" s="29"/>
      <c r="C36" s="29"/>
      <c r="D36" s="29"/>
      <c r="E36" s="29"/>
      <c r="F36" s="29"/>
      <c r="G36" s="29"/>
      <c r="I36" s="29"/>
      <c r="J36" s="29"/>
      <c r="K36" s="19"/>
      <c r="L36" s="19"/>
      <c r="M36" s="30"/>
      <c r="N36" s="30"/>
      <c r="O36" s="32"/>
      <c r="P36" s="32"/>
      <c r="Q36" s="32"/>
      <c r="R36" s="32"/>
      <c r="S36" s="32"/>
    </row>
    <row r="37" spans="1:19" ht="16.5" customHeight="1">
      <c r="A37" s="29"/>
      <c r="B37" s="29"/>
      <c r="C37" s="29"/>
      <c r="D37" s="29"/>
      <c r="E37" s="29"/>
      <c r="F37" s="29"/>
      <c r="G37" s="29"/>
      <c r="I37" s="29"/>
      <c r="J37" s="29"/>
      <c r="K37" s="19"/>
      <c r="L37" s="19"/>
      <c r="M37" s="30"/>
      <c r="N37" s="30"/>
      <c r="O37" s="32"/>
      <c r="P37" s="32"/>
      <c r="Q37" s="32"/>
      <c r="R37" s="32"/>
      <c r="S37" s="32"/>
    </row>
    <row r="38" spans="1:19" ht="16.5" customHeight="1">
      <c r="A38" s="29"/>
      <c r="B38" s="29"/>
      <c r="C38" s="29"/>
      <c r="D38" s="29"/>
      <c r="E38" s="29"/>
      <c r="F38" s="29"/>
      <c r="G38" s="29"/>
      <c r="I38" s="29"/>
      <c r="J38" s="29"/>
      <c r="K38" s="19"/>
      <c r="L38" s="19"/>
      <c r="M38" s="30"/>
      <c r="N38" s="30"/>
      <c r="O38" s="32"/>
      <c r="P38" s="32"/>
      <c r="Q38" s="32"/>
      <c r="R38" s="32"/>
      <c r="S38" s="32"/>
    </row>
    <row r="39" spans="1:19" ht="16.5" customHeight="1">
      <c r="A39" s="29"/>
      <c r="B39" s="29"/>
      <c r="C39" s="29"/>
      <c r="D39" s="29"/>
      <c r="E39" s="29"/>
      <c r="F39" s="29"/>
      <c r="G39" s="29"/>
      <c r="I39" s="29"/>
      <c r="J39" s="29"/>
      <c r="K39" s="19"/>
      <c r="L39" s="19"/>
      <c r="M39" s="30"/>
      <c r="N39" s="30"/>
      <c r="O39" s="32"/>
      <c r="P39" s="32"/>
      <c r="Q39" s="32"/>
      <c r="R39" s="32"/>
      <c r="S39" s="32"/>
    </row>
    <row r="40" spans="1:19" ht="16.5" customHeight="1">
      <c r="A40" s="29"/>
      <c r="B40" s="29"/>
      <c r="C40" s="29"/>
      <c r="D40" s="29"/>
      <c r="E40" s="29"/>
      <c r="F40" s="29"/>
      <c r="G40" s="29"/>
      <c r="I40" s="29"/>
      <c r="J40" s="29"/>
      <c r="K40" s="19"/>
      <c r="L40" s="19"/>
      <c r="M40" s="30"/>
      <c r="N40" s="30"/>
      <c r="O40" s="32"/>
      <c r="P40" s="32"/>
      <c r="Q40" s="32"/>
      <c r="R40" s="32"/>
      <c r="S40" s="32"/>
    </row>
    <row r="41" spans="1:19" ht="16.5" customHeight="1">
      <c r="A41" s="29"/>
      <c r="B41" s="29"/>
      <c r="C41" s="29"/>
      <c r="D41" s="29"/>
      <c r="E41" s="29"/>
      <c r="F41" s="29"/>
      <c r="G41" s="29"/>
      <c r="I41" s="29"/>
      <c r="J41" s="29"/>
      <c r="K41" s="19"/>
      <c r="L41" s="19"/>
      <c r="M41" s="30"/>
      <c r="N41" s="30"/>
      <c r="O41" s="32"/>
      <c r="P41" s="32"/>
      <c r="Q41" s="32"/>
      <c r="R41" s="32"/>
      <c r="S41" s="32"/>
    </row>
    <row r="42" spans="1:19" ht="16.5" customHeight="1">
      <c r="A42" s="29"/>
      <c r="B42" s="29"/>
      <c r="C42" s="29"/>
      <c r="D42" s="29"/>
      <c r="E42" s="29"/>
      <c r="F42" s="29"/>
      <c r="G42" s="29"/>
      <c r="I42" s="29"/>
      <c r="J42" s="29"/>
      <c r="K42" s="19"/>
      <c r="L42" s="19"/>
      <c r="M42" s="30"/>
      <c r="N42" s="31"/>
      <c r="O42" s="32"/>
      <c r="P42" s="32"/>
      <c r="Q42" s="32"/>
      <c r="R42" s="32"/>
      <c r="S42" s="32"/>
    </row>
    <row r="43" spans="1:19" ht="16.5" customHeight="1">
      <c r="A43" s="29"/>
      <c r="B43" s="29"/>
      <c r="C43" s="29"/>
      <c r="D43" s="29"/>
      <c r="E43" s="29"/>
      <c r="F43" s="29"/>
      <c r="G43" s="29"/>
      <c r="I43" s="29"/>
      <c r="J43" s="29"/>
      <c r="K43" s="19"/>
      <c r="L43" s="19"/>
      <c r="M43" s="30"/>
      <c r="N43" s="30"/>
      <c r="O43" s="32"/>
      <c r="P43" s="32"/>
      <c r="Q43" s="32"/>
      <c r="R43" s="32"/>
      <c r="S43" s="32"/>
    </row>
    <row r="44" spans="1:19" ht="16.5" customHeight="1">
      <c r="A44" s="29"/>
      <c r="B44" s="29"/>
      <c r="C44" s="29"/>
      <c r="D44" s="29"/>
      <c r="E44" s="29"/>
      <c r="F44" s="29"/>
      <c r="G44" s="29"/>
      <c r="I44" s="29"/>
      <c r="J44" s="29"/>
      <c r="K44" s="19"/>
      <c r="L44" s="19"/>
      <c r="M44" s="30"/>
      <c r="N44" s="30"/>
      <c r="O44" s="32"/>
      <c r="P44" s="32"/>
      <c r="Q44" s="32"/>
      <c r="R44" s="32"/>
      <c r="S44" s="32"/>
    </row>
    <row r="45" spans="1:19" ht="16.5" customHeight="1">
      <c r="A45" s="29"/>
      <c r="B45" s="29"/>
      <c r="C45" s="29"/>
      <c r="D45" s="29"/>
      <c r="E45" s="29"/>
      <c r="F45" s="29"/>
      <c r="G45" s="29"/>
      <c r="I45" s="29"/>
      <c r="J45" s="29"/>
      <c r="K45" s="19"/>
      <c r="L45" s="19"/>
      <c r="M45" s="30"/>
      <c r="N45" s="31"/>
      <c r="O45" s="32"/>
      <c r="P45" s="32"/>
      <c r="Q45" s="32"/>
      <c r="R45" s="32"/>
      <c r="S45" s="32"/>
    </row>
    <row r="46" spans="1:19" ht="16.5" customHeight="1">
      <c r="A46" s="29"/>
      <c r="B46" s="29"/>
      <c r="C46" s="29"/>
      <c r="D46" s="29"/>
      <c r="E46" s="29"/>
      <c r="F46" s="29"/>
      <c r="G46" s="29"/>
      <c r="I46" s="29"/>
      <c r="J46" s="29"/>
      <c r="K46" s="19"/>
      <c r="L46" s="19"/>
      <c r="M46" s="30"/>
      <c r="N46" s="31"/>
      <c r="O46" s="32"/>
      <c r="P46" s="32"/>
      <c r="Q46" s="32"/>
      <c r="R46" s="32"/>
      <c r="S46" s="32"/>
    </row>
    <row r="47" spans="1:19" ht="16.5" customHeight="1">
      <c r="A47" s="29"/>
      <c r="B47" s="29"/>
      <c r="C47" s="29"/>
      <c r="D47" s="29"/>
      <c r="E47" s="29"/>
      <c r="F47" s="29"/>
      <c r="G47" s="29"/>
      <c r="I47" s="29"/>
      <c r="J47" s="29"/>
      <c r="K47" s="19"/>
      <c r="L47" s="19"/>
      <c r="M47" s="30"/>
      <c r="N47" s="30"/>
      <c r="O47" s="32"/>
      <c r="P47" s="32"/>
      <c r="Q47" s="32"/>
      <c r="R47" s="32"/>
      <c r="S47" s="32"/>
    </row>
    <row r="48" spans="1:19" ht="16.5" customHeight="1">
      <c r="A48" s="29"/>
      <c r="B48" s="29"/>
      <c r="C48" s="29"/>
      <c r="D48" s="29"/>
      <c r="E48" s="29"/>
      <c r="F48" s="29"/>
      <c r="G48" s="29"/>
      <c r="I48" s="29"/>
      <c r="J48" s="29"/>
      <c r="K48" s="19"/>
      <c r="L48" s="19"/>
      <c r="M48" s="30"/>
      <c r="N48" s="30"/>
      <c r="O48" s="32"/>
      <c r="P48" s="32"/>
      <c r="Q48" s="32"/>
      <c r="R48" s="32"/>
      <c r="S48" s="32"/>
    </row>
    <row r="49" spans="1:19" ht="16.5" customHeight="1">
      <c r="A49" s="29"/>
      <c r="B49" s="29"/>
      <c r="C49" s="29"/>
      <c r="D49" s="29"/>
      <c r="E49" s="29"/>
      <c r="F49" s="29"/>
      <c r="G49" s="29"/>
      <c r="I49" s="29"/>
      <c r="J49" s="29"/>
      <c r="K49" s="19"/>
      <c r="L49" s="19"/>
      <c r="M49" s="30"/>
      <c r="N49" s="30"/>
      <c r="O49" s="32"/>
      <c r="P49" s="32"/>
      <c r="Q49" s="32"/>
      <c r="R49" s="32"/>
      <c r="S49" s="32"/>
    </row>
    <row r="50" spans="1:19" ht="16.5" customHeight="1">
      <c r="A50" s="29"/>
      <c r="B50" s="29"/>
      <c r="C50" s="29"/>
      <c r="D50" s="29"/>
      <c r="E50" s="29"/>
      <c r="F50" s="29"/>
      <c r="G50" s="29"/>
      <c r="I50" s="29"/>
      <c r="J50" s="29"/>
      <c r="K50" s="19"/>
      <c r="L50" s="19"/>
      <c r="M50" s="30"/>
      <c r="N50" s="30"/>
      <c r="O50" s="32"/>
      <c r="P50" s="32"/>
      <c r="Q50" s="32"/>
      <c r="R50" s="32"/>
      <c r="S50" s="32"/>
    </row>
    <row r="51" spans="1:19" ht="16.5" customHeight="1">
      <c r="A51" s="29"/>
      <c r="B51" s="29"/>
      <c r="C51" s="29"/>
      <c r="D51" s="29"/>
      <c r="E51" s="29"/>
      <c r="F51" s="29"/>
      <c r="G51" s="29"/>
      <c r="I51" s="29"/>
      <c r="J51" s="29"/>
      <c r="K51" s="19"/>
      <c r="L51" s="19"/>
      <c r="M51" s="30"/>
      <c r="N51" s="30"/>
      <c r="O51" s="32"/>
      <c r="P51" s="32"/>
      <c r="Q51" s="32"/>
      <c r="R51" s="32"/>
      <c r="S51" s="32"/>
    </row>
    <row r="52" spans="1:19" ht="16.5" customHeight="1">
      <c r="A52" s="29"/>
      <c r="B52" s="29"/>
      <c r="C52" s="29"/>
      <c r="D52" s="29"/>
      <c r="E52" s="29"/>
      <c r="F52" s="29"/>
      <c r="G52" s="29"/>
      <c r="I52" s="29"/>
      <c r="J52" s="29"/>
      <c r="K52" s="19"/>
      <c r="L52" s="19"/>
      <c r="M52" s="30"/>
      <c r="N52" s="30"/>
      <c r="O52" s="32"/>
      <c r="P52" s="32"/>
      <c r="Q52" s="32"/>
      <c r="R52" s="32"/>
      <c r="S52" s="32"/>
    </row>
    <row r="53" spans="1:19" ht="16.5" customHeight="1">
      <c r="A53" s="29"/>
      <c r="B53" s="29"/>
      <c r="C53" s="29"/>
      <c r="D53" s="29"/>
      <c r="E53" s="29"/>
      <c r="F53" s="29"/>
      <c r="G53" s="29"/>
      <c r="I53" s="29"/>
      <c r="J53" s="29"/>
      <c r="K53" s="19"/>
      <c r="L53" s="19"/>
      <c r="M53" s="30"/>
      <c r="N53" s="30"/>
      <c r="O53" s="32"/>
      <c r="P53" s="32"/>
      <c r="Q53" s="32"/>
      <c r="R53" s="32"/>
      <c r="S53" s="32"/>
    </row>
    <row r="54" spans="1:19" ht="16.5" customHeight="1">
      <c r="A54" s="29"/>
      <c r="B54" s="29"/>
      <c r="C54" s="29"/>
      <c r="D54" s="29"/>
      <c r="E54" s="29"/>
      <c r="F54" s="29"/>
      <c r="G54" s="29"/>
      <c r="I54" s="29"/>
      <c r="J54" s="29"/>
      <c r="K54" s="19"/>
      <c r="L54" s="19"/>
      <c r="M54" s="30"/>
      <c r="N54" s="30"/>
      <c r="O54" s="32"/>
      <c r="P54" s="32"/>
      <c r="Q54" s="32"/>
      <c r="R54" s="32"/>
      <c r="S54" s="32"/>
    </row>
    <row r="55" spans="1:19" ht="16.5" customHeight="1">
      <c r="A55" s="29"/>
      <c r="B55" s="29"/>
      <c r="C55" s="29"/>
      <c r="D55" s="29"/>
      <c r="E55" s="29"/>
      <c r="F55" s="29"/>
      <c r="G55" s="29"/>
      <c r="I55" s="29"/>
      <c r="J55" s="29"/>
      <c r="K55" s="19"/>
      <c r="L55" s="19"/>
      <c r="M55" s="30"/>
      <c r="N55" s="30"/>
      <c r="O55" s="32"/>
      <c r="P55" s="32"/>
      <c r="Q55" s="32"/>
      <c r="R55" s="32"/>
      <c r="S55" s="32"/>
    </row>
    <row r="56" spans="1:19" ht="16.5" customHeight="1">
      <c r="A56" s="29"/>
      <c r="B56" s="29"/>
      <c r="C56" s="29"/>
      <c r="D56" s="29"/>
      <c r="E56" s="29"/>
      <c r="F56" s="29"/>
      <c r="G56" s="29"/>
      <c r="I56" s="29"/>
      <c r="J56" s="29"/>
      <c r="K56" s="19"/>
      <c r="L56" s="19"/>
      <c r="M56" s="30"/>
      <c r="N56" s="30"/>
      <c r="O56" s="32"/>
      <c r="P56" s="32"/>
      <c r="Q56" s="32"/>
      <c r="R56" s="32"/>
      <c r="S56" s="32"/>
    </row>
    <row r="57" spans="1:19" ht="16.5" customHeight="1">
      <c r="A57" s="29"/>
      <c r="B57" s="29"/>
      <c r="C57" s="29"/>
      <c r="D57" s="29"/>
      <c r="E57" s="29"/>
      <c r="F57" s="29"/>
      <c r="G57" s="29"/>
      <c r="I57" s="29"/>
      <c r="J57" s="29"/>
      <c r="K57" s="19"/>
      <c r="L57" s="19"/>
      <c r="M57" s="30"/>
      <c r="N57" s="30"/>
      <c r="O57" s="32"/>
      <c r="P57" s="32"/>
      <c r="Q57" s="32"/>
      <c r="R57" s="32"/>
      <c r="S57" s="32"/>
    </row>
    <row r="58" spans="1:19" ht="16.5" customHeight="1">
      <c r="A58" s="29"/>
      <c r="B58" s="29"/>
      <c r="C58" s="29"/>
      <c r="D58" s="29"/>
      <c r="E58" s="29"/>
      <c r="F58" s="29"/>
      <c r="G58" s="29"/>
      <c r="I58" s="29"/>
      <c r="J58" s="29"/>
      <c r="K58" s="19"/>
      <c r="M58" s="30"/>
      <c r="N58" s="30"/>
      <c r="O58" s="32"/>
      <c r="P58" s="32"/>
      <c r="Q58" s="32"/>
      <c r="R58" s="32"/>
      <c r="S58" s="32"/>
    </row>
    <row r="59" spans="1:19" ht="16.5" customHeight="1">
      <c r="A59" s="29"/>
      <c r="B59" s="29"/>
      <c r="C59" s="29"/>
      <c r="D59" s="29"/>
      <c r="E59" s="29"/>
      <c r="F59" s="29"/>
      <c r="G59" s="29"/>
      <c r="I59" s="29"/>
      <c r="J59" s="29"/>
      <c r="K59" s="19"/>
      <c r="M59" s="30"/>
      <c r="N59" s="30"/>
      <c r="O59" s="32"/>
      <c r="P59" s="32"/>
      <c r="Q59" s="32"/>
      <c r="R59" s="32"/>
      <c r="S59" s="32"/>
    </row>
    <row r="60" spans="1:19" ht="16.5" customHeight="1">
      <c r="A60" s="29"/>
      <c r="B60" s="29"/>
      <c r="C60" s="29"/>
      <c r="D60" s="29"/>
      <c r="E60" s="29"/>
      <c r="F60" s="29"/>
      <c r="G60" s="29"/>
      <c r="I60" s="29"/>
      <c r="J60" s="29"/>
      <c r="K60" s="19"/>
      <c r="M60" s="30"/>
      <c r="N60" s="30"/>
      <c r="O60" s="32"/>
      <c r="P60" s="32"/>
      <c r="Q60" s="32"/>
      <c r="R60" s="32"/>
      <c r="S60" s="32"/>
    </row>
    <row r="61" spans="1:19" ht="16.5" customHeight="1">
      <c r="A61" s="29"/>
      <c r="B61" s="29"/>
      <c r="C61" s="29"/>
      <c r="D61" s="29"/>
      <c r="E61" s="29"/>
      <c r="F61" s="29"/>
      <c r="G61" s="29"/>
      <c r="I61" s="29"/>
      <c r="J61" s="29"/>
      <c r="K61" s="19"/>
      <c r="L61" s="19"/>
      <c r="M61" s="30"/>
      <c r="N61" s="30"/>
      <c r="O61" s="32"/>
      <c r="P61" s="32"/>
      <c r="Q61" s="32"/>
      <c r="R61" s="32"/>
      <c r="S61" s="32"/>
    </row>
    <row r="62" spans="1:19" ht="16.5" customHeight="1">
      <c r="A62" s="29"/>
      <c r="B62" s="29"/>
      <c r="C62" s="29"/>
      <c r="D62" s="29"/>
      <c r="E62" s="29"/>
      <c r="F62" s="29"/>
      <c r="G62" s="29"/>
      <c r="I62" s="29"/>
      <c r="J62" s="29"/>
      <c r="K62" s="19"/>
      <c r="L62" s="19"/>
      <c r="M62" s="30"/>
      <c r="N62" s="30"/>
      <c r="O62" s="32"/>
      <c r="P62" s="32"/>
      <c r="Q62" s="32"/>
      <c r="R62" s="32"/>
      <c r="S62" s="32"/>
    </row>
    <row r="63" spans="1:19" ht="16.5" customHeight="1">
      <c r="A63" s="29"/>
      <c r="B63" s="29"/>
      <c r="C63" s="29"/>
      <c r="D63" s="29"/>
      <c r="E63" s="29"/>
      <c r="F63" s="29"/>
      <c r="G63" s="29"/>
      <c r="I63" s="29"/>
      <c r="J63" s="29"/>
      <c r="K63" s="19"/>
      <c r="M63" s="30"/>
      <c r="N63" s="30"/>
      <c r="O63" s="32"/>
      <c r="P63" s="32"/>
      <c r="Q63" s="32"/>
      <c r="R63" s="32"/>
      <c r="S63" s="32"/>
    </row>
    <row r="64" spans="1:19" ht="16.5" customHeight="1">
      <c r="A64" s="29"/>
      <c r="B64" s="29"/>
      <c r="C64" s="29"/>
      <c r="D64" s="29"/>
      <c r="E64" s="29"/>
      <c r="F64" s="29"/>
      <c r="G64" s="29"/>
      <c r="I64" s="29"/>
      <c r="J64" s="29"/>
      <c r="K64" s="19"/>
      <c r="L64" s="19"/>
      <c r="M64" s="30"/>
      <c r="N64" s="30"/>
      <c r="O64" s="32"/>
      <c r="P64" s="32"/>
      <c r="Q64" s="32"/>
      <c r="R64" s="32"/>
      <c r="S64" s="32"/>
    </row>
    <row r="65" spans="1:19" ht="16.5" customHeight="1">
      <c r="A65" s="29"/>
      <c r="B65" s="29"/>
      <c r="C65" s="29"/>
      <c r="D65" s="29"/>
      <c r="E65" s="29"/>
      <c r="F65" s="29"/>
      <c r="G65" s="29"/>
      <c r="I65" s="29"/>
      <c r="J65" s="29"/>
      <c r="K65" s="19"/>
      <c r="L65" s="19"/>
      <c r="M65" s="30"/>
      <c r="N65" s="30"/>
      <c r="O65" s="32"/>
      <c r="P65" s="32"/>
      <c r="Q65" s="32"/>
      <c r="R65" s="32"/>
      <c r="S65" s="32"/>
    </row>
    <row r="66" spans="1:19" ht="16.5" customHeight="1">
      <c r="A66" s="29"/>
      <c r="B66" s="29"/>
      <c r="C66" s="29"/>
      <c r="D66" s="29"/>
      <c r="E66" s="29"/>
      <c r="F66" s="29"/>
      <c r="G66" s="29"/>
      <c r="I66" s="29"/>
      <c r="J66" s="29"/>
      <c r="K66" s="19"/>
      <c r="L66" s="19"/>
      <c r="M66" s="30"/>
      <c r="N66" s="30"/>
      <c r="O66" s="32"/>
      <c r="P66" s="32"/>
      <c r="Q66" s="32"/>
      <c r="R66" s="32"/>
      <c r="S66" s="32"/>
    </row>
    <row r="67" spans="1:19" ht="16.5" customHeight="1">
      <c r="A67" s="29"/>
      <c r="B67" s="29"/>
      <c r="C67" s="29"/>
      <c r="D67" s="29"/>
      <c r="E67" s="29"/>
      <c r="F67" s="29"/>
      <c r="G67" s="29"/>
      <c r="I67" s="29"/>
      <c r="J67" s="29"/>
      <c r="K67" s="19"/>
      <c r="L67" s="19"/>
      <c r="M67" s="30"/>
      <c r="N67" s="30"/>
      <c r="O67" s="32"/>
      <c r="P67" s="32"/>
      <c r="Q67" s="32"/>
      <c r="R67" s="32"/>
      <c r="S67" s="32"/>
    </row>
    <row r="68" spans="1:19" ht="16.5" customHeight="1">
      <c r="A68" s="29"/>
      <c r="B68" s="29"/>
      <c r="C68" s="29"/>
      <c r="D68" s="29"/>
      <c r="E68" s="29"/>
      <c r="F68" s="29"/>
      <c r="G68" s="29"/>
      <c r="I68" s="29"/>
      <c r="J68" s="29"/>
      <c r="K68" s="19"/>
      <c r="L68" s="19"/>
      <c r="M68" s="30"/>
      <c r="N68" s="30"/>
      <c r="O68" s="32"/>
      <c r="P68" s="32"/>
      <c r="Q68" s="32"/>
      <c r="R68" s="32"/>
      <c r="S68" s="32"/>
    </row>
    <row r="69" spans="1:19" ht="16.5" customHeight="1">
      <c r="A69" s="29"/>
      <c r="B69" s="29"/>
      <c r="C69" s="29"/>
      <c r="D69" s="29"/>
      <c r="E69" s="29"/>
      <c r="F69" s="29"/>
      <c r="G69" s="29"/>
      <c r="I69" s="29"/>
      <c r="J69" s="29"/>
      <c r="K69" s="19"/>
      <c r="L69" s="19"/>
      <c r="M69" s="30"/>
      <c r="N69" s="30"/>
      <c r="O69" s="32"/>
      <c r="P69" s="32"/>
      <c r="Q69" s="32"/>
      <c r="R69" s="32"/>
      <c r="S69" s="32"/>
    </row>
    <row r="70" spans="1:19" ht="16.5" customHeight="1">
      <c r="A70" s="29"/>
      <c r="B70" s="29"/>
      <c r="C70" s="29"/>
      <c r="D70" s="29"/>
      <c r="E70" s="29"/>
      <c r="F70" s="29"/>
      <c r="G70" s="29"/>
      <c r="I70" s="29"/>
      <c r="J70" s="29"/>
      <c r="K70" s="19"/>
      <c r="L70" s="19"/>
      <c r="M70" s="30"/>
      <c r="N70" s="30"/>
      <c r="O70" s="32"/>
      <c r="P70" s="32"/>
      <c r="Q70" s="32"/>
      <c r="R70" s="32"/>
      <c r="S70" s="32"/>
    </row>
    <row r="71" spans="1:19" ht="16.5" customHeight="1">
      <c r="A71" s="29"/>
      <c r="B71" s="29"/>
      <c r="C71" s="29"/>
      <c r="D71" s="29"/>
      <c r="E71" s="29"/>
      <c r="F71" s="29"/>
      <c r="G71" s="29"/>
      <c r="I71" s="29"/>
      <c r="J71" s="29"/>
      <c r="K71" s="19"/>
      <c r="L71" s="19"/>
      <c r="M71" s="30"/>
      <c r="N71" s="30"/>
      <c r="O71" s="32"/>
      <c r="P71" s="32"/>
      <c r="Q71" s="32"/>
      <c r="R71" s="32"/>
      <c r="S71" s="32"/>
    </row>
    <row r="72" spans="1:19" ht="16.5" customHeight="1">
      <c r="A72" s="29"/>
      <c r="B72" s="29"/>
      <c r="C72" s="29"/>
      <c r="D72" s="29"/>
      <c r="E72" s="29"/>
      <c r="F72" s="29"/>
      <c r="G72" s="29"/>
      <c r="I72" s="29"/>
      <c r="J72" s="29"/>
      <c r="K72" s="19"/>
      <c r="L72" s="19"/>
      <c r="M72" s="30"/>
      <c r="N72" s="31"/>
      <c r="O72" s="32"/>
      <c r="P72" s="32"/>
      <c r="Q72" s="32"/>
      <c r="R72" s="32"/>
      <c r="S72" s="32"/>
    </row>
    <row r="73" spans="1:19" ht="16.5" customHeight="1">
      <c r="A73" s="29"/>
      <c r="B73" s="29"/>
      <c r="C73" s="29"/>
      <c r="D73" s="29"/>
      <c r="E73" s="29"/>
      <c r="F73" s="29"/>
      <c r="G73" s="29"/>
      <c r="I73" s="29"/>
      <c r="J73" s="29"/>
      <c r="K73" s="19"/>
      <c r="L73" s="19"/>
      <c r="M73" s="30"/>
      <c r="N73" s="31"/>
      <c r="O73" s="32"/>
      <c r="P73" s="32"/>
      <c r="Q73" s="32"/>
      <c r="R73" s="32"/>
      <c r="S73" s="32"/>
    </row>
    <row r="74" spans="1:19" ht="16.5" customHeight="1">
      <c r="A74" s="29"/>
      <c r="B74" s="29"/>
      <c r="C74" s="29"/>
      <c r="D74" s="29"/>
      <c r="E74" s="29"/>
      <c r="F74" s="29"/>
      <c r="G74" s="29"/>
      <c r="I74" s="29"/>
      <c r="J74" s="29"/>
      <c r="K74" s="19"/>
      <c r="L74" s="19"/>
      <c r="M74" s="30"/>
      <c r="N74" s="31"/>
      <c r="O74" s="32"/>
      <c r="P74" s="32"/>
      <c r="Q74" s="32"/>
      <c r="R74" s="32"/>
      <c r="S74" s="32"/>
    </row>
    <row r="75" spans="1:19" ht="16.5" customHeight="1">
      <c r="A75" s="29"/>
      <c r="B75" s="29"/>
      <c r="C75" s="29"/>
      <c r="D75" s="29"/>
      <c r="E75" s="29"/>
      <c r="F75" s="29"/>
      <c r="G75" s="29"/>
      <c r="I75" s="29"/>
      <c r="J75" s="29"/>
      <c r="K75" s="19"/>
      <c r="L75" s="19"/>
      <c r="M75" s="30"/>
      <c r="N75" s="30"/>
      <c r="O75" s="32"/>
      <c r="P75" s="32"/>
      <c r="Q75" s="32"/>
      <c r="R75" s="32"/>
      <c r="S75" s="32"/>
    </row>
    <row r="76" spans="1:19" ht="16.5" customHeight="1">
      <c r="A76" s="29"/>
      <c r="B76" s="29"/>
      <c r="C76" s="29"/>
      <c r="D76" s="29"/>
      <c r="E76" s="29"/>
      <c r="F76" s="29"/>
      <c r="G76" s="29"/>
      <c r="I76" s="29"/>
      <c r="J76" s="29"/>
      <c r="K76" s="19"/>
      <c r="L76" s="19"/>
      <c r="M76" s="30"/>
      <c r="N76" s="30"/>
      <c r="O76" s="32"/>
      <c r="P76" s="32"/>
      <c r="Q76" s="32"/>
      <c r="R76" s="32"/>
      <c r="S76" s="32"/>
    </row>
    <row r="77" spans="1:19" ht="16.5" customHeight="1">
      <c r="A77" s="29"/>
      <c r="B77" s="29"/>
      <c r="C77" s="29"/>
      <c r="D77" s="29"/>
      <c r="E77" s="29"/>
      <c r="F77" s="29"/>
      <c r="G77" s="29"/>
      <c r="I77" s="29"/>
      <c r="J77" s="29"/>
      <c r="K77" s="19"/>
      <c r="L77" s="19"/>
      <c r="M77" s="30"/>
      <c r="N77" s="31"/>
      <c r="O77" s="32"/>
      <c r="P77" s="32"/>
      <c r="Q77" s="32"/>
      <c r="R77" s="32"/>
      <c r="S77" s="32"/>
    </row>
    <row r="78" spans="1:19" ht="16.5" customHeight="1">
      <c r="A78" s="29"/>
      <c r="B78" s="29"/>
      <c r="C78" s="29"/>
      <c r="D78" s="29"/>
      <c r="E78" s="29"/>
      <c r="F78" s="29"/>
      <c r="G78" s="29"/>
      <c r="I78" s="29"/>
      <c r="J78" s="29"/>
      <c r="K78" s="19"/>
      <c r="L78" s="19"/>
      <c r="M78" s="30"/>
      <c r="N78" s="31"/>
      <c r="O78" s="32"/>
      <c r="P78" s="32"/>
      <c r="Q78" s="32"/>
      <c r="R78" s="32"/>
      <c r="S78" s="32"/>
    </row>
    <row r="79" spans="1:19" ht="16.5" customHeight="1">
      <c r="A79" s="29"/>
      <c r="B79" s="29"/>
      <c r="C79" s="29"/>
      <c r="D79" s="29"/>
      <c r="E79" s="29"/>
      <c r="F79" s="29"/>
      <c r="G79" s="29"/>
      <c r="I79" s="29"/>
      <c r="J79" s="29"/>
      <c r="K79" s="19"/>
      <c r="L79" s="19"/>
      <c r="M79" s="30"/>
      <c r="N79" s="31"/>
      <c r="O79" s="32"/>
      <c r="P79" s="32"/>
      <c r="Q79" s="32"/>
      <c r="R79" s="32"/>
      <c r="S79" s="32"/>
    </row>
    <row r="80" spans="1:19" ht="16.5" customHeight="1">
      <c r="A80" s="29"/>
      <c r="B80" s="29"/>
      <c r="C80" s="29"/>
      <c r="D80" s="29"/>
      <c r="E80" s="29"/>
      <c r="F80" s="29"/>
      <c r="G80" s="29"/>
      <c r="I80" s="29"/>
      <c r="J80" s="29"/>
      <c r="K80" s="19"/>
      <c r="L80" s="19"/>
      <c r="M80" s="30"/>
      <c r="N80" s="31"/>
      <c r="O80" s="32"/>
      <c r="P80" s="32"/>
      <c r="Q80" s="32"/>
      <c r="R80" s="32"/>
      <c r="S80" s="32"/>
    </row>
    <row r="81" spans="1:19" ht="16.5" customHeight="1">
      <c r="A81" s="29"/>
      <c r="B81" s="29"/>
      <c r="C81" s="29"/>
      <c r="D81" s="29"/>
      <c r="E81" s="29"/>
      <c r="F81" s="29"/>
      <c r="G81" s="29"/>
      <c r="I81" s="29"/>
      <c r="J81" s="29"/>
      <c r="K81" s="19"/>
      <c r="L81" s="19"/>
      <c r="M81" s="30"/>
      <c r="N81" s="30"/>
      <c r="O81" s="32"/>
      <c r="P81" s="32"/>
      <c r="Q81" s="32"/>
      <c r="R81" s="32"/>
      <c r="S81" s="32"/>
    </row>
    <row r="82" spans="1:19" ht="16.5" customHeight="1">
      <c r="A82" s="29"/>
      <c r="B82" s="29"/>
      <c r="C82" s="29"/>
      <c r="D82" s="29"/>
      <c r="E82" s="29"/>
      <c r="F82" s="29"/>
      <c r="G82" s="29"/>
      <c r="I82" s="29"/>
      <c r="J82" s="29"/>
      <c r="K82" s="19"/>
      <c r="L82" s="19"/>
      <c r="M82" s="30"/>
      <c r="N82" s="30"/>
      <c r="O82" s="32"/>
      <c r="P82" s="32"/>
      <c r="Q82" s="32"/>
      <c r="R82" s="32"/>
      <c r="S82" s="32"/>
    </row>
    <row r="83" spans="1:19" ht="16.5" customHeight="1">
      <c r="A83" s="29"/>
      <c r="B83" s="29"/>
      <c r="C83" s="29"/>
      <c r="D83" s="29"/>
      <c r="E83" s="29"/>
      <c r="F83" s="29"/>
      <c r="G83" s="29"/>
      <c r="I83" s="29"/>
      <c r="J83" s="29"/>
      <c r="K83" s="19"/>
      <c r="L83" s="19"/>
      <c r="M83" s="30"/>
      <c r="N83" s="30"/>
      <c r="O83" s="32"/>
      <c r="P83" s="32"/>
      <c r="Q83" s="32"/>
      <c r="R83" s="32"/>
      <c r="S83" s="32"/>
    </row>
    <row r="84" spans="1:19" ht="16.5" customHeight="1">
      <c r="A84" s="29"/>
      <c r="B84" s="29"/>
      <c r="C84" s="29"/>
      <c r="D84" s="29"/>
      <c r="E84" s="29"/>
      <c r="F84" s="29"/>
      <c r="G84" s="29"/>
      <c r="I84" s="29"/>
      <c r="J84" s="29"/>
      <c r="K84" s="19"/>
      <c r="L84" s="19"/>
      <c r="M84" s="30"/>
      <c r="N84" s="31"/>
      <c r="O84" s="32"/>
      <c r="P84" s="32"/>
      <c r="Q84" s="32"/>
      <c r="R84" s="32"/>
      <c r="S84" s="32"/>
    </row>
    <row r="85" spans="1:19" ht="15.75" customHeight="1">
      <c r="A85" s="29"/>
      <c r="B85" s="29"/>
      <c r="C85" s="29"/>
      <c r="D85" s="29"/>
      <c r="E85" s="29"/>
      <c r="F85" s="29"/>
      <c r="G85" s="29"/>
      <c r="I85" s="29"/>
      <c r="J85" s="29"/>
      <c r="K85" s="19"/>
      <c r="L85" s="19"/>
      <c r="M85" s="30"/>
      <c r="N85" s="31"/>
      <c r="O85" s="32"/>
      <c r="P85" s="32"/>
      <c r="Q85" s="32"/>
      <c r="R85" s="32"/>
      <c r="S85" s="32"/>
    </row>
    <row r="86" spans="1:19" ht="16.5" customHeight="1">
      <c r="A86" s="29"/>
      <c r="B86" s="29"/>
      <c r="C86" s="29"/>
      <c r="D86" s="29"/>
      <c r="E86" s="29"/>
      <c r="F86" s="29"/>
      <c r="G86" s="29"/>
      <c r="I86" s="29"/>
      <c r="J86" s="29"/>
      <c r="K86" s="19"/>
      <c r="L86" s="19"/>
      <c r="M86" s="30"/>
      <c r="N86" s="30"/>
      <c r="O86" s="32"/>
      <c r="P86" s="32"/>
      <c r="Q86" s="32"/>
      <c r="R86" s="32"/>
      <c r="S86" s="32"/>
    </row>
    <row r="87" spans="1:19" ht="16.5" customHeight="1">
      <c r="A87" s="29"/>
      <c r="B87" s="29"/>
      <c r="C87" s="29"/>
      <c r="D87" s="29"/>
      <c r="E87" s="29"/>
      <c r="F87" s="29"/>
      <c r="G87" s="29"/>
      <c r="I87" s="29"/>
      <c r="J87" s="29"/>
      <c r="K87" s="19"/>
      <c r="L87" s="19"/>
      <c r="M87" s="30"/>
      <c r="N87" s="30"/>
      <c r="O87" s="32"/>
      <c r="P87" s="32"/>
      <c r="Q87" s="32"/>
      <c r="R87" s="32"/>
      <c r="S87" s="32"/>
    </row>
    <row r="88" spans="1:19" ht="16.5" customHeight="1">
      <c r="A88" s="29"/>
      <c r="B88" s="29"/>
      <c r="C88" s="29"/>
      <c r="D88" s="29"/>
      <c r="E88" s="29"/>
      <c r="F88" s="29"/>
      <c r="G88" s="29"/>
      <c r="I88" s="29"/>
      <c r="J88" s="29"/>
      <c r="K88" s="19"/>
      <c r="L88" s="19"/>
      <c r="M88" s="30"/>
      <c r="N88" s="30"/>
      <c r="O88" s="32"/>
      <c r="P88" s="32"/>
      <c r="Q88" s="32"/>
      <c r="R88" s="32"/>
      <c r="S88" s="32"/>
    </row>
    <row r="89" spans="1:19" ht="16.5" customHeight="1">
      <c r="A89" s="29"/>
      <c r="B89" s="29"/>
      <c r="C89" s="29"/>
      <c r="D89" s="29"/>
      <c r="E89" s="29"/>
      <c r="F89" s="29"/>
      <c r="G89" s="29"/>
      <c r="I89" s="29"/>
      <c r="J89" s="29"/>
      <c r="K89" s="19"/>
      <c r="L89" s="19"/>
      <c r="M89" s="30"/>
      <c r="N89" s="30"/>
      <c r="O89" s="32"/>
      <c r="P89" s="32"/>
      <c r="Q89" s="32"/>
      <c r="R89" s="32"/>
      <c r="S89" s="32"/>
    </row>
    <row r="90" spans="1:19" ht="16.5" customHeight="1">
      <c r="A90" s="29"/>
      <c r="B90" s="29"/>
      <c r="C90" s="29"/>
      <c r="D90" s="29"/>
      <c r="E90" s="29"/>
      <c r="F90" s="29"/>
      <c r="G90" s="29"/>
      <c r="I90" s="29"/>
      <c r="J90" s="29"/>
      <c r="K90" s="19"/>
      <c r="L90" s="19"/>
      <c r="M90" s="30"/>
      <c r="N90" s="30"/>
      <c r="O90" s="32"/>
      <c r="P90" s="32"/>
      <c r="Q90" s="32"/>
      <c r="R90" s="32"/>
      <c r="S90" s="32"/>
    </row>
    <row r="91" spans="1:19" ht="16.5" customHeight="1">
      <c r="A91" s="29"/>
      <c r="B91" s="29"/>
      <c r="C91" s="29"/>
      <c r="D91" s="29"/>
      <c r="E91" s="29"/>
      <c r="F91" s="29"/>
      <c r="G91" s="29"/>
      <c r="I91" s="29"/>
      <c r="J91" s="29"/>
      <c r="K91" s="19"/>
      <c r="L91" s="19"/>
      <c r="M91" s="30"/>
      <c r="N91" s="30"/>
      <c r="O91" s="32"/>
      <c r="P91" s="32"/>
      <c r="Q91" s="32"/>
      <c r="R91" s="32"/>
      <c r="S91" s="32"/>
    </row>
    <row r="92" spans="1:19" ht="16.5" customHeight="1">
      <c r="A92" s="29"/>
      <c r="B92" s="29"/>
      <c r="C92" s="29"/>
      <c r="D92" s="29"/>
      <c r="E92" s="29"/>
      <c r="F92" s="29"/>
      <c r="G92" s="29"/>
      <c r="I92" s="29"/>
      <c r="J92" s="29"/>
      <c r="K92" s="19"/>
      <c r="L92" s="19"/>
      <c r="M92" s="30"/>
      <c r="N92" s="30"/>
      <c r="O92" s="32"/>
      <c r="P92" s="32"/>
      <c r="Q92" s="32"/>
      <c r="R92" s="32"/>
      <c r="S92" s="32"/>
    </row>
    <row r="93" spans="1:19" ht="16.5" customHeight="1">
      <c r="A93" s="29"/>
      <c r="B93" s="29"/>
      <c r="C93" s="29"/>
      <c r="D93" s="29"/>
      <c r="E93" s="29"/>
      <c r="F93" s="29"/>
      <c r="G93" s="29"/>
      <c r="I93" s="29"/>
      <c r="J93" s="29"/>
      <c r="K93" s="19"/>
      <c r="L93" s="19"/>
      <c r="M93" s="30"/>
      <c r="N93" s="30"/>
      <c r="O93" s="32"/>
      <c r="P93" s="32"/>
      <c r="Q93" s="32"/>
      <c r="R93" s="32"/>
      <c r="S93" s="32"/>
    </row>
    <row r="94" spans="1:19" ht="16.5" customHeight="1">
      <c r="A94" s="29"/>
      <c r="B94" s="29"/>
      <c r="C94" s="29"/>
      <c r="D94" s="29"/>
      <c r="E94" s="29"/>
      <c r="F94" s="29"/>
      <c r="G94" s="29"/>
      <c r="I94" s="29"/>
      <c r="J94" s="29"/>
      <c r="K94" s="19"/>
      <c r="L94" s="19"/>
      <c r="M94" s="30"/>
      <c r="N94" s="30"/>
      <c r="O94" s="32"/>
      <c r="P94" s="32"/>
      <c r="Q94" s="32"/>
      <c r="R94" s="32"/>
      <c r="S94" s="32"/>
    </row>
    <row r="95" spans="1:19" ht="16.5" customHeight="1">
      <c r="A95" s="29"/>
      <c r="B95" s="29"/>
      <c r="C95" s="29"/>
      <c r="D95" s="29"/>
      <c r="E95" s="29"/>
      <c r="F95" s="29"/>
      <c r="G95" s="29"/>
      <c r="I95" s="29"/>
      <c r="J95" s="29"/>
      <c r="K95" s="19"/>
      <c r="L95" s="19"/>
      <c r="M95" s="30"/>
      <c r="N95" s="30"/>
      <c r="O95" s="32"/>
      <c r="P95" s="32"/>
      <c r="Q95" s="32"/>
      <c r="R95" s="32"/>
      <c r="S95" s="32"/>
    </row>
    <row r="96" spans="1:19" ht="16.5" customHeight="1">
      <c r="A96" s="29"/>
      <c r="B96" s="29"/>
      <c r="C96" s="29"/>
      <c r="D96" s="29"/>
      <c r="E96" s="29"/>
      <c r="F96" s="29"/>
      <c r="G96" s="29"/>
      <c r="I96" s="29"/>
      <c r="J96" s="29"/>
      <c r="K96" s="19"/>
      <c r="L96" s="19"/>
      <c r="M96" s="30"/>
      <c r="N96" s="30"/>
      <c r="O96" s="32"/>
      <c r="P96" s="32"/>
      <c r="Q96" s="32"/>
      <c r="R96" s="32"/>
      <c r="S96" s="32"/>
    </row>
    <row r="97" spans="1:19" ht="16.5" customHeight="1">
      <c r="A97" s="29"/>
      <c r="B97" s="29"/>
      <c r="C97" s="29"/>
      <c r="D97" s="29"/>
      <c r="E97" s="29"/>
      <c r="F97" s="29"/>
      <c r="G97" s="29"/>
      <c r="I97" s="29"/>
      <c r="J97" s="29"/>
      <c r="K97" s="19"/>
      <c r="L97" s="19"/>
      <c r="M97" s="30"/>
      <c r="N97" s="30"/>
      <c r="O97" s="32"/>
      <c r="P97" s="32"/>
      <c r="Q97" s="32"/>
      <c r="R97" s="32"/>
      <c r="S97" s="32"/>
    </row>
    <row r="98" spans="1:19" ht="16.5" customHeight="1">
      <c r="A98" s="29"/>
      <c r="B98" s="29"/>
      <c r="C98" s="29"/>
      <c r="D98" s="29"/>
      <c r="E98" s="29"/>
      <c r="F98" s="29"/>
      <c r="G98" s="29"/>
      <c r="I98" s="29"/>
      <c r="J98" s="29"/>
      <c r="K98" s="19"/>
      <c r="L98" s="19"/>
      <c r="M98" s="30"/>
      <c r="N98" s="30"/>
      <c r="O98" s="32"/>
      <c r="P98" s="32"/>
      <c r="Q98" s="32"/>
      <c r="R98" s="32"/>
      <c r="S98" s="32"/>
    </row>
    <row r="99" spans="1:19" ht="16.5" customHeight="1">
      <c r="A99" s="29"/>
      <c r="B99" s="29"/>
      <c r="C99" s="29"/>
      <c r="D99" s="29"/>
      <c r="E99" s="29"/>
      <c r="F99" s="29"/>
      <c r="G99" s="29"/>
      <c r="I99" s="29"/>
      <c r="J99" s="29"/>
      <c r="K99" s="19"/>
      <c r="L99" s="19"/>
      <c r="M99" s="30"/>
      <c r="N99" s="30"/>
      <c r="O99" s="32"/>
      <c r="P99" s="32"/>
      <c r="Q99" s="32"/>
      <c r="R99" s="32"/>
      <c r="S99" s="32"/>
    </row>
    <row r="100" spans="1:19" ht="16.5" customHeight="1">
      <c r="A100" s="29"/>
      <c r="B100" s="29"/>
      <c r="C100" s="29"/>
      <c r="D100" s="29"/>
      <c r="E100" s="29"/>
      <c r="F100" s="29"/>
      <c r="G100" s="29"/>
      <c r="I100" s="29"/>
      <c r="J100" s="29"/>
      <c r="K100" s="19"/>
      <c r="L100" s="19"/>
      <c r="M100" s="30"/>
      <c r="N100" s="30"/>
      <c r="O100" s="32"/>
      <c r="P100" s="32"/>
      <c r="Q100" s="32"/>
      <c r="R100" s="32"/>
      <c r="S100" s="32"/>
    </row>
    <row r="101" spans="1:19" ht="16.5" customHeight="1">
      <c r="A101" s="29"/>
      <c r="B101" s="29"/>
      <c r="C101" s="29"/>
      <c r="D101" s="29"/>
      <c r="E101" s="29"/>
      <c r="F101" s="29"/>
      <c r="G101" s="29"/>
      <c r="I101" s="29"/>
      <c r="J101" s="29"/>
      <c r="K101" s="19"/>
      <c r="L101" s="19"/>
      <c r="M101" s="30"/>
      <c r="N101" s="30"/>
      <c r="O101" s="32"/>
      <c r="P101" s="32"/>
      <c r="Q101" s="32"/>
      <c r="R101" s="32"/>
      <c r="S101" s="32"/>
    </row>
    <row r="102" spans="1:19" ht="16.5" customHeight="1">
      <c r="A102" s="29"/>
      <c r="B102" s="29"/>
      <c r="C102" s="29"/>
      <c r="D102" s="29"/>
      <c r="E102" s="29"/>
      <c r="F102" s="29"/>
      <c r="G102" s="29"/>
      <c r="I102" s="29"/>
      <c r="J102" s="29"/>
      <c r="K102" s="19"/>
      <c r="L102" s="19"/>
      <c r="M102" s="30"/>
      <c r="N102" s="30"/>
      <c r="O102" s="32"/>
      <c r="P102" s="32"/>
      <c r="Q102" s="32"/>
      <c r="R102" s="32"/>
      <c r="S102" s="32"/>
    </row>
    <row r="103" spans="1:19" ht="16.5" customHeight="1">
      <c r="A103" s="29"/>
      <c r="B103" s="29"/>
      <c r="C103" s="29"/>
      <c r="D103" s="29"/>
      <c r="E103" s="29"/>
      <c r="F103" s="29"/>
      <c r="G103" s="29"/>
      <c r="I103" s="29"/>
      <c r="J103" s="29"/>
      <c r="K103" s="19"/>
      <c r="L103" s="19"/>
      <c r="M103" s="30"/>
      <c r="N103" s="30"/>
      <c r="O103" s="32"/>
      <c r="P103" s="32"/>
      <c r="Q103" s="32"/>
      <c r="R103" s="32"/>
      <c r="S103" s="32"/>
    </row>
    <row r="104" spans="1:19" ht="16.5" customHeight="1">
      <c r="A104" s="29"/>
      <c r="B104" s="29"/>
      <c r="C104" s="29"/>
      <c r="D104" s="29"/>
      <c r="E104" s="29"/>
      <c r="F104" s="29"/>
      <c r="G104" s="29"/>
      <c r="I104" s="29"/>
      <c r="J104" s="29"/>
      <c r="K104" s="19"/>
      <c r="L104" s="19"/>
      <c r="M104" s="30"/>
      <c r="N104" s="30"/>
      <c r="O104" s="32"/>
      <c r="P104" s="32"/>
      <c r="Q104" s="32"/>
      <c r="R104" s="32"/>
      <c r="S104" s="32"/>
    </row>
    <row r="105" spans="1:19" ht="16.5" customHeight="1">
      <c r="A105" s="29"/>
      <c r="B105" s="29"/>
      <c r="C105" s="29"/>
      <c r="D105" s="29"/>
      <c r="E105" s="29"/>
      <c r="F105" s="29"/>
      <c r="G105" s="29"/>
      <c r="I105" s="29"/>
      <c r="J105" s="29"/>
      <c r="K105" s="19"/>
      <c r="L105" s="19"/>
      <c r="M105" s="30"/>
      <c r="N105" s="30"/>
      <c r="O105" s="32"/>
      <c r="P105" s="32"/>
      <c r="Q105" s="32"/>
      <c r="R105" s="32"/>
      <c r="S105" s="32"/>
    </row>
    <row r="106" spans="1:19" ht="16.5" customHeight="1">
      <c r="A106" s="29"/>
      <c r="B106" s="29"/>
      <c r="C106" s="29"/>
      <c r="D106" s="29"/>
      <c r="E106" s="29"/>
      <c r="F106" s="29"/>
      <c r="G106" s="29"/>
      <c r="I106" s="29"/>
      <c r="J106" s="29"/>
      <c r="K106" s="19"/>
      <c r="L106" s="19"/>
      <c r="M106" s="30"/>
      <c r="N106" s="30"/>
      <c r="O106" s="32"/>
      <c r="P106" s="32"/>
      <c r="Q106" s="32"/>
      <c r="R106" s="32"/>
      <c r="S106" s="32"/>
    </row>
    <row r="107" spans="1:19" ht="16.5" customHeight="1">
      <c r="A107" s="29"/>
      <c r="B107" s="29"/>
      <c r="C107" s="29"/>
      <c r="D107" s="29"/>
      <c r="E107" s="29"/>
      <c r="F107" s="29"/>
      <c r="G107" s="29"/>
      <c r="I107" s="29"/>
      <c r="J107" s="29"/>
      <c r="K107" s="19"/>
      <c r="L107" s="19"/>
      <c r="M107" s="30"/>
      <c r="N107" s="30"/>
      <c r="O107" s="32"/>
      <c r="P107" s="32"/>
      <c r="Q107" s="32"/>
      <c r="R107" s="32"/>
      <c r="S107" s="32"/>
    </row>
    <row r="108" spans="1:19" ht="16.5" customHeight="1">
      <c r="A108" s="29"/>
      <c r="B108" s="29"/>
      <c r="C108" s="29"/>
      <c r="D108" s="29"/>
      <c r="E108" s="29"/>
      <c r="F108" s="29"/>
      <c r="G108" s="29"/>
      <c r="I108" s="29"/>
      <c r="J108" s="29"/>
      <c r="K108" s="19"/>
      <c r="L108" s="19"/>
      <c r="M108" s="30"/>
      <c r="N108" s="30"/>
      <c r="O108" s="32"/>
      <c r="P108" s="32"/>
      <c r="Q108" s="32"/>
      <c r="R108" s="32"/>
      <c r="S108" s="32"/>
    </row>
    <row r="109" spans="1:19" ht="16.5" customHeight="1">
      <c r="A109" s="29"/>
      <c r="B109" s="29"/>
      <c r="C109" s="29"/>
      <c r="D109" s="29"/>
      <c r="E109" s="29"/>
      <c r="F109" s="29"/>
      <c r="G109" s="29"/>
      <c r="I109" s="29"/>
      <c r="J109" s="29"/>
      <c r="K109" s="19"/>
      <c r="L109" s="19"/>
      <c r="M109" s="30"/>
      <c r="N109" s="30"/>
      <c r="O109" s="32"/>
      <c r="P109" s="32"/>
      <c r="Q109" s="32"/>
      <c r="R109" s="32"/>
      <c r="S109" s="32"/>
    </row>
    <row r="110" spans="1:19" ht="16.5" customHeight="1">
      <c r="A110" s="29"/>
      <c r="B110" s="29"/>
      <c r="C110" s="29"/>
      <c r="D110" s="29"/>
      <c r="E110" s="29"/>
      <c r="F110" s="29"/>
      <c r="G110" s="29"/>
      <c r="I110" s="29"/>
      <c r="J110" s="29"/>
      <c r="K110" s="19"/>
      <c r="L110" s="19"/>
      <c r="M110" s="30"/>
      <c r="N110" s="30"/>
      <c r="O110" s="32"/>
      <c r="P110" s="32"/>
      <c r="Q110" s="32"/>
      <c r="R110" s="32"/>
      <c r="S110" s="32"/>
    </row>
    <row r="111" spans="1:19" ht="16.5" customHeight="1">
      <c r="A111" s="29"/>
      <c r="B111" s="29"/>
      <c r="C111" s="29"/>
      <c r="D111" s="29"/>
      <c r="E111" s="29"/>
      <c r="F111" s="29"/>
      <c r="G111" s="29"/>
      <c r="I111" s="29"/>
      <c r="J111" s="29"/>
      <c r="K111" s="19"/>
      <c r="L111" s="19"/>
      <c r="M111" s="30"/>
      <c r="N111" s="30"/>
      <c r="O111" s="32"/>
      <c r="P111" s="32"/>
      <c r="Q111" s="32"/>
      <c r="R111" s="32"/>
      <c r="S111" s="32"/>
    </row>
    <row r="112" spans="1:19" ht="16.5" customHeight="1">
      <c r="A112" s="29"/>
      <c r="B112" s="29"/>
      <c r="C112" s="29"/>
      <c r="D112" s="29"/>
      <c r="E112" s="29"/>
      <c r="F112" s="29"/>
      <c r="G112" s="29"/>
      <c r="I112" s="29"/>
      <c r="J112" s="29"/>
      <c r="K112" s="19"/>
      <c r="L112" s="19"/>
      <c r="M112" s="30"/>
      <c r="N112" s="30"/>
      <c r="O112" s="32"/>
      <c r="P112" s="32"/>
      <c r="Q112" s="32"/>
      <c r="R112" s="32"/>
      <c r="S112" s="32"/>
    </row>
    <row r="113" spans="1:19" ht="16.5" customHeight="1">
      <c r="A113" s="29"/>
      <c r="B113" s="29"/>
      <c r="C113" s="29"/>
      <c r="D113" s="29"/>
      <c r="E113" s="29"/>
      <c r="F113" s="29"/>
      <c r="G113" s="29"/>
      <c r="I113" s="29"/>
      <c r="J113" s="29"/>
      <c r="K113" s="19"/>
      <c r="L113" s="19"/>
      <c r="M113" s="30"/>
      <c r="N113" s="30"/>
      <c r="O113" s="32"/>
      <c r="P113" s="32"/>
      <c r="Q113" s="32"/>
      <c r="R113" s="32"/>
      <c r="S113" s="32"/>
    </row>
    <row r="114" spans="1:19" ht="16.5" customHeight="1">
      <c r="A114" s="29"/>
      <c r="B114" s="29"/>
      <c r="C114" s="29"/>
      <c r="D114" s="29"/>
      <c r="E114" s="29"/>
      <c r="F114" s="29"/>
      <c r="G114" s="29"/>
      <c r="I114" s="29"/>
      <c r="J114" s="29"/>
      <c r="K114" s="19"/>
      <c r="L114" s="19"/>
      <c r="M114" s="30"/>
      <c r="N114" s="31"/>
      <c r="O114" s="32"/>
      <c r="P114" s="32"/>
      <c r="Q114" s="32"/>
      <c r="R114" s="32"/>
      <c r="S114" s="32"/>
    </row>
    <row r="115" spans="1:19" ht="16.5" customHeight="1">
      <c r="A115" s="29"/>
      <c r="B115" s="29"/>
      <c r="C115" s="29"/>
      <c r="D115" s="29"/>
      <c r="E115" s="29"/>
      <c r="F115" s="29"/>
      <c r="G115" s="29"/>
      <c r="I115" s="29"/>
      <c r="J115" s="29"/>
      <c r="K115" s="19"/>
      <c r="L115" s="19"/>
      <c r="M115" s="30"/>
      <c r="N115" s="31"/>
      <c r="O115" s="32"/>
      <c r="P115" s="32"/>
      <c r="Q115" s="32"/>
      <c r="R115" s="32"/>
      <c r="S115" s="32"/>
    </row>
    <row r="116" spans="1:19" ht="16.5" customHeight="1">
      <c r="A116" s="29"/>
      <c r="B116" s="29"/>
      <c r="C116" s="29"/>
      <c r="D116" s="29"/>
      <c r="E116" s="29"/>
      <c r="F116" s="29"/>
      <c r="G116" s="29"/>
      <c r="I116" s="29"/>
      <c r="J116" s="29"/>
      <c r="K116" s="19"/>
      <c r="L116" s="19"/>
      <c r="M116" s="30"/>
      <c r="N116" s="31"/>
      <c r="O116" s="32"/>
      <c r="P116" s="32"/>
      <c r="Q116" s="32"/>
      <c r="R116" s="32"/>
      <c r="S116" s="32"/>
    </row>
    <row r="117" spans="1:19" ht="16.5" customHeight="1">
      <c r="A117" s="29"/>
      <c r="B117" s="29"/>
      <c r="C117" s="29"/>
      <c r="D117" s="29"/>
      <c r="E117" s="29"/>
      <c r="F117" s="29"/>
      <c r="G117" s="29"/>
      <c r="I117" s="29"/>
      <c r="J117" s="29"/>
      <c r="K117" s="19"/>
      <c r="L117" s="19"/>
      <c r="M117" s="30"/>
      <c r="N117" s="30"/>
      <c r="O117" s="32"/>
      <c r="P117" s="32"/>
      <c r="Q117" s="32"/>
      <c r="R117" s="32"/>
      <c r="S117" s="32"/>
    </row>
    <row r="118" spans="1:19" ht="16.5" customHeight="1">
      <c r="A118" s="29"/>
      <c r="B118" s="29"/>
      <c r="C118" s="29"/>
      <c r="D118" s="29"/>
      <c r="E118" s="29"/>
      <c r="F118" s="29"/>
      <c r="G118" s="29"/>
      <c r="I118" s="29"/>
      <c r="J118" s="29"/>
      <c r="K118" s="19"/>
      <c r="L118" s="19"/>
      <c r="M118" s="30"/>
      <c r="N118" s="31"/>
      <c r="O118" s="32"/>
      <c r="P118" s="32"/>
      <c r="Q118" s="32"/>
      <c r="R118" s="32"/>
      <c r="S118" s="32"/>
    </row>
    <row r="119" spans="1:19" ht="16.5" customHeight="1">
      <c r="A119" s="29"/>
      <c r="B119" s="29"/>
      <c r="C119" s="29"/>
      <c r="D119" s="29"/>
      <c r="E119" s="29"/>
      <c r="F119" s="29"/>
      <c r="G119" s="29"/>
      <c r="I119" s="29"/>
      <c r="J119" s="29"/>
      <c r="K119" s="19"/>
      <c r="L119" s="19"/>
      <c r="M119" s="30"/>
      <c r="N119" s="30"/>
      <c r="O119" s="32"/>
      <c r="P119" s="32"/>
      <c r="Q119" s="32"/>
      <c r="R119" s="32"/>
      <c r="S119" s="32"/>
    </row>
    <row r="120" spans="1:19" ht="16.5" customHeight="1">
      <c r="A120" s="29"/>
      <c r="B120" s="29"/>
      <c r="C120" s="29"/>
      <c r="D120" s="29"/>
      <c r="E120" s="29"/>
      <c r="F120" s="29"/>
      <c r="G120" s="29"/>
      <c r="I120" s="29"/>
      <c r="J120" s="29"/>
      <c r="K120" s="19"/>
      <c r="L120" s="19"/>
      <c r="M120" s="30"/>
      <c r="N120" s="30"/>
      <c r="O120" s="32"/>
      <c r="P120" s="32"/>
      <c r="Q120" s="32"/>
      <c r="R120" s="32"/>
      <c r="S120" s="32"/>
    </row>
    <row r="121" spans="1:19" ht="16.5" customHeight="1">
      <c r="A121" s="29"/>
      <c r="B121" s="29"/>
      <c r="C121" s="29"/>
      <c r="D121" s="29"/>
      <c r="E121" s="29"/>
      <c r="F121" s="29"/>
      <c r="G121" s="29"/>
      <c r="I121" s="29"/>
      <c r="J121" s="29"/>
      <c r="K121" s="19"/>
      <c r="L121" s="19"/>
      <c r="M121" s="30"/>
      <c r="N121" s="30"/>
      <c r="O121" s="32"/>
      <c r="P121" s="32"/>
      <c r="Q121" s="32"/>
      <c r="R121" s="32"/>
      <c r="S121" s="32"/>
    </row>
    <row r="122" spans="1:19" ht="16.5" customHeight="1">
      <c r="A122" s="29"/>
      <c r="B122" s="29"/>
      <c r="C122" s="29"/>
      <c r="D122" s="29"/>
      <c r="E122" s="29"/>
      <c r="F122" s="29"/>
      <c r="G122" s="29"/>
      <c r="I122" s="29"/>
      <c r="J122" s="29"/>
      <c r="K122" s="19"/>
      <c r="L122" s="19"/>
      <c r="M122" s="30"/>
      <c r="N122" s="30"/>
      <c r="O122" s="32"/>
      <c r="P122" s="32"/>
      <c r="Q122" s="32"/>
      <c r="R122" s="32"/>
      <c r="S122" s="32"/>
    </row>
    <row r="123" spans="1:19" ht="16.5" customHeight="1">
      <c r="A123" s="29"/>
      <c r="B123" s="29"/>
      <c r="C123" s="29"/>
      <c r="D123" s="29"/>
      <c r="E123" s="29"/>
      <c r="F123" s="29"/>
      <c r="G123" s="29"/>
      <c r="I123" s="29"/>
      <c r="J123" s="29"/>
      <c r="K123" s="19"/>
      <c r="L123" s="19"/>
      <c r="M123" s="30"/>
      <c r="N123" s="30"/>
      <c r="O123" s="32"/>
      <c r="P123" s="32"/>
      <c r="Q123" s="32"/>
      <c r="R123" s="32"/>
      <c r="S123" s="32"/>
    </row>
    <row r="124" spans="1:19" ht="16.5" customHeight="1">
      <c r="A124" s="29"/>
      <c r="B124" s="29"/>
      <c r="C124" s="29"/>
      <c r="D124" s="29"/>
      <c r="E124" s="29"/>
      <c r="F124" s="29"/>
      <c r="G124" s="29"/>
      <c r="I124" s="29"/>
      <c r="J124" s="29"/>
      <c r="K124" s="19"/>
      <c r="L124" s="19"/>
      <c r="M124" s="30"/>
      <c r="N124" s="30"/>
      <c r="O124" s="32"/>
      <c r="P124" s="32"/>
      <c r="Q124" s="32"/>
      <c r="R124" s="32"/>
      <c r="S124" s="32"/>
    </row>
    <row r="125" spans="1:19" ht="16.5" customHeight="1">
      <c r="A125" s="29"/>
      <c r="B125" s="29"/>
      <c r="C125" s="29"/>
      <c r="D125" s="29"/>
      <c r="E125" s="29"/>
      <c r="F125" s="29"/>
      <c r="G125" s="29"/>
      <c r="I125" s="29"/>
      <c r="J125" s="29"/>
      <c r="K125" s="19"/>
      <c r="L125" s="19"/>
      <c r="M125" s="30"/>
      <c r="N125" s="30"/>
      <c r="O125" s="32"/>
      <c r="P125" s="32"/>
      <c r="Q125" s="32"/>
      <c r="R125" s="32"/>
      <c r="S125" s="32"/>
    </row>
    <row r="126" spans="1:19" ht="16.5" customHeight="1">
      <c r="A126" s="29"/>
      <c r="B126" s="29"/>
      <c r="C126" s="29"/>
      <c r="D126" s="29"/>
      <c r="E126" s="29"/>
      <c r="F126" s="29"/>
      <c r="G126" s="29"/>
      <c r="I126" s="29"/>
      <c r="J126" s="29"/>
      <c r="K126" s="19"/>
      <c r="L126" s="19"/>
      <c r="M126" s="30"/>
      <c r="N126" s="30"/>
      <c r="O126" s="32"/>
      <c r="P126" s="32"/>
      <c r="Q126" s="32"/>
      <c r="R126" s="32"/>
      <c r="S126" s="32"/>
    </row>
    <row r="127" spans="1:19" ht="16.5" customHeight="1">
      <c r="A127" s="29"/>
      <c r="B127" s="29"/>
      <c r="C127" s="29"/>
      <c r="D127" s="29"/>
      <c r="E127" s="29"/>
      <c r="F127" s="29"/>
      <c r="G127" s="29"/>
      <c r="I127" s="29"/>
      <c r="J127" s="29"/>
      <c r="K127" s="19"/>
      <c r="L127" s="19"/>
      <c r="M127" s="30"/>
      <c r="N127" s="30"/>
      <c r="O127" s="32"/>
      <c r="P127" s="32"/>
      <c r="Q127" s="32"/>
      <c r="R127" s="32"/>
      <c r="S127" s="32"/>
    </row>
    <row r="128" spans="1:19" ht="16.5" customHeight="1">
      <c r="A128" s="29"/>
      <c r="B128" s="29"/>
      <c r="C128" s="29"/>
      <c r="D128" s="29"/>
      <c r="E128" s="29"/>
      <c r="F128" s="29"/>
      <c r="G128" s="29"/>
      <c r="I128" s="29"/>
      <c r="J128" s="29"/>
      <c r="K128" s="19"/>
      <c r="L128" s="19"/>
      <c r="M128" s="30"/>
      <c r="N128" s="30"/>
      <c r="O128" s="32"/>
      <c r="P128" s="32"/>
      <c r="Q128" s="32"/>
      <c r="R128" s="32"/>
      <c r="S128" s="32"/>
    </row>
    <row r="129" spans="1:19" ht="16.5" customHeight="1">
      <c r="A129" s="29"/>
      <c r="B129" s="29"/>
      <c r="C129" s="29"/>
      <c r="D129" s="29"/>
      <c r="E129" s="29"/>
      <c r="F129" s="29"/>
      <c r="G129" s="29"/>
      <c r="I129" s="29"/>
      <c r="J129" s="29"/>
      <c r="K129" s="19"/>
      <c r="L129" s="19"/>
      <c r="M129" s="30"/>
      <c r="N129" s="30"/>
      <c r="O129" s="32"/>
      <c r="P129" s="32"/>
      <c r="Q129" s="32"/>
      <c r="R129" s="32"/>
      <c r="S129" s="32"/>
    </row>
    <row r="130" spans="1:19" ht="16.5" customHeight="1">
      <c r="A130" s="29"/>
      <c r="B130" s="29"/>
      <c r="C130" s="29"/>
      <c r="D130" s="29"/>
      <c r="E130" s="29"/>
      <c r="F130" s="29"/>
      <c r="G130" s="29"/>
      <c r="I130" s="29"/>
      <c r="J130" s="29"/>
      <c r="K130" s="19"/>
      <c r="L130" s="19"/>
      <c r="M130" s="30"/>
      <c r="N130" s="30"/>
      <c r="O130" s="32"/>
      <c r="P130" s="32"/>
      <c r="Q130" s="32"/>
      <c r="R130" s="32"/>
      <c r="S130" s="32"/>
    </row>
    <row r="131" spans="1:19" ht="16.5" customHeight="1">
      <c r="A131" s="29"/>
      <c r="B131" s="29"/>
      <c r="C131" s="29"/>
      <c r="D131" s="29"/>
      <c r="E131" s="29"/>
      <c r="F131" s="29"/>
      <c r="G131" s="29"/>
      <c r="I131" s="29"/>
      <c r="J131" s="29"/>
      <c r="K131" s="19"/>
      <c r="L131" s="19"/>
      <c r="M131" s="30"/>
      <c r="N131" s="30"/>
      <c r="O131" s="32"/>
      <c r="P131" s="32"/>
      <c r="Q131" s="32"/>
      <c r="R131" s="32"/>
      <c r="S131" s="32"/>
    </row>
    <row r="132" spans="1:19" ht="16.5" customHeight="1">
      <c r="A132" s="29"/>
      <c r="B132" s="29"/>
      <c r="C132" s="29"/>
      <c r="D132" s="29"/>
      <c r="E132" s="29"/>
      <c r="F132" s="29"/>
      <c r="G132" s="29"/>
      <c r="I132" s="29"/>
      <c r="J132" s="29"/>
      <c r="K132" s="19"/>
      <c r="L132" s="19"/>
      <c r="M132" s="30"/>
      <c r="N132" s="30"/>
      <c r="O132" s="32"/>
      <c r="P132" s="32"/>
      <c r="Q132" s="32"/>
      <c r="R132" s="32"/>
      <c r="S132" s="32"/>
    </row>
    <row r="133" spans="1:19" ht="16.5" customHeight="1">
      <c r="A133" s="29"/>
      <c r="B133" s="29"/>
      <c r="C133" s="29"/>
      <c r="D133" s="29"/>
      <c r="E133" s="29"/>
      <c r="F133" s="29"/>
      <c r="G133" s="29"/>
      <c r="I133" s="29"/>
      <c r="J133" s="29"/>
      <c r="K133" s="19"/>
      <c r="L133" s="19"/>
      <c r="M133" s="30"/>
      <c r="N133" s="30"/>
      <c r="O133" s="32"/>
      <c r="P133" s="32"/>
      <c r="Q133" s="32"/>
      <c r="R133" s="32"/>
      <c r="S133" s="32"/>
    </row>
    <row r="134" spans="1:19" ht="16.5" customHeight="1">
      <c r="A134" s="29"/>
      <c r="B134" s="29"/>
      <c r="C134" s="29"/>
      <c r="D134" s="29"/>
      <c r="E134" s="29"/>
      <c r="F134" s="29"/>
      <c r="G134" s="29"/>
      <c r="I134" s="29"/>
      <c r="J134" s="29"/>
      <c r="K134" s="19"/>
      <c r="L134" s="19"/>
      <c r="M134" s="30"/>
      <c r="N134" s="30"/>
      <c r="O134" s="32"/>
      <c r="P134" s="32"/>
      <c r="Q134" s="32"/>
      <c r="R134" s="32"/>
      <c r="S134" s="32"/>
    </row>
    <row r="135" spans="1:19" ht="16.5" customHeight="1">
      <c r="A135" s="29"/>
      <c r="B135" s="29"/>
      <c r="C135" s="29"/>
      <c r="D135" s="29"/>
      <c r="E135" s="29"/>
      <c r="F135" s="29"/>
      <c r="G135" s="29"/>
      <c r="I135" s="29"/>
      <c r="J135" s="29"/>
      <c r="K135" s="19"/>
      <c r="L135" s="19"/>
      <c r="M135" s="30"/>
      <c r="N135" s="30"/>
      <c r="O135" s="32"/>
      <c r="P135" s="32"/>
      <c r="Q135" s="32"/>
      <c r="R135" s="32"/>
      <c r="S135" s="32"/>
    </row>
    <row r="136" spans="1:19" ht="16.5" customHeight="1">
      <c r="A136" s="29"/>
      <c r="B136" s="29"/>
      <c r="C136" s="29"/>
      <c r="D136" s="29"/>
      <c r="E136" s="29"/>
      <c r="F136" s="29"/>
      <c r="G136" s="29"/>
      <c r="I136" s="29"/>
      <c r="J136" s="29"/>
      <c r="K136" s="19"/>
      <c r="L136" s="19"/>
      <c r="M136" s="30"/>
      <c r="N136" s="30"/>
      <c r="O136" s="32"/>
      <c r="P136" s="32"/>
      <c r="Q136" s="32"/>
      <c r="R136" s="32"/>
      <c r="S136" s="32"/>
    </row>
    <row r="137" spans="1:19" ht="16.5" customHeight="1">
      <c r="A137" s="29"/>
      <c r="B137" s="29"/>
      <c r="C137" s="29"/>
      <c r="D137" s="29"/>
      <c r="E137" s="29"/>
      <c r="F137" s="29"/>
      <c r="G137" s="29"/>
      <c r="I137" s="29"/>
      <c r="J137" s="29"/>
      <c r="K137" s="19"/>
      <c r="L137" s="19"/>
      <c r="M137" s="30"/>
      <c r="N137" s="30"/>
      <c r="O137" s="32"/>
      <c r="P137" s="32"/>
      <c r="Q137" s="32"/>
      <c r="R137" s="32"/>
      <c r="S137" s="32"/>
    </row>
    <row r="138" spans="1:19" ht="16.5" customHeight="1">
      <c r="A138" s="29"/>
      <c r="B138" s="29"/>
      <c r="C138" s="29"/>
      <c r="D138" s="29"/>
      <c r="E138" s="29"/>
      <c r="F138" s="29"/>
      <c r="G138" s="29"/>
      <c r="I138" s="29"/>
      <c r="J138" s="29"/>
      <c r="K138" s="19"/>
      <c r="L138" s="19"/>
      <c r="M138" s="30"/>
      <c r="N138" s="30"/>
      <c r="O138" s="32"/>
      <c r="P138" s="32"/>
      <c r="Q138" s="32"/>
      <c r="R138" s="32"/>
      <c r="S138" s="32"/>
    </row>
    <row r="139" spans="1:19" ht="16.5" customHeight="1">
      <c r="A139" s="29"/>
      <c r="B139" s="29"/>
      <c r="C139" s="29"/>
      <c r="D139" s="29"/>
      <c r="E139" s="29"/>
      <c r="F139" s="29"/>
      <c r="G139" s="29"/>
      <c r="I139" s="29"/>
      <c r="J139" s="29"/>
      <c r="K139" s="19"/>
      <c r="L139" s="19"/>
      <c r="M139" s="30"/>
      <c r="N139" s="30"/>
      <c r="O139" s="32"/>
      <c r="P139" s="32"/>
      <c r="Q139" s="32"/>
      <c r="R139" s="32"/>
      <c r="S139" s="32"/>
    </row>
    <row r="140" spans="1:19" ht="16.5" customHeight="1">
      <c r="A140" s="29"/>
      <c r="B140" s="29"/>
      <c r="C140" s="29"/>
      <c r="D140" s="29"/>
      <c r="E140" s="29"/>
      <c r="F140" s="29"/>
      <c r="G140" s="29"/>
      <c r="I140" s="29"/>
      <c r="J140" s="29"/>
      <c r="K140" s="19"/>
      <c r="L140" s="19"/>
      <c r="M140" s="30"/>
      <c r="N140" s="30"/>
      <c r="O140" s="32"/>
      <c r="P140" s="32"/>
      <c r="Q140" s="32"/>
      <c r="R140" s="32"/>
      <c r="S140" s="32"/>
    </row>
    <row r="141" spans="1:19" ht="16.5" customHeight="1">
      <c r="A141" s="29"/>
      <c r="B141" s="29"/>
      <c r="C141" s="29"/>
      <c r="D141" s="29"/>
      <c r="E141" s="29"/>
      <c r="F141" s="29"/>
      <c r="G141" s="29"/>
      <c r="I141" s="29"/>
      <c r="J141" s="29"/>
      <c r="K141" s="19"/>
      <c r="L141" s="19"/>
      <c r="M141" s="30"/>
      <c r="N141" s="31"/>
      <c r="O141" s="32"/>
      <c r="P141" s="32"/>
      <c r="Q141" s="32"/>
      <c r="R141" s="32"/>
      <c r="S141" s="32"/>
    </row>
    <row r="142" spans="1:19" ht="16.5" customHeight="1">
      <c r="A142" s="29"/>
      <c r="B142" s="29"/>
      <c r="C142" s="29"/>
      <c r="D142" s="29"/>
      <c r="E142" s="29"/>
      <c r="F142" s="29"/>
      <c r="G142" s="29"/>
      <c r="I142" s="29"/>
      <c r="J142" s="29"/>
      <c r="K142" s="19"/>
      <c r="L142" s="19"/>
      <c r="M142" s="30"/>
      <c r="N142" s="30"/>
      <c r="O142" s="32"/>
      <c r="P142" s="32"/>
      <c r="Q142" s="32"/>
      <c r="R142" s="32"/>
      <c r="S142" s="32"/>
    </row>
    <row r="143" spans="1:19" ht="16.5" customHeight="1">
      <c r="A143" s="29"/>
      <c r="B143" s="29"/>
      <c r="C143" s="29"/>
      <c r="D143" s="29"/>
      <c r="E143" s="29"/>
      <c r="F143" s="29"/>
      <c r="G143" s="29"/>
      <c r="I143" s="29"/>
      <c r="J143" s="29"/>
      <c r="K143" s="19"/>
      <c r="L143" s="19"/>
      <c r="M143" s="30"/>
      <c r="N143" s="30"/>
      <c r="O143" s="32"/>
      <c r="P143" s="32"/>
      <c r="Q143" s="32"/>
      <c r="R143" s="32"/>
      <c r="S143" s="32"/>
    </row>
    <row r="144" spans="1:19" ht="16.5" customHeight="1">
      <c r="A144" s="29"/>
      <c r="B144" s="29"/>
      <c r="C144" s="29"/>
      <c r="D144" s="29"/>
      <c r="E144" s="29"/>
      <c r="F144" s="29"/>
      <c r="G144" s="29"/>
      <c r="I144" s="29"/>
      <c r="J144" s="29"/>
      <c r="K144" s="19"/>
      <c r="L144" s="19"/>
      <c r="M144" s="30"/>
      <c r="N144" s="30"/>
      <c r="O144" s="32"/>
      <c r="P144" s="32"/>
      <c r="Q144" s="32"/>
      <c r="R144" s="32"/>
      <c r="S144" s="32"/>
    </row>
    <row r="145" spans="1:19" ht="16.5" customHeight="1">
      <c r="A145" s="29"/>
      <c r="B145" s="29"/>
      <c r="C145" s="29"/>
      <c r="D145" s="29"/>
      <c r="E145" s="29"/>
      <c r="F145" s="29"/>
      <c r="G145" s="29"/>
      <c r="I145" s="29"/>
      <c r="J145" s="29"/>
      <c r="K145" s="19"/>
      <c r="L145" s="19"/>
      <c r="M145" s="30"/>
      <c r="N145" s="30"/>
      <c r="O145" s="32"/>
      <c r="P145" s="32"/>
      <c r="Q145" s="32"/>
      <c r="R145" s="32"/>
      <c r="S145" s="32"/>
    </row>
    <row r="146" spans="1:19" ht="16.5" customHeight="1">
      <c r="A146" s="29"/>
      <c r="B146" s="29"/>
      <c r="C146" s="29"/>
      <c r="D146" s="29"/>
      <c r="E146" s="29"/>
      <c r="F146" s="29"/>
      <c r="G146" s="29"/>
      <c r="I146" s="29"/>
      <c r="J146" s="29"/>
      <c r="K146" s="19"/>
      <c r="L146" s="19"/>
      <c r="M146" s="30"/>
      <c r="N146" s="30"/>
      <c r="O146" s="32"/>
      <c r="P146" s="32"/>
      <c r="Q146" s="32"/>
      <c r="R146" s="32"/>
      <c r="S146" s="32"/>
    </row>
    <row r="147" spans="1:19" ht="16.5" customHeight="1">
      <c r="A147" s="29"/>
      <c r="B147" s="29"/>
      <c r="C147" s="29"/>
      <c r="D147" s="29"/>
      <c r="E147" s="29"/>
      <c r="F147" s="29"/>
      <c r="G147" s="29"/>
      <c r="I147" s="29"/>
      <c r="J147" s="29"/>
      <c r="K147" s="19"/>
      <c r="L147" s="19"/>
      <c r="M147" s="30"/>
      <c r="N147" s="30"/>
      <c r="O147" s="32"/>
      <c r="P147" s="32"/>
      <c r="Q147" s="32"/>
      <c r="R147" s="32"/>
      <c r="S147" s="32"/>
    </row>
    <row r="148" spans="1:19" ht="16.5" customHeight="1">
      <c r="A148" s="29"/>
      <c r="B148" s="29"/>
      <c r="C148" s="29"/>
      <c r="D148" s="29"/>
      <c r="E148" s="29"/>
      <c r="F148" s="29"/>
      <c r="G148" s="29"/>
      <c r="I148" s="29"/>
      <c r="J148" s="29"/>
      <c r="K148" s="19"/>
      <c r="L148" s="19"/>
      <c r="M148" s="30"/>
      <c r="N148" s="30"/>
      <c r="O148" s="32"/>
      <c r="P148" s="32"/>
      <c r="Q148" s="32"/>
      <c r="R148" s="32"/>
      <c r="S148" s="32"/>
    </row>
    <row r="149" spans="1:19" ht="16.5" customHeight="1">
      <c r="A149" s="29"/>
      <c r="B149" s="29"/>
      <c r="C149" s="29"/>
      <c r="D149" s="29"/>
      <c r="E149" s="29"/>
      <c r="F149" s="29"/>
      <c r="G149" s="29"/>
      <c r="I149" s="29"/>
      <c r="J149" s="29"/>
      <c r="K149" s="19"/>
      <c r="L149" s="19"/>
      <c r="M149" s="30"/>
      <c r="N149" s="30"/>
      <c r="O149" s="32"/>
      <c r="P149" s="32"/>
      <c r="Q149" s="32"/>
      <c r="R149" s="32"/>
      <c r="S149" s="32"/>
    </row>
    <row r="150" spans="1:19" ht="16.5" customHeight="1">
      <c r="A150" s="29"/>
      <c r="B150" s="29"/>
      <c r="C150" s="29"/>
      <c r="D150" s="29"/>
      <c r="E150" s="29"/>
      <c r="F150" s="29"/>
      <c r="G150" s="29"/>
      <c r="I150" s="29"/>
      <c r="J150" s="29"/>
      <c r="K150" s="19"/>
      <c r="L150" s="19"/>
      <c r="M150" s="30"/>
      <c r="N150" s="30"/>
      <c r="O150" s="32"/>
      <c r="P150" s="32"/>
      <c r="Q150" s="32"/>
      <c r="R150" s="32"/>
      <c r="S150" s="32"/>
    </row>
    <row r="151" spans="1:19" ht="16.5" customHeight="1">
      <c r="A151" s="29"/>
      <c r="B151" s="29"/>
      <c r="C151" s="29"/>
      <c r="D151" s="29"/>
      <c r="E151" s="29"/>
      <c r="F151" s="29"/>
      <c r="G151" s="29"/>
      <c r="I151" s="29"/>
      <c r="J151" s="29"/>
      <c r="K151" s="19"/>
      <c r="L151" s="19"/>
      <c r="M151" s="30"/>
      <c r="N151" s="30"/>
      <c r="O151" s="32"/>
      <c r="P151" s="32"/>
      <c r="Q151" s="32"/>
      <c r="R151" s="32"/>
      <c r="S151" s="32"/>
    </row>
    <row r="152" spans="1:19" ht="16.5" customHeight="1">
      <c r="A152" s="29"/>
      <c r="B152" s="29"/>
      <c r="C152" s="29"/>
      <c r="D152" s="29"/>
      <c r="E152" s="29"/>
      <c r="F152" s="29"/>
      <c r="G152" s="29"/>
      <c r="I152" s="29"/>
      <c r="J152" s="29"/>
      <c r="K152" s="19"/>
      <c r="L152" s="19"/>
      <c r="M152" s="30"/>
      <c r="N152" s="30"/>
      <c r="O152" s="32"/>
      <c r="P152" s="32"/>
      <c r="Q152" s="32"/>
      <c r="R152" s="32"/>
      <c r="S152" s="32"/>
    </row>
    <row r="153" spans="1:19" ht="16.5" customHeight="1">
      <c r="A153" s="29"/>
      <c r="B153" s="29"/>
      <c r="C153" s="29"/>
      <c r="D153" s="29"/>
      <c r="E153" s="29"/>
      <c r="F153" s="29"/>
      <c r="G153" s="29"/>
      <c r="I153" s="29"/>
      <c r="J153" s="29"/>
      <c r="K153" s="19"/>
      <c r="L153" s="19"/>
      <c r="M153" s="30"/>
      <c r="N153" s="30"/>
      <c r="O153" s="32"/>
      <c r="P153" s="32"/>
      <c r="Q153" s="32"/>
      <c r="R153" s="32"/>
      <c r="S153" s="32"/>
    </row>
    <row r="154" spans="1:19" ht="16.5" customHeight="1">
      <c r="A154" s="29"/>
      <c r="B154" s="29"/>
      <c r="C154" s="29"/>
      <c r="D154" s="29"/>
      <c r="E154" s="29"/>
      <c r="F154" s="29"/>
      <c r="G154" s="29"/>
      <c r="I154" s="29"/>
      <c r="J154" s="29"/>
      <c r="K154" s="19"/>
      <c r="M154" s="30"/>
      <c r="N154" s="30"/>
      <c r="O154" s="32"/>
      <c r="P154" s="32"/>
      <c r="Q154" s="32"/>
      <c r="R154" s="32"/>
      <c r="S154" s="32"/>
    </row>
    <row r="155" spans="1:19" ht="16.5" customHeight="1">
      <c r="A155" s="29"/>
      <c r="B155" s="29"/>
      <c r="C155" s="29"/>
      <c r="D155" s="29"/>
      <c r="E155" s="29"/>
      <c r="F155" s="29"/>
      <c r="G155" s="29"/>
      <c r="I155" s="29"/>
      <c r="J155" s="29"/>
      <c r="K155" s="19"/>
      <c r="M155" s="30"/>
      <c r="N155" s="30"/>
      <c r="O155" s="32"/>
      <c r="P155" s="32"/>
      <c r="Q155" s="32"/>
      <c r="R155" s="32"/>
      <c r="S155" s="32"/>
    </row>
    <row r="156" spans="1:19" ht="16.5" customHeight="1">
      <c r="A156" s="29"/>
      <c r="B156" s="29"/>
      <c r="C156" s="29"/>
      <c r="D156" s="29"/>
      <c r="E156" s="29"/>
      <c r="F156" s="29"/>
      <c r="G156" s="29"/>
      <c r="I156" s="29"/>
      <c r="J156" s="29"/>
      <c r="K156" s="19"/>
      <c r="M156" s="30"/>
      <c r="N156" s="30"/>
      <c r="O156" s="32"/>
      <c r="P156" s="32"/>
      <c r="Q156" s="32"/>
      <c r="R156" s="32"/>
      <c r="S156" s="32"/>
    </row>
    <row r="157" spans="1:19" ht="16.5" customHeight="1">
      <c r="A157" s="29"/>
      <c r="B157" s="29"/>
      <c r="C157" s="29"/>
      <c r="D157" s="29"/>
      <c r="E157" s="29"/>
      <c r="F157" s="29"/>
      <c r="G157" s="29"/>
      <c r="I157" s="29"/>
      <c r="J157" s="29"/>
      <c r="K157" s="19"/>
      <c r="M157" s="30"/>
      <c r="N157" s="30"/>
      <c r="O157" s="32"/>
      <c r="P157" s="32"/>
      <c r="Q157" s="32"/>
      <c r="R157" s="32"/>
      <c r="S157" s="32"/>
    </row>
    <row r="158" spans="1:19" ht="16.5" customHeight="1">
      <c r="A158" s="29"/>
      <c r="B158" s="29"/>
      <c r="C158" s="29"/>
      <c r="D158" s="29"/>
      <c r="E158" s="29"/>
      <c r="F158" s="29"/>
      <c r="G158" s="29"/>
      <c r="I158" s="29"/>
      <c r="J158" s="29"/>
      <c r="K158" s="19"/>
      <c r="M158" s="30"/>
      <c r="N158" s="30"/>
      <c r="O158" s="32"/>
      <c r="P158" s="32"/>
      <c r="Q158" s="32"/>
      <c r="R158" s="32"/>
      <c r="S158" s="32"/>
    </row>
    <row r="159" spans="1:19" ht="16.5" customHeight="1">
      <c r="A159" s="29"/>
      <c r="B159" s="29"/>
      <c r="C159" s="29"/>
      <c r="D159" s="29"/>
      <c r="E159" s="29"/>
      <c r="F159" s="29"/>
      <c r="G159" s="29"/>
      <c r="I159" s="29"/>
      <c r="J159" s="29"/>
      <c r="K159" s="19"/>
      <c r="L159" s="19"/>
      <c r="M159" s="30"/>
      <c r="N159" s="30"/>
      <c r="O159" s="32"/>
      <c r="P159" s="32"/>
      <c r="Q159" s="32"/>
      <c r="R159" s="32"/>
      <c r="S159" s="32"/>
    </row>
    <row r="160" spans="1:19" ht="16.5" customHeight="1">
      <c r="A160" s="29"/>
      <c r="B160" s="29"/>
      <c r="C160" s="29"/>
      <c r="D160" s="29"/>
      <c r="E160" s="29"/>
      <c r="F160" s="29"/>
      <c r="G160" s="29"/>
      <c r="I160" s="29"/>
      <c r="J160" s="29"/>
      <c r="K160" s="19"/>
      <c r="L160" s="19"/>
      <c r="M160" s="30"/>
      <c r="N160" s="30"/>
      <c r="O160" s="32"/>
      <c r="P160" s="32"/>
      <c r="Q160" s="32"/>
      <c r="R160" s="32"/>
      <c r="S160" s="32"/>
    </row>
    <row r="161" spans="1:19" ht="16.5" customHeight="1">
      <c r="A161" s="29"/>
      <c r="B161" s="29"/>
      <c r="C161" s="29"/>
      <c r="D161" s="29"/>
      <c r="E161" s="29"/>
      <c r="F161" s="29"/>
      <c r="G161" s="29"/>
      <c r="I161" s="29"/>
      <c r="J161" s="29"/>
      <c r="K161" s="19"/>
      <c r="L161" s="19"/>
      <c r="M161" s="30"/>
      <c r="N161" s="30"/>
      <c r="O161" s="32"/>
      <c r="P161" s="32"/>
      <c r="Q161" s="32"/>
      <c r="R161" s="32"/>
      <c r="S161" s="32"/>
    </row>
    <row r="162" spans="1:19" ht="16.5" customHeight="1">
      <c r="A162" s="29"/>
      <c r="B162" s="29"/>
      <c r="C162" s="29"/>
      <c r="D162" s="29"/>
      <c r="E162" s="29"/>
      <c r="F162" s="29"/>
      <c r="G162" s="29"/>
      <c r="I162" s="29"/>
      <c r="J162" s="29"/>
      <c r="K162" s="19"/>
      <c r="L162" s="19"/>
      <c r="M162" s="30"/>
      <c r="N162" s="31"/>
      <c r="O162" s="32"/>
      <c r="P162" s="32"/>
      <c r="Q162" s="32"/>
      <c r="R162" s="32"/>
      <c r="S162" s="32"/>
    </row>
    <row r="163" spans="1:19" ht="16.5" customHeight="1">
      <c r="A163" s="29"/>
      <c r="B163" s="29"/>
      <c r="C163" s="29"/>
      <c r="D163" s="29"/>
      <c r="E163" s="29"/>
      <c r="F163" s="29"/>
      <c r="G163" s="29"/>
      <c r="I163" s="29"/>
      <c r="J163" s="29"/>
      <c r="K163" s="19"/>
      <c r="L163" s="19"/>
      <c r="M163" s="30"/>
      <c r="N163" s="31"/>
      <c r="O163" s="32"/>
      <c r="P163" s="32"/>
      <c r="Q163" s="32"/>
      <c r="R163" s="32"/>
      <c r="S163" s="32"/>
    </row>
    <row r="164" spans="1:19" ht="16.5" customHeight="1">
      <c r="A164" s="29"/>
      <c r="B164" s="29"/>
      <c r="C164" s="29"/>
      <c r="D164" s="29"/>
      <c r="E164" s="29"/>
      <c r="F164" s="29"/>
      <c r="G164" s="29"/>
      <c r="I164" s="29"/>
      <c r="J164" s="29"/>
      <c r="K164" s="19"/>
      <c r="M164" s="30"/>
      <c r="N164" s="30"/>
      <c r="O164" s="32"/>
      <c r="P164" s="32"/>
      <c r="Q164" s="32"/>
      <c r="R164" s="32"/>
      <c r="S164" s="32"/>
    </row>
    <row r="165" spans="1:19" ht="16.5" customHeight="1">
      <c r="A165" s="29"/>
      <c r="B165" s="29"/>
      <c r="C165" s="29"/>
      <c r="D165" s="29"/>
      <c r="E165" s="29"/>
      <c r="F165" s="29"/>
      <c r="G165" s="29"/>
      <c r="I165" s="29"/>
      <c r="J165" s="29"/>
      <c r="K165" s="19"/>
      <c r="M165" s="30"/>
      <c r="N165" s="30"/>
      <c r="O165" s="32"/>
      <c r="P165" s="32"/>
      <c r="Q165" s="32"/>
      <c r="R165" s="32"/>
      <c r="S165" s="32"/>
    </row>
    <row r="166" spans="1:19" ht="16.5" customHeight="1">
      <c r="A166" s="29"/>
      <c r="B166" s="29"/>
      <c r="C166" s="29"/>
      <c r="D166" s="29"/>
      <c r="E166" s="29"/>
      <c r="F166" s="29"/>
      <c r="G166" s="29"/>
      <c r="I166" s="29"/>
      <c r="J166" s="29"/>
      <c r="K166" s="19"/>
      <c r="M166" s="30"/>
      <c r="N166" s="30"/>
      <c r="O166" s="32"/>
      <c r="P166" s="32"/>
      <c r="Q166" s="32"/>
      <c r="R166" s="32"/>
      <c r="S166" s="32"/>
    </row>
    <row r="167" spans="1:19" ht="16.5" customHeight="1">
      <c r="A167" s="29"/>
      <c r="B167" s="29"/>
      <c r="C167" s="29"/>
      <c r="D167" s="29"/>
      <c r="E167" s="29"/>
      <c r="F167" s="29"/>
      <c r="G167" s="29"/>
      <c r="I167" s="29"/>
      <c r="J167" s="29"/>
      <c r="K167" s="19"/>
      <c r="L167" s="19"/>
      <c r="M167" s="30"/>
      <c r="N167" s="31"/>
      <c r="O167" s="32"/>
      <c r="P167" s="32"/>
      <c r="Q167" s="32"/>
      <c r="R167" s="32"/>
      <c r="S167" s="32"/>
    </row>
    <row r="168" spans="1:19" ht="16.5" customHeight="1">
      <c r="A168" s="29"/>
      <c r="B168" s="29"/>
      <c r="C168" s="29"/>
      <c r="D168" s="29"/>
      <c r="E168" s="29"/>
      <c r="F168" s="29"/>
      <c r="G168" s="29"/>
      <c r="I168" s="29"/>
      <c r="J168" s="29"/>
      <c r="K168" s="19"/>
      <c r="L168" s="19"/>
      <c r="M168" s="30"/>
      <c r="N168" s="30"/>
      <c r="O168" s="32"/>
      <c r="P168" s="32"/>
      <c r="Q168" s="32"/>
      <c r="R168" s="32"/>
      <c r="S168" s="32"/>
    </row>
    <row r="169" spans="1:19" ht="16.5" customHeight="1">
      <c r="A169" s="29"/>
      <c r="B169" s="29"/>
      <c r="C169" s="29"/>
      <c r="D169" s="29"/>
      <c r="E169" s="29"/>
      <c r="F169" s="29"/>
      <c r="G169" s="29"/>
      <c r="I169" s="29"/>
      <c r="J169" s="29"/>
      <c r="K169" s="19"/>
      <c r="L169" s="19"/>
      <c r="M169" s="30"/>
      <c r="N169" s="30"/>
      <c r="O169" s="32"/>
      <c r="P169" s="32"/>
      <c r="Q169" s="32"/>
      <c r="R169" s="32"/>
      <c r="S169" s="32"/>
    </row>
    <row r="170" spans="1:19" ht="16.5" customHeight="1">
      <c r="A170" s="29"/>
      <c r="B170" s="29"/>
      <c r="C170" s="29"/>
      <c r="D170" s="29"/>
      <c r="E170" s="29"/>
      <c r="F170" s="29"/>
      <c r="G170" s="29"/>
      <c r="I170" s="29"/>
      <c r="J170" s="29"/>
      <c r="K170" s="19"/>
      <c r="L170" s="19"/>
      <c r="M170" s="30"/>
      <c r="N170" s="30"/>
      <c r="O170" s="32"/>
      <c r="P170" s="32"/>
      <c r="Q170" s="32"/>
      <c r="R170" s="32"/>
      <c r="S170" s="32"/>
    </row>
    <row r="171" spans="1:19" ht="16.5" customHeight="1">
      <c r="A171" s="29"/>
      <c r="B171" s="29"/>
      <c r="C171" s="29"/>
      <c r="D171" s="29"/>
      <c r="E171" s="29"/>
      <c r="F171" s="29"/>
      <c r="G171" s="29"/>
      <c r="I171" s="29"/>
      <c r="J171" s="29"/>
      <c r="K171" s="19"/>
      <c r="L171" s="19"/>
      <c r="M171" s="30"/>
      <c r="N171" s="30"/>
      <c r="O171" s="32"/>
      <c r="P171" s="32"/>
      <c r="Q171" s="32"/>
      <c r="R171" s="32"/>
      <c r="S171" s="32"/>
    </row>
    <row r="172" spans="1:19" ht="16.5" customHeight="1">
      <c r="A172" s="29"/>
      <c r="B172" s="29"/>
      <c r="C172" s="29"/>
      <c r="D172" s="29"/>
      <c r="E172" s="29"/>
      <c r="F172" s="29"/>
      <c r="G172" s="29"/>
      <c r="I172" s="29"/>
      <c r="J172" s="29"/>
      <c r="K172" s="19"/>
      <c r="L172" s="19"/>
      <c r="M172" s="30"/>
      <c r="N172" s="30"/>
      <c r="O172" s="32"/>
      <c r="P172" s="32"/>
      <c r="Q172" s="32"/>
      <c r="R172" s="32"/>
      <c r="S172" s="32"/>
    </row>
    <row r="173" spans="1:19" ht="16.5" customHeight="1">
      <c r="A173" s="29"/>
      <c r="B173" s="29"/>
      <c r="C173" s="29"/>
      <c r="D173" s="29"/>
      <c r="E173" s="29"/>
      <c r="F173" s="29"/>
      <c r="G173" s="29"/>
      <c r="I173" s="29"/>
      <c r="J173" s="29"/>
      <c r="K173" s="19"/>
      <c r="M173" s="30"/>
      <c r="N173" s="30"/>
      <c r="O173" s="32"/>
      <c r="P173" s="32"/>
      <c r="Q173" s="32"/>
      <c r="R173" s="32"/>
      <c r="S173" s="32"/>
    </row>
    <row r="174" spans="1:19" ht="16.5" customHeight="1">
      <c r="A174" s="29"/>
      <c r="B174" s="29"/>
      <c r="C174" s="29"/>
      <c r="D174" s="29"/>
      <c r="E174" s="29"/>
      <c r="F174" s="29"/>
      <c r="G174" s="29"/>
      <c r="I174" s="29"/>
      <c r="J174" s="29"/>
      <c r="K174" s="19"/>
      <c r="M174" s="30"/>
      <c r="N174" s="30"/>
      <c r="O174" s="32"/>
      <c r="P174" s="32"/>
      <c r="Q174" s="32"/>
      <c r="R174" s="32"/>
      <c r="S174" s="32"/>
    </row>
    <row r="175" spans="1:19" ht="16.5" customHeight="1">
      <c r="A175" s="29"/>
      <c r="B175" s="29"/>
      <c r="C175" s="29"/>
      <c r="D175" s="29"/>
      <c r="E175" s="29"/>
      <c r="F175" s="29"/>
      <c r="G175" s="29"/>
      <c r="I175" s="29"/>
      <c r="J175" s="29"/>
      <c r="K175" s="19"/>
      <c r="L175" s="19"/>
      <c r="M175" s="30"/>
      <c r="N175" s="30"/>
      <c r="O175" s="32"/>
      <c r="P175" s="32"/>
      <c r="Q175" s="32"/>
      <c r="R175" s="32"/>
      <c r="S175" s="32"/>
    </row>
    <row r="176" spans="1:19" ht="16.5" customHeight="1">
      <c r="A176" s="29"/>
      <c r="B176" s="29"/>
      <c r="C176" s="29"/>
      <c r="D176" s="29"/>
      <c r="E176" s="29"/>
      <c r="F176" s="29"/>
      <c r="G176" s="29"/>
      <c r="I176" s="29"/>
      <c r="J176" s="29"/>
      <c r="K176" s="19"/>
      <c r="M176" s="30"/>
      <c r="N176" s="30"/>
      <c r="O176" s="32"/>
      <c r="P176" s="32"/>
      <c r="Q176" s="32"/>
      <c r="R176" s="32"/>
      <c r="S176" s="32"/>
    </row>
    <row r="177" spans="1:19" ht="16.5" customHeight="1">
      <c r="A177" s="29"/>
      <c r="B177" s="29"/>
      <c r="C177" s="29"/>
      <c r="D177" s="29"/>
      <c r="E177" s="29"/>
      <c r="F177" s="29"/>
      <c r="G177" s="29"/>
      <c r="I177" s="29"/>
      <c r="J177" s="29"/>
      <c r="K177" s="19"/>
      <c r="M177" s="30"/>
      <c r="N177" s="30"/>
      <c r="O177" s="32"/>
      <c r="P177" s="32"/>
      <c r="Q177" s="32"/>
      <c r="R177" s="32"/>
      <c r="S177" s="32"/>
    </row>
    <row r="178" spans="1:19" ht="16.5" customHeight="1">
      <c r="A178" s="29"/>
      <c r="B178" s="29"/>
      <c r="C178" s="29"/>
      <c r="D178" s="29"/>
      <c r="E178" s="29"/>
      <c r="F178" s="29"/>
      <c r="G178" s="29"/>
      <c r="I178" s="29"/>
      <c r="J178" s="29"/>
      <c r="K178" s="19"/>
      <c r="M178" s="30"/>
      <c r="N178" s="30"/>
      <c r="O178" s="32"/>
      <c r="P178" s="32"/>
      <c r="Q178" s="32"/>
      <c r="R178" s="32"/>
      <c r="S178" s="32"/>
    </row>
    <row r="179" spans="1:19" ht="16.5" customHeight="1">
      <c r="A179" s="29"/>
      <c r="B179" s="29"/>
      <c r="C179" s="29"/>
      <c r="D179" s="29"/>
      <c r="E179" s="29"/>
      <c r="F179" s="29"/>
      <c r="G179" s="29"/>
      <c r="I179" s="29"/>
      <c r="J179" s="29"/>
      <c r="K179" s="19"/>
      <c r="M179" s="30"/>
      <c r="N179" s="30"/>
      <c r="O179" s="32"/>
      <c r="P179" s="32"/>
      <c r="Q179" s="32"/>
      <c r="R179" s="32"/>
      <c r="S179" s="32"/>
    </row>
    <row r="180" spans="1:19" ht="16.5" customHeight="1">
      <c r="A180" s="29"/>
      <c r="B180" s="29"/>
      <c r="C180" s="29"/>
      <c r="D180" s="29"/>
      <c r="E180" s="29"/>
      <c r="F180" s="29"/>
      <c r="G180" s="29"/>
      <c r="I180" s="29"/>
      <c r="J180" s="29"/>
      <c r="K180" s="19"/>
      <c r="M180" s="30"/>
      <c r="N180" s="30"/>
      <c r="O180" s="32"/>
      <c r="P180" s="32"/>
      <c r="Q180" s="32"/>
      <c r="R180" s="32"/>
      <c r="S180" s="32"/>
    </row>
    <row r="181" spans="1:19" ht="16.5" customHeight="1">
      <c r="A181" s="29"/>
      <c r="B181" s="29"/>
      <c r="C181" s="29"/>
      <c r="D181" s="29"/>
      <c r="E181" s="29"/>
      <c r="F181" s="29"/>
      <c r="G181" s="29"/>
      <c r="I181" s="29"/>
      <c r="J181" s="29"/>
      <c r="K181" s="19"/>
      <c r="M181" s="30"/>
      <c r="N181" s="30"/>
      <c r="O181" s="32"/>
      <c r="P181" s="32"/>
      <c r="Q181" s="32"/>
      <c r="R181" s="32"/>
      <c r="S181" s="32"/>
    </row>
    <row r="182" spans="1:19" ht="16.5" customHeight="1">
      <c r="A182" s="29"/>
      <c r="B182" s="29"/>
      <c r="C182" s="29"/>
      <c r="D182" s="29"/>
      <c r="E182" s="29"/>
      <c r="F182" s="29"/>
      <c r="G182" s="29"/>
      <c r="I182" s="29"/>
      <c r="J182" s="29"/>
      <c r="K182" s="19"/>
      <c r="M182" s="30"/>
      <c r="N182" s="30"/>
      <c r="O182" s="32"/>
      <c r="P182" s="32"/>
      <c r="Q182" s="32"/>
      <c r="R182" s="32"/>
      <c r="S182" s="32"/>
    </row>
    <row r="183" spans="1:19" ht="16.5" customHeight="1">
      <c r="A183" s="29"/>
      <c r="B183" s="29"/>
      <c r="C183" s="29"/>
      <c r="D183" s="29"/>
      <c r="E183" s="29"/>
      <c r="F183" s="29"/>
      <c r="G183" s="29"/>
      <c r="I183" s="29"/>
      <c r="J183" s="29"/>
      <c r="K183" s="19"/>
      <c r="M183" s="30"/>
      <c r="N183" s="30"/>
      <c r="O183" s="32"/>
      <c r="P183" s="32"/>
      <c r="Q183" s="32"/>
      <c r="R183" s="32"/>
      <c r="S183" s="32"/>
    </row>
    <row r="184" spans="1:19" ht="16.5" customHeight="1">
      <c r="A184" s="29"/>
      <c r="B184" s="29"/>
      <c r="C184" s="29"/>
      <c r="D184" s="29"/>
      <c r="E184" s="29"/>
      <c r="F184" s="29"/>
      <c r="G184" s="29"/>
      <c r="I184" s="29"/>
      <c r="J184" s="29"/>
      <c r="K184" s="19"/>
      <c r="M184" s="30"/>
      <c r="N184" s="30"/>
      <c r="O184" s="32"/>
      <c r="P184" s="32"/>
      <c r="Q184" s="32"/>
      <c r="R184" s="32"/>
      <c r="S184" s="32"/>
    </row>
    <row r="185" spans="1:19" ht="16.5" customHeight="1">
      <c r="A185" s="29"/>
      <c r="B185" s="29"/>
      <c r="C185" s="29"/>
      <c r="D185" s="29"/>
      <c r="E185" s="29"/>
      <c r="F185" s="29"/>
      <c r="G185" s="29"/>
      <c r="I185" s="29"/>
      <c r="J185" s="29"/>
      <c r="K185" s="19"/>
      <c r="M185" s="30"/>
      <c r="N185" s="30"/>
      <c r="O185" s="32"/>
      <c r="P185" s="32"/>
      <c r="Q185" s="32"/>
      <c r="R185" s="32"/>
      <c r="S185" s="32"/>
    </row>
    <row r="186" spans="1:19" ht="16.5" customHeight="1">
      <c r="A186" s="29"/>
      <c r="B186" s="29"/>
      <c r="C186" s="29"/>
      <c r="D186" s="29"/>
      <c r="E186" s="29"/>
      <c r="F186" s="29"/>
      <c r="G186" s="29"/>
      <c r="I186" s="29"/>
      <c r="J186" s="29"/>
      <c r="K186" s="19"/>
      <c r="M186" s="30"/>
      <c r="N186" s="30"/>
      <c r="O186" s="32"/>
      <c r="P186" s="32"/>
      <c r="Q186" s="32"/>
      <c r="R186" s="32"/>
      <c r="S186" s="32"/>
    </row>
    <row r="187" spans="1:19" ht="16.5" customHeight="1">
      <c r="A187" s="29"/>
      <c r="B187" s="29"/>
      <c r="C187" s="29"/>
      <c r="D187" s="29"/>
      <c r="E187" s="29"/>
      <c r="F187" s="29"/>
      <c r="G187" s="29"/>
      <c r="I187" s="29"/>
      <c r="J187" s="29"/>
      <c r="K187" s="19"/>
      <c r="M187" s="30"/>
      <c r="N187" s="30"/>
      <c r="O187" s="32"/>
      <c r="P187" s="32"/>
      <c r="Q187" s="32"/>
      <c r="R187" s="32"/>
      <c r="S187" s="32"/>
    </row>
    <row r="188" spans="1:19" ht="16.5" customHeight="1">
      <c r="A188" s="29"/>
      <c r="B188" s="29"/>
      <c r="C188" s="29"/>
      <c r="D188" s="29"/>
      <c r="E188" s="29"/>
      <c r="F188" s="29"/>
      <c r="G188" s="29"/>
      <c r="I188" s="29"/>
      <c r="J188" s="29"/>
      <c r="K188" s="19"/>
      <c r="M188" s="30"/>
      <c r="N188" s="30"/>
      <c r="O188" s="32"/>
      <c r="P188" s="32"/>
      <c r="Q188" s="32"/>
      <c r="R188" s="32"/>
      <c r="S188" s="32"/>
    </row>
    <row r="189" spans="1:19" ht="16.5" customHeight="1">
      <c r="A189" s="29"/>
      <c r="B189" s="29"/>
      <c r="C189" s="29"/>
      <c r="D189" s="29"/>
      <c r="E189" s="29"/>
      <c r="F189" s="29"/>
      <c r="G189" s="29"/>
      <c r="I189" s="29"/>
      <c r="J189" s="29"/>
      <c r="K189" s="19"/>
      <c r="M189" s="30"/>
      <c r="N189" s="30"/>
      <c r="O189" s="32"/>
      <c r="P189" s="32"/>
      <c r="Q189" s="32"/>
      <c r="R189" s="32"/>
      <c r="S189" s="32"/>
    </row>
    <row r="190" spans="1:19" ht="16.5" customHeight="1">
      <c r="A190" s="29"/>
      <c r="B190" s="29"/>
      <c r="C190" s="29"/>
      <c r="D190" s="29"/>
      <c r="E190" s="29"/>
      <c r="F190" s="29"/>
      <c r="G190" s="29"/>
      <c r="I190" s="29"/>
      <c r="J190" s="29"/>
      <c r="K190" s="19"/>
      <c r="M190" s="30"/>
      <c r="N190" s="30"/>
      <c r="O190" s="32"/>
      <c r="P190" s="32"/>
      <c r="Q190" s="32"/>
      <c r="R190" s="32"/>
      <c r="S190" s="32"/>
    </row>
    <row r="191" spans="1:19" ht="16.5" customHeight="1">
      <c r="A191" s="29"/>
      <c r="B191" s="29"/>
      <c r="C191" s="29"/>
      <c r="D191" s="29"/>
      <c r="E191" s="29"/>
      <c r="F191" s="29"/>
      <c r="G191" s="29"/>
      <c r="I191" s="29"/>
      <c r="J191" s="29"/>
      <c r="K191" s="19"/>
      <c r="M191" s="30"/>
      <c r="N191" s="30"/>
      <c r="O191" s="32"/>
      <c r="P191" s="32"/>
      <c r="Q191" s="32"/>
      <c r="R191" s="32"/>
      <c r="S191" s="32"/>
    </row>
    <row r="192" spans="1:19" ht="16.5" customHeight="1">
      <c r="A192" s="29"/>
      <c r="B192" s="29"/>
      <c r="C192" s="29"/>
      <c r="D192" s="29"/>
      <c r="E192" s="29"/>
      <c r="F192" s="29"/>
      <c r="G192" s="29"/>
      <c r="I192" s="29"/>
      <c r="J192" s="29"/>
      <c r="K192" s="19"/>
      <c r="M192" s="30"/>
      <c r="N192" s="30"/>
      <c r="O192" s="32"/>
      <c r="P192" s="32"/>
      <c r="Q192" s="32"/>
      <c r="R192" s="32"/>
      <c r="S192" s="32"/>
    </row>
    <row r="193" spans="1:19" ht="16.5" customHeight="1">
      <c r="A193" s="29"/>
      <c r="B193" s="29"/>
      <c r="C193" s="29"/>
      <c r="D193" s="29"/>
      <c r="E193" s="29"/>
      <c r="F193" s="29"/>
      <c r="G193" s="29"/>
      <c r="I193" s="29"/>
      <c r="J193" s="29"/>
      <c r="K193" s="19"/>
      <c r="M193" s="30"/>
      <c r="N193" s="30"/>
      <c r="O193" s="32"/>
      <c r="P193" s="32"/>
      <c r="Q193" s="32"/>
      <c r="R193" s="32"/>
      <c r="S193" s="32"/>
    </row>
    <row r="194" spans="1:19" ht="16.5" customHeight="1">
      <c r="A194" s="29"/>
      <c r="B194" s="29"/>
      <c r="C194" s="29"/>
      <c r="D194" s="29"/>
      <c r="E194" s="29"/>
      <c r="F194" s="29"/>
      <c r="G194" s="29"/>
      <c r="I194" s="29"/>
      <c r="J194" s="29"/>
      <c r="K194" s="19"/>
      <c r="M194" s="30"/>
      <c r="N194" s="30"/>
      <c r="O194" s="32"/>
      <c r="P194" s="32"/>
      <c r="Q194" s="32"/>
      <c r="R194" s="32"/>
      <c r="S194" s="32"/>
    </row>
    <row r="195" spans="1:19" ht="16.5" customHeight="1">
      <c r="A195" s="29"/>
      <c r="B195" s="29"/>
      <c r="C195" s="29"/>
      <c r="D195" s="29"/>
      <c r="E195" s="29"/>
      <c r="F195" s="29"/>
      <c r="G195" s="29"/>
      <c r="I195" s="29"/>
      <c r="J195" s="29"/>
      <c r="K195" s="19"/>
      <c r="M195" s="30"/>
      <c r="N195" s="30"/>
      <c r="O195" s="32"/>
      <c r="P195" s="32"/>
      <c r="Q195" s="32"/>
      <c r="R195" s="32"/>
      <c r="S195" s="32"/>
    </row>
    <row r="196" spans="1:19" ht="16.5" customHeight="1">
      <c r="A196" s="29"/>
      <c r="B196" s="29"/>
      <c r="C196" s="29"/>
      <c r="D196" s="29"/>
      <c r="E196" s="29"/>
      <c r="F196" s="29"/>
      <c r="G196" s="29"/>
      <c r="I196" s="29"/>
      <c r="J196" s="29"/>
      <c r="K196" s="19"/>
      <c r="M196" s="30"/>
      <c r="N196" s="30"/>
      <c r="O196" s="32"/>
      <c r="P196" s="32"/>
      <c r="Q196" s="32"/>
      <c r="R196" s="32"/>
      <c r="S196" s="32"/>
    </row>
    <row r="197" spans="1:19" ht="16.5" customHeight="1">
      <c r="A197" s="29"/>
      <c r="B197" s="29"/>
      <c r="C197" s="29"/>
      <c r="D197" s="29"/>
      <c r="E197" s="29"/>
      <c r="F197" s="29"/>
      <c r="G197" s="29"/>
      <c r="I197" s="29"/>
      <c r="J197" s="29"/>
      <c r="K197" s="19"/>
      <c r="M197" s="30"/>
      <c r="N197" s="31"/>
      <c r="O197" s="32"/>
      <c r="P197" s="32"/>
      <c r="Q197" s="32"/>
      <c r="R197" s="32"/>
      <c r="S197" s="32"/>
    </row>
    <row r="198" spans="1:19" ht="16.5" customHeight="1">
      <c r="A198" s="29"/>
      <c r="B198" s="29"/>
      <c r="C198" s="29"/>
      <c r="D198" s="29"/>
      <c r="E198" s="29"/>
      <c r="F198" s="29"/>
      <c r="G198" s="29"/>
      <c r="I198" s="29"/>
      <c r="J198" s="29"/>
      <c r="K198" s="19"/>
      <c r="M198" s="30"/>
      <c r="N198" s="30"/>
      <c r="O198" s="32"/>
      <c r="P198" s="32"/>
      <c r="Q198" s="32"/>
      <c r="R198" s="32"/>
      <c r="S198" s="32"/>
    </row>
    <row r="199" spans="1:19" ht="16.5" customHeight="1">
      <c r="A199" s="29"/>
      <c r="B199" s="29"/>
      <c r="C199" s="29"/>
      <c r="D199" s="29"/>
      <c r="E199" s="29"/>
      <c r="F199" s="29"/>
      <c r="G199" s="29"/>
      <c r="I199" s="29"/>
      <c r="J199" s="29"/>
      <c r="K199" s="19"/>
      <c r="M199" s="30"/>
      <c r="N199" s="31"/>
      <c r="O199" s="32"/>
      <c r="P199" s="32"/>
      <c r="Q199" s="32"/>
      <c r="R199" s="32"/>
      <c r="S199" s="32"/>
    </row>
    <row r="200" spans="1:19" ht="16.5" customHeight="1">
      <c r="A200" s="29"/>
      <c r="B200" s="29"/>
      <c r="C200" s="29"/>
      <c r="D200" s="29"/>
      <c r="E200" s="29"/>
      <c r="F200" s="29"/>
      <c r="G200" s="29"/>
      <c r="I200" s="29"/>
      <c r="J200" s="29"/>
      <c r="K200" s="19"/>
      <c r="M200" s="30"/>
      <c r="N200" s="30"/>
      <c r="O200" s="32"/>
      <c r="P200" s="32"/>
      <c r="Q200" s="32"/>
      <c r="R200" s="32"/>
      <c r="S200" s="32"/>
    </row>
    <row r="201" spans="1:19" ht="16.5" customHeight="1">
      <c r="A201" s="29"/>
      <c r="B201" s="29"/>
      <c r="C201" s="29"/>
      <c r="D201" s="29"/>
      <c r="E201" s="29"/>
      <c r="F201" s="29"/>
      <c r="G201" s="29"/>
      <c r="I201" s="29"/>
      <c r="J201" s="29"/>
      <c r="K201" s="19"/>
      <c r="M201" s="30"/>
      <c r="N201" s="30"/>
      <c r="O201" s="32"/>
      <c r="P201" s="32"/>
      <c r="Q201" s="32"/>
      <c r="R201" s="32"/>
      <c r="S201" s="32"/>
    </row>
    <row r="202" spans="1:19" ht="16.5" customHeight="1">
      <c r="A202" s="29"/>
      <c r="B202" s="29"/>
      <c r="C202" s="29"/>
      <c r="D202" s="29"/>
      <c r="E202" s="29"/>
      <c r="F202" s="29"/>
      <c r="G202" s="29"/>
      <c r="I202" s="29"/>
      <c r="J202" s="29"/>
      <c r="K202" s="19"/>
      <c r="M202" s="30"/>
      <c r="N202" s="30"/>
      <c r="O202" s="32"/>
      <c r="P202" s="32"/>
      <c r="Q202" s="32"/>
      <c r="R202" s="32"/>
      <c r="S202" s="32"/>
    </row>
    <row r="203" spans="1:19" ht="16.5" customHeight="1">
      <c r="A203" s="29"/>
      <c r="B203" s="29"/>
      <c r="C203" s="29"/>
      <c r="D203" s="29"/>
      <c r="E203" s="29"/>
      <c r="F203" s="29"/>
      <c r="G203" s="29"/>
      <c r="I203" s="29"/>
      <c r="J203" s="29"/>
      <c r="K203" s="19"/>
      <c r="M203" s="30"/>
      <c r="N203" s="30"/>
      <c r="O203" s="32"/>
      <c r="P203" s="32"/>
      <c r="Q203" s="32"/>
      <c r="R203" s="32"/>
      <c r="S203" s="32"/>
    </row>
    <row r="204" spans="1:19" ht="16.5" customHeight="1">
      <c r="A204" s="29"/>
      <c r="B204" s="29"/>
      <c r="C204" s="29"/>
      <c r="D204" s="29"/>
      <c r="E204" s="29"/>
      <c r="F204" s="29"/>
      <c r="G204" s="29"/>
      <c r="I204" s="29"/>
      <c r="J204" s="29"/>
      <c r="K204" s="19"/>
      <c r="M204" s="30"/>
      <c r="N204" s="30"/>
      <c r="O204" s="32"/>
      <c r="P204" s="32"/>
      <c r="Q204" s="32"/>
      <c r="R204" s="32"/>
      <c r="S204" s="32"/>
    </row>
    <row r="205" spans="1:19" ht="16.5" customHeight="1">
      <c r="A205" s="29"/>
      <c r="B205" s="29"/>
      <c r="C205" s="29"/>
      <c r="D205" s="29"/>
      <c r="E205" s="29"/>
      <c r="F205" s="29"/>
      <c r="G205" s="29"/>
      <c r="I205" s="29"/>
      <c r="J205" s="29"/>
      <c r="K205" s="19"/>
      <c r="M205" s="30"/>
      <c r="N205" s="30"/>
      <c r="O205" s="32"/>
      <c r="P205" s="32"/>
      <c r="Q205" s="32"/>
      <c r="R205" s="32"/>
      <c r="S205" s="32"/>
    </row>
    <row r="206" spans="1:19" ht="16.5" customHeight="1">
      <c r="A206" s="29"/>
      <c r="B206" s="29"/>
      <c r="C206" s="29"/>
      <c r="D206" s="29"/>
      <c r="E206" s="29"/>
      <c r="F206" s="29"/>
      <c r="G206" s="29"/>
      <c r="I206" s="29"/>
      <c r="J206" s="29"/>
      <c r="K206" s="19"/>
      <c r="M206" s="30"/>
      <c r="N206" s="30"/>
      <c r="O206" s="32"/>
      <c r="P206" s="32"/>
      <c r="Q206" s="32"/>
      <c r="R206" s="32"/>
      <c r="S206" s="32"/>
    </row>
    <row r="207" spans="1:19" ht="16.5" customHeight="1">
      <c r="A207" s="29"/>
      <c r="B207" s="29"/>
      <c r="C207" s="29"/>
      <c r="D207" s="29"/>
      <c r="E207" s="29"/>
      <c r="F207" s="29"/>
      <c r="G207" s="29"/>
      <c r="I207" s="29"/>
      <c r="J207" s="29"/>
      <c r="K207" s="19"/>
      <c r="L207" s="19"/>
      <c r="M207" s="30"/>
      <c r="N207" s="30"/>
      <c r="O207" s="32"/>
      <c r="P207" s="32"/>
      <c r="Q207" s="32"/>
      <c r="R207" s="32"/>
      <c r="S207" s="32"/>
    </row>
    <row r="208" spans="1:19" ht="16.5" customHeight="1">
      <c r="A208" s="29"/>
      <c r="B208" s="29"/>
      <c r="C208" s="29"/>
      <c r="D208" s="29"/>
      <c r="E208" s="29"/>
      <c r="F208" s="29"/>
      <c r="G208" s="29"/>
      <c r="I208" s="29"/>
      <c r="J208" s="29"/>
      <c r="K208" s="19"/>
      <c r="L208" s="19"/>
      <c r="M208" s="30"/>
      <c r="N208" s="30"/>
      <c r="O208" s="32"/>
      <c r="P208" s="32"/>
      <c r="Q208" s="32"/>
      <c r="R208" s="32"/>
      <c r="S208" s="32"/>
    </row>
    <row r="209" spans="1:19">
      <c r="A209" s="29"/>
      <c r="B209" s="29"/>
      <c r="C209" s="29"/>
      <c r="D209" s="29"/>
      <c r="E209" s="29"/>
      <c r="F209" s="29"/>
      <c r="G209" s="29"/>
      <c r="I209" s="29"/>
      <c r="J209" s="29"/>
      <c r="K209" s="19"/>
      <c r="L209" s="19"/>
      <c r="M209" s="30"/>
      <c r="N209" s="30"/>
      <c r="O209" s="32"/>
      <c r="P209" s="32"/>
      <c r="Q209" s="32"/>
      <c r="R209" s="32"/>
      <c r="S209" s="32"/>
    </row>
    <row r="210" spans="1:19">
      <c r="A210" s="29"/>
      <c r="B210" s="29"/>
      <c r="C210" s="29"/>
      <c r="D210" s="29"/>
      <c r="E210" s="29"/>
      <c r="F210" s="29"/>
      <c r="G210" s="29"/>
      <c r="I210" s="29"/>
      <c r="J210" s="29"/>
      <c r="K210" s="19"/>
      <c r="L210" s="19"/>
      <c r="M210" s="30"/>
      <c r="N210" s="30"/>
      <c r="O210" s="32"/>
      <c r="P210" s="32"/>
      <c r="Q210" s="32"/>
      <c r="R210" s="32"/>
      <c r="S210" s="32"/>
    </row>
    <row r="211" spans="1:19">
      <c r="A211" s="29"/>
      <c r="B211" s="29"/>
      <c r="C211" s="29"/>
      <c r="D211" s="29"/>
      <c r="E211" s="29"/>
      <c r="F211" s="29"/>
      <c r="G211" s="29"/>
      <c r="I211" s="29"/>
      <c r="J211" s="29"/>
      <c r="K211" s="19"/>
      <c r="L211" s="19"/>
      <c r="M211" s="30"/>
      <c r="N211" s="30"/>
      <c r="O211" s="32"/>
      <c r="P211" s="32"/>
      <c r="Q211" s="32"/>
      <c r="R211" s="32"/>
      <c r="S211" s="32"/>
    </row>
    <row r="212" spans="1:19">
      <c r="A212" s="29"/>
      <c r="B212" s="29"/>
      <c r="C212" s="29"/>
      <c r="D212" s="29"/>
      <c r="E212" s="29"/>
      <c r="F212" s="29"/>
      <c r="G212" s="29"/>
      <c r="I212" s="29"/>
      <c r="J212" s="29"/>
      <c r="K212" s="19"/>
      <c r="M212" s="30"/>
      <c r="N212" s="30"/>
      <c r="O212" s="32"/>
      <c r="P212" s="32"/>
      <c r="Q212" s="32"/>
      <c r="R212" s="32"/>
      <c r="S212" s="32"/>
    </row>
    <row r="213" spans="1:19">
      <c r="A213" s="29"/>
      <c r="B213" s="29"/>
      <c r="C213" s="29"/>
      <c r="D213" s="29"/>
      <c r="E213" s="29"/>
      <c r="F213" s="29"/>
      <c r="G213" s="29"/>
      <c r="I213" s="29"/>
      <c r="J213" s="29"/>
      <c r="K213" s="19"/>
      <c r="M213" s="30"/>
      <c r="N213" s="30"/>
      <c r="O213" s="32"/>
      <c r="P213" s="32"/>
      <c r="Q213" s="32"/>
      <c r="R213" s="32"/>
      <c r="S213" s="32"/>
    </row>
    <row r="214" spans="1:19">
      <c r="A214" s="29"/>
      <c r="B214" s="29"/>
      <c r="C214" s="29"/>
      <c r="D214" s="29"/>
      <c r="E214" s="29"/>
      <c r="F214" s="29"/>
      <c r="G214" s="29"/>
      <c r="I214" s="29"/>
      <c r="J214" s="29"/>
      <c r="K214" s="19"/>
      <c r="M214" s="30"/>
      <c r="N214" s="30"/>
      <c r="O214" s="32"/>
      <c r="P214" s="32"/>
      <c r="Q214" s="32"/>
      <c r="R214" s="32"/>
      <c r="S214" s="32"/>
    </row>
    <row r="215" spans="1:19">
      <c r="A215" s="29"/>
      <c r="B215" s="29"/>
      <c r="C215" s="29"/>
      <c r="D215" s="29"/>
      <c r="E215" s="29"/>
      <c r="F215" s="29"/>
      <c r="G215" s="29"/>
      <c r="I215" s="29"/>
      <c r="J215" s="29"/>
      <c r="K215" s="19"/>
      <c r="M215" s="30"/>
      <c r="N215" s="30"/>
      <c r="O215" s="32"/>
      <c r="P215" s="32"/>
      <c r="Q215" s="32"/>
      <c r="R215" s="32"/>
      <c r="S215" s="32"/>
    </row>
    <row r="216" spans="1:19">
      <c r="A216" s="29"/>
      <c r="B216" s="29"/>
      <c r="C216" s="29"/>
      <c r="D216" s="29"/>
      <c r="E216" s="29"/>
      <c r="F216" s="29"/>
      <c r="G216" s="29"/>
      <c r="I216" s="29"/>
      <c r="J216" s="29"/>
      <c r="K216" s="19"/>
      <c r="M216" s="30"/>
      <c r="N216" s="30"/>
      <c r="O216" s="32"/>
      <c r="P216" s="32"/>
      <c r="Q216" s="32"/>
      <c r="R216" s="32"/>
      <c r="S216" s="32"/>
    </row>
    <row r="217" spans="1:19">
      <c r="A217" s="29"/>
      <c r="B217" s="29"/>
      <c r="C217" s="29"/>
      <c r="D217" s="29"/>
      <c r="E217" s="29"/>
      <c r="F217" s="29"/>
      <c r="G217" s="29"/>
      <c r="I217" s="29"/>
      <c r="J217" s="29"/>
      <c r="K217" s="19"/>
      <c r="L217" s="19"/>
      <c r="M217" s="30"/>
      <c r="N217" s="30"/>
      <c r="O217" s="32"/>
      <c r="P217" s="32"/>
      <c r="Q217" s="32"/>
      <c r="R217" s="32"/>
      <c r="S217" s="32"/>
    </row>
    <row r="218" spans="1:19">
      <c r="A218" s="29"/>
      <c r="B218" s="29"/>
      <c r="C218" s="29"/>
      <c r="D218" s="29"/>
      <c r="E218" s="29"/>
      <c r="F218" s="29"/>
      <c r="G218" s="29"/>
      <c r="I218" s="29"/>
      <c r="J218" s="29"/>
      <c r="K218" s="19"/>
      <c r="L218" s="19"/>
      <c r="M218" s="30"/>
      <c r="N218" s="30"/>
      <c r="O218" s="32"/>
      <c r="P218" s="32"/>
      <c r="Q218" s="32"/>
      <c r="R218" s="32"/>
      <c r="S218" s="32"/>
    </row>
    <row r="219" spans="1:19">
      <c r="A219" s="29"/>
      <c r="B219" s="29"/>
      <c r="C219" s="29"/>
      <c r="D219" s="29"/>
      <c r="E219" s="29"/>
      <c r="F219" s="29"/>
      <c r="G219" s="29"/>
      <c r="I219" s="29"/>
      <c r="J219" s="29"/>
      <c r="K219" s="19"/>
      <c r="L219" s="19"/>
      <c r="M219" s="30"/>
      <c r="N219" s="30"/>
      <c r="O219" s="32"/>
      <c r="P219" s="32"/>
      <c r="Q219" s="32"/>
      <c r="R219" s="32"/>
      <c r="S219" s="32"/>
    </row>
    <row r="220" spans="1:19">
      <c r="A220" s="29"/>
      <c r="B220" s="29"/>
      <c r="C220" s="29"/>
      <c r="D220" s="29"/>
      <c r="E220" s="29"/>
      <c r="F220" s="29"/>
      <c r="G220" s="29"/>
      <c r="I220" s="29"/>
      <c r="J220" s="29"/>
      <c r="K220" s="19"/>
      <c r="L220" s="19"/>
      <c r="M220" s="30"/>
      <c r="N220" s="30"/>
      <c r="O220" s="32"/>
      <c r="P220" s="32"/>
      <c r="Q220" s="32"/>
      <c r="R220" s="32"/>
      <c r="S220" s="32"/>
    </row>
    <row r="221" spans="1:19">
      <c r="A221" s="29"/>
      <c r="B221" s="29"/>
      <c r="C221" s="29"/>
      <c r="D221" s="29"/>
      <c r="E221" s="29"/>
      <c r="F221" s="29"/>
      <c r="G221" s="29"/>
      <c r="I221" s="29"/>
      <c r="J221" s="29"/>
      <c r="K221" s="19"/>
      <c r="L221" s="19"/>
      <c r="M221" s="30"/>
      <c r="N221" s="30"/>
      <c r="O221" s="32"/>
      <c r="P221" s="32"/>
      <c r="Q221" s="32"/>
      <c r="R221" s="32"/>
      <c r="S221" s="32"/>
    </row>
    <row r="222" spans="1:19">
      <c r="A222" s="29"/>
      <c r="B222" s="29"/>
      <c r="C222" s="29"/>
      <c r="D222" s="29"/>
      <c r="E222" s="29"/>
      <c r="F222" s="29"/>
      <c r="G222" s="29"/>
      <c r="I222" s="29"/>
      <c r="J222" s="29"/>
      <c r="K222" s="19"/>
      <c r="L222" s="19"/>
      <c r="M222" s="30"/>
      <c r="N222" s="30"/>
      <c r="O222" s="32"/>
      <c r="P222" s="32"/>
      <c r="Q222" s="32"/>
      <c r="R222" s="32"/>
      <c r="S222" s="32"/>
    </row>
    <row r="223" spans="1:19">
      <c r="A223" s="29"/>
      <c r="B223" s="29"/>
      <c r="C223" s="29"/>
      <c r="D223" s="29"/>
      <c r="E223" s="29"/>
      <c r="F223" s="29"/>
      <c r="G223" s="29"/>
      <c r="I223" s="29"/>
      <c r="J223" s="29"/>
      <c r="K223" s="19"/>
      <c r="M223" s="30"/>
      <c r="N223" s="30"/>
      <c r="O223" s="32"/>
      <c r="P223" s="32"/>
      <c r="Q223" s="32"/>
      <c r="R223" s="32"/>
      <c r="S223" s="32"/>
    </row>
    <row r="224" spans="1:19">
      <c r="A224" s="29"/>
      <c r="B224" s="29"/>
      <c r="C224" s="29"/>
      <c r="D224" s="29"/>
      <c r="E224" s="29"/>
      <c r="F224" s="29"/>
      <c r="G224" s="29"/>
      <c r="I224" s="29"/>
      <c r="J224" s="29"/>
      <c r="K224" s="19"/>
      <c r="M224" s="30"/>
      <c r="N224" s="30"/>
      <c r="O224" s="32"/>
      <c r="P224" s="32"/>
      <c r="Q224" s="32"/>
      <c r="R224" s="32"/>
      <c r="S224" s="32"/>
    </row>
    <row r="225" spans="1:19">
      <c r="A225" s="29"/>
      <c r="B225" s="29"/>
      <c r="C225" s="29"/>
      <c r="D225" s="29"/>
      <c r="E225" s="29"/>
      <c r="F225" s="29"/>
      <c r="G225" s="29"/>
      <c r="I225" s="29"/>
      <c r="J225" s="29"/>
      <c r="K225" s="19"/>
      <c r="M225" s="30"/>
      <c r="N225" s="30"/>
      <c r="O225" s="32"/>
      <c r="P225" s="32"/>
      <c r="Q225" s="32"/>
      <c r="R225" s="32"/>
      <c r="S225" s="32"/>
    </row>
    <row r="226" spans="1:19">
      <c r="A226" s="29"/>
      <c r="B226" s="29"/>
      <c r="C226" s="29"/>
      <c r="D226" s="29"/>
      <c r="E226" s="29"/>
      <c r="F226" s="29"/>
      <c r="G226" s="29"/>
      <c r="I226" s="29"/>
      <c r="J226" s="29"/>
      <c r="K226" s="19"/>
      <c r="M226" s="30"/>
      <c r="N226" s="30"/>
      <c r="O226" s="32"/>
      <c r="P226" s="32"/>
      <c r="Q226" s="32"/>
      <c r="R226" s="32"/>
      <c r="S226" s="32"/>
    </row>
    <row r="227" spans="1:19">
      <c r="A227" s="29"/>
      <c r="B227" s="29"/>
      <c r="C227" s="29"/>
      <c r="D227" s="29"/>
      <c r="E227" s="29"/>
      <c r="F227" s="29"/>
      <c r="G227" s="29"/>
      <c r="I227" s="29"/>
      <c r="J227" s="29"/>
      <c r="K227" s="19"/>
      <c r="M227" s="30"/>
      <c r="N227" s="30"/>
      <c r="O227" s="32"/>
      <c r="P227" s="32"/>
      <c r="Q227" s="32"/>
      <c r="R227" s="32"/>
      <c r="S227" s="32"/>
    </row>
    <row r="228" spans="1:19">
      <c r="A228" s="29"/>
      <c r="B228" s="29"/>
      <c r="C228" s="29"/>
      <c r="D228" s="29"/>
      <c r="E228" s="29"/>
      <c r="F228" s="29"/>
      <c r="G228" s="29"/>
      <c r="I228" s="29"/>
      <c r="J228" s="29"/>
      <c r="K228" s="19"/>
      <c r="M228" s="30"/>
      <c r="N228" s="30"/>
      <c r="O228" s="32"/>
      <c r="P228" s="32"/>
      <c r="Q228" s="32"/>
      <c r="R228" s="32"/>
      <c r="S228" s="32"/>
    </row>
    <row r="229" spans="1:19">
      <c r="A229" s="29"/>
      <c r="B229" s="29"/>
      <c r="C229" s="29"/>
      <c r="D229" s="29"/>
      <c r="E229" s="29"/>
      <c r="F229" s="29"/>
      <c r="G229" s="29"/>
      <c r="I229" s="29"/>
      <c r="J229" s="29"/>
      <c r="K229" s="19"/>
      <c r="M229" s="30"/>
      <c r="N229" s="30"/>
      <c r="O229" s="32"/>
      <c r="P229" s="32"/>
      <c r="Q229" s="32"/>
      <c r="R229" s="32"/>
      <c r="S229" s="32"/>
    </row>
    <row r="230" spans="1:19">
      <c r="A230" s="29"/>
      <c r="B230" s="29"/>
      <c r="C230" s="29"/>
      <c r="D230" s="29"/>
      <c r="E230" s="29"/>
      <c r="F230" s="29"/>
      <c r="G230" s="29"/>
      <c r="I230" s="29"/>
      <c r="J230" s="29"/>
      <c r="K230" s="19"/>
      <c r="M230" s="30"/>
      <c r="N230" s="30"/>
      <c r="O230" s="32"/>
      <c r="P230" s="32"/>
      <c r="Q230" s="32"/>
      <c r="R230" s="32"/>
      <c r="S230" s="32"/>
    </row>
    <row r="231" spans="1:19">
      <c r="A231" s="29"/>
      <c r="B231" s="29"/>
      <c r="C231" s="29"/>
      <c r="D231" s="29"/>
      <c r="E231" s="29"/>
      <c r="F231" s="29"/>
      <c r="G231" s="29"/>
      <c r="I231" s="29"/>
      <c r="J231" s="29"/>
      <c r="K231" s="19"/>
      <c r="M231" s="30"/>
      <c r="N231" s="30"/>
      <c r="O231" s="32"/>
      <c r="P231" s="32"/>
      <c r="Q231" s="32"/>
      <c r="R231" s="32"/>
      <c r="S231" s="32"/>
    </row>
    <row r="232" spans="1:19">
      <c r="A232" s="29"/>
      <c r="B232" s="29"/>
      <c r="C232" s="29"/>
      <c r="D232" s="29"/>
      <c r="E232" s="29"/>
      <c r="F232" s="29"/>
      <c r="G232" s="29"/>
      <c r="I232" s="29"/>
      <c r="J232" s="29"/>
      <c r="K232" s="19"/>
      <c r="M232" s="30"/>
      <c r="N232" s="30"/>
      <c r="O232" s="32"/>
      <c r="P232" s="32"/>
      <c r="Q232" s="32"/>
      <c r="R232" s="32"/>
      <c r="S232" s="32"/>
    </row>
    <row r="233" spans="1:19">
      <c r="A233" s="29"/>
      <c r="B233" s="29"/>
      <c r="C233" s="29"/>
      <c r="D233" s="29"/>
      <c r="E233" s="29"/>
      <c r="F233" s="29"/>
      <c r="G233" s="29"/>
      <c r="I233" s="29"/>
      <c r="J233" s="29"/>
      <c r="K233" s="19"/>
      <c r="M233" s="30"/>
      <c r="N233" s="30"/>
      <c r="O233" s="32"/>
      <c r="P233" s="32"/>
      <c r="Q233" s="32"/>
      <c r="R233" s="32"/>
      <c r="S233" s="32"/>
    </row>
    <row r="234" spans="1:19">
      <c r="A234" s="29"/>
      <c r="B234" s="29"/>
      <c r="C234" s="29"/>
      <c r="D234" s="29"/>
      <c r="E234" s="29"/>
      <c r="F234" s="29"/>
      <c r="G234" s="29"/>
      <c r="I234" s="29"/>
      <c r="J234" s="29"/>
      <c r="K234" s="19"/>
      <c r="M234" s="30"/>
      <c r="N234" s="30"/>
      <c r="O234" s="32"/>
      <c r="P234" s="32"/>
      <c r="Q234" s="32"/>
      <c r="R234" s="32"/>
      <c r="S234" s="32"/>
    </row>
    <row r="235" spans="1:19">
      <c r="A235" s="29"/>
      <c r="B235" s="29"/>
      <c r="C235" s="29"/>
      <c r="D235" s="29"/>
      <c r="E235" s="29"/>
      <c r="F235" s="29"/>
      <c r="G235" s="29"/>
      <c r="I235" s="29"/>
      <c r="J235" s="29"/>
      <c r="K235" s="19"/>
      <c r="M235" s="30"/>
      <c r="N235" s="30"/>
      <c r="O235" s="32"/>
      <c r="P235" s="32"/>
      <c r="Q235" s="32"/>
      <c r="R235" s="32"/>
      <c r="S235" s="32"/>
    </row>
    <row r="236" spans="1:19">
      <c r="A236" s="29"/>
      <c r="B236" s="29"/>
      <c r="C236" s="29"/>
      <c r="D236" s="29"/>
      <c r="E236" s="29"/>
      <c r="F236" s="29"/>
      <c r="G236" s="29"/>
      <c r="I236" s="29"/>
      <c r="J236" s="29"/>
      <c r="K236" s="19"/>
      <c r="M236" s="30"/>
      <c r="N236" s="30"/>
      <c r="O236" s="32"/>
      <c r="P236" s="32"/>
      <c r="Q236" s="32"/>
      <c r="R236" s="32"/>
      <c r="S236" s="32"/>
    </row>
    <row r="237" spans="1:19">
      <c r="A237" s="29"/>
      <c r="B237" s="29"/>
      <c r="C237" s="29"/>
      <c r="D237" s="29"/>
      <c r="E237" s="29"/>
      <c r="F237" s="29"/>
      <c r="G237" s="29"/>
      <c r="I237" s="29"/>
      <c r="J237" s="29"/>
      <c r="K237" s="19"/>
      <c r="M237" s="30"/>
      <c r="N237" s="31"/>
      <c r="O237" s="32"/>
      <c r="P237" s="32"/>
      <c r="Q237" s="32"/>
      <c r="R237" s="32"/>
      <c r="S237" s="32"/>
    </row>
    <row r="238" spans="1:19">
      <c r="A238" s="29"/>
      <c r="B238" s="29"/>
      <c r="C238" s="29"/>
      <c r="D238" s="29"/>
      <c r="E238" s="29"/>
      <c r="F238" s="29"/>
      <c r="G238" s="29"/>
      <c r="I238" s="29"/>
      <c r="J238" s="29"/>
      <c r="K238" s="19"/>
      <c r="M238" s="30"/>
      <c r="N238" s="30"/>
      <c r="O238" s="32"/>
      <c r="P238" s="32"/>
      <c r="Q238" s="32"/>
      <c r="R238" s="32"/>
      <c r="S238" s="32"/>
    </row>
    <row r="239" spans="1:19">
      <c r="A239" s="29"/>
      <c r="B239" s="29"/>
      <c r="C239" s="29"/>
      <c r="D239" s="29"/>
      <c r="E239" s="29"/>
      <c r="F239" s="29"/>
      <c r="G239" s="29"/>
      <c r="I239" s="29"/>
      <c r="J239" s="29"/>
      <c r="K239" s="19"/>
      <c r="M239" s="30"/>
      <c r="N239" s="30"/>
      <c r="O239" s="32"/>
      <c r="P239" s="32"/>
      <c r="Q239" s="32"/>
      <c r="R239" s="32"/>
      <c r="S239" s="32"/>
    </row>
    <row r="240" spans="1:19">
      <c r="A240" s="29"/>
      <c r="B240" s="29"/>
      <c r="C240" s="29"/>
      <c r="D240" s="29"/>
      <c r="E240" s="29"/>
      <c r="F240" s="29"/>
      <c r="G240" s="29"/>
      <c r="I240" s="29"/>
      <c r="J240" s="29"/>
      <c r="K240" s="19"/>
      <c r="M240" s="30"/>
      <c r="N240" s="30"/>
      <c r="O240" s="32"/>
      <c r="P240" s="32"/>
      <c r="Q240" s="32"/>
      <c r="R240" s="32"/>
      <c r="S240" s="32"/>
    </row>
    <row r="241" spans="1:19">
      <c r="A241" s="29"/>
      <c r="B241" s="29"/>
      <c r="C241" s="29"/>
      <c r="D241" s="29"/>
      <c r="E241" s="29"/>
      <c r="F241" s="29"/>
      <c r="G241" s="29"/>
      <c r="I241" s="29"/>
      <c r="J241" s="29"/>
      <c r="K241" s="19"/>
      <c r="M241" s="30"/>
      <c r="N241" s="30"/>
      <c r="O241" s="32"/>
      <c r="P241" s="32"/>
      <c r="Q241" s="32"/>
      <c r="R241" s="32"/>
      <c r="S241" s="32"/>
    </row>
    <row r="242" spans="1:19">
      <c r="A242" s="29"/>
      <c r="B242" s="29"/>
      <c r="C242" s="29"/>
      <c r="D242" s="29"/>
      <c r="E242" s="29"/>
      <c r="F242" s="29"/>
      <c r="G242" s="29"/>
      <c r="I242" s="29"/>
      <c r="J242" s="29"/>
      <c r="K242" s="19"/>
      <c r="M242" s="30"/>
      <c r="N242" s="30"/>
      <c r="O242" s="32"/>
      <c r="P242" s="32"/>
      <c r="Q242" s="32"/>
      <c r="R242" s="32"/>
      <c r="S242" s="32"/>
    </row>
    <row r="243" spans="1:19">
      <c r="A243" s="29"/>
      <c r="B243" s="29"/>
      <c r="C243" s="29"/>
      <c r="D243" s="29"/>
      <c r="E243" s="29"/>
      <c r="F243" s="29"/>
      <c r="G243" s="29"/>
      <c r="I243" s="29"/>
      <c r="J243" s="29"/>
      <c r="K243" s="19"/>
      <c r="M243" s="30"/>
      <c r="N243" s="30"/>
      <c r="O243" s="32"/>
      <c r="P243" s="32"/>
      <c r="Q243" s="32"/>
      <c r="R243" s="32"/>
      <c r="S243" s="32"/>
    </row>
    <row r="244" spans="1:19">
      <c r="A244" s="29"/>
      <c r="B244" s="29"/>
      <c r="C244" s="29"/>
      <c r="D244" s="29"/>
      <c r="E244" s="29"/>
      <c r="F244" s="29"/>
      <c r="G244" s="29"/>
      <c r="I244" s="29"/>
      <c r="J244" s="29"/>
      <c r="K244" s="19"/>
      <c r="M244" s="30"/>
      <c r="N244" s="30"/>
      <c r="O244" s="32"/>
      <c r="P244" s="32"/>
      <c r="Q244" s="32"/>
      <c r="R244" s="32"/>
      <c r="S244" s="32"/>
    </row>
    <row r="245" spans="1:19">
      <c r="A245" s="29"/>
      <c r="B245" s="29"/>
      <c r="C245" s="29"/>
      <c r="D245" s="29"/>
      <c r="E245" s="29"/>
      <c r="F245" s="29"/>
      <c r="G245" s="29"/>
      <c r="I245" s="29"/>
      <c r="J245" s="29"/>
      <c r="K245" s="19"/>
      <c r="M245" s="30"/>
      <c r="N245" s="30"/>
      <c r="O245" s="32"/>
      <c r="P245" s="32"/>
      <c r="Q245" s="32"/>
      <c r="R245" s="32"/>
      <c r="S245" s="32"/>
    </row>
    <row r="246" spans="1:19">
      <c r="A246" s="29"/>
      <c r="B246" s="29"/>
      <c r="C246" s="29"/>
      <c r="D246" s="29"/>
      <c r="E246" s="29"/>
      <c r="F246" s="29"/>
      <c r="G246" s="29"/>
      <c r="I246" s="29"/>
      <c r="J246" s="29"/>
      <c r="K246" s="19"/>
      <c r="M246" s="30"/>
      <c r="N246" s="30"/>
      <c r="O246" s="32"/>
      <c r="P246" s="32"/>
      <c r="Q246" s="32"/>
      <c r="R246" s="32"/>
      <c r="S246" s="32"/>
    </row>
    <row r="247" spans="1:19">
      <c r="A247" s="29"/>
      <c r="B247" s="29"/>
      <c r="C247" s="29"/>
      <c r="D247" s="29"/>
      <c r="E247" s="29"/>
      <c r="F247" s="29"/>
      <c r="G247" s="29"/>
      <c r="I247" s="29"/>
      <c r="J247" s="29"/>
      <c r="M247" s="30"/>
      <c r="N247" s="30"/>
      <c r="O247" s="32"/>
      <c r="P247" s="32"/>
      <c r="Q247" s="32"/>
      <c r="R247" s="32"/>
      <c r="S247" s="32"/>
    </row>
    <row r="248" spans="1:19">
      <c r="A248" s="29"/>
      <c r="B248" s="29"/>
      <c r="C248" s="29"/>
      <c r="D248" s="29"/>
      <c r="E248" s="29"/>
      <c r="F248" s="29"/>
      <c r="G248" s="29"/>
      <c r="I248" s="29"/>
      <c r="J248" s="29"/>
      <c r="M248" s="30"/>
      <c r="N248" s="30"/>
      <c r="O248" s="32"/>
      <c r="P248" s="32"/>
      <c r="Q248" s="32"/>
      <c r="R248" s="32"/>
      <c r="S248" s="32"/>
    </row>
    <row r="249" spans="1:19">
      <c r="A249" s="29"/>
      <c r="B249" s="29"/>
      <c r="C249" s="29"/>
      <c r="D249" s="29"/>
      <c r="E249" s="29"/>
      <c r="F249" s="29"/>
      <c r="G249" s="29"/>
      <c r="I249" s="29"/>
      <c r="J249" s="29"/>
      <c r="M249" s="30"/>
      <c r="N249" s="30"/>
      <c r="O249" s="32"/>
      <c r="P249" s="32"/>
      <c r="Q249" s="32"/>
      <c r="R249" s="32"/>
      <c r="S249" s="32"/>
    </row>
    <row r="250" spans="1:19">
      <c r="A250" s="29"/>
      <c r="B250" s="29"/>
      <c r="C250" s="29"/>
      <c r="D250" s="29"/>
      <c r="E250" s="29"/>
      <c r="F250" s="29"/>
      <c r="G250" s="29"/>
      <c r="I250" s="29"/>
      <c r="J250" s="29"/>
      <c r="M250" s="30"/>
      <c r="N250" s="30"/>
      <c r="O250" s="32"/>
      <c r="P250" s="32"/>
      <c r="Q250" s="32"/>
      <c r="R250" s="32"/>
      <c r="S250" s="32"/>
    </row>
    <row r="251" spans="1:19">
      <c r="A251" s="29"/>
      <c r="B251" s="29"/>
      <c r="C251" s="29"/>
      <c r="D251" s="29"/>
      <c r="E251" s="29"/>
      <c r="F251" s="29"/>
      <c r="G251" s="29"/>
      <c r="I251" s="29"/>
      <c r="J251" s="29"/>
      <c r="M251" s="30"/>
      <c r="N251" s="30"/>
      <c r="O251" s="32"/>
      <c r="P251" s="32"/>
      <c r="Q251" s="32"/>
      <c r="R251" s="32"/>
      <c r="S251" s="32"/>
    </row>
    <row r="252" spans="1:19">
      <c r="A252" s="29"/>
      <c r="B252" s="29"/>
      <c r="C252" s="29"/>
      <c r="D252" s="29"/>
      <c r="E252" s="29"/>
      <c r="F252" s="29"/>
      <c r="G252" s="29"/>
      <c r="I252" s="29"/>
      <c r="J252" s="29"/>
      <c r="M252" s="30"/>
      <c r="N252" s="30"/>
      <c r="O252" s="32"/>
      <c r="P252" s="32"/>
      <c r="Q252" s="32"/>
      <c r="R252" s="32"/>
      <c r="S252" s="32"/>
    </row>
    <row r="253" spans="1:19">
      <c r="A253" s="29"/>
      <c r="B253" s="29"/>
      <c r="C253" s="29"/>
      <c r="D253" s="29"/>
      <c r="E253" s="29"/>
      <c r="F253" s="29"/>
      <c r="G253" s="29"/>
      <c r="I253" s="29"/>
      <c r="J253" s="29"/>
      <c r="M253" s="30"/>
      <c r="N253" s="30"/>
      <c r="O253" s="32"/>
      <c r="P253" s="32"/>
      <c r="Q253" s="32"/>
      <c r="R253" s="32"/>
      <c r="S253" s="32"/>
    </row>
    <row r="254" spans="1:19">
      <c r="A254" s="29"/>
      <c r="B254" s="29"/>
      <c r="C254" s="29"/>
      <c r="D254" s="29"/>
      <c r="E254" s="29"/>
      <c r="F254" s="29"/>
      <c r="G254" s="29"/>
      <c r="I254" s="29"/>
      <c r="J254" s="29"/>
      <c r="M254" s="30"/>
      <c r="N254" s="30"/>
      <c r="O254" s="32"/>
      <c r="P254" s="32"/>
      <c r="Q254" s="32"/>
      <c r="R254" s="32"/>
      <c r="S254" s="32"/>
    </row>
    <row r="255" spans="1:19">
      <c r="A255" s="29"/>
      <c r="B255" s="29"/>
      <c r="C255" s="29"/>
      <c r="D255" s="29"/>
      <c r="E255" s="29"/>
      <c r="F255" s="29"/>
      <c r="G255" s="29"/>
      <c r="I255" s="29"/>
      <c r="J255" s="29"/>
      <c r="M255" s="30"/>
      <c r="N255" s="30"/>
      <c r="O255" s="32"/>
      <c r="P255" s="32"/>
      <c r="Q255" s="32"/>
      <c r="R255" s="32"/>
      <c r="S255" s="32"/>
    </row>
    <row r="256" spans="1:19">
      <c r="A256" s="29"/>
      <c r="B256" s="29"/>
      <c r="C256" s="29"/>
      <c r="D256" s="29"/>
      <c r="E256" s="29"/>
      <c r="F256" s="29"/>
      <c r="G256" s="29"/>
      <c r="I256" s="29"/>
      <c r="J256" s="29"/>
      <c r="M256" s="30"/>
      <c r="N256" s="30"/>
      <c r="O256" s="32"/>
      <c r="P256" s="32"/>
      <c r="Q256" s="32"/>
      <c r="R256" s="32"/>
      <c r="S256" s="32"/>
    </row>
    <row r="257" spans="1:19">
      <c r="A257" s="29"/>
      <c r="B257" s="29"/>
      <c r="C257" s="29"/>
      <c r="D257" s="29"/>
      <c r="E257" s="29"/>
      <c r="F257" s="29"/>
      <c r="G257" s="29"/>
      <c r="I257" s="29"/>
      <c r="J257" s="29"/>
      <c r="M257" s="30"/>
      <c r="N257" s="30"/>
      <c r="O257" s="32"/>
      <c r="P257" s="32"/>
      <c r="Q257" s="32"/>
      <c r="R257" s="32"/>
      <c r="S257" s="32"/>
    </row>
    <row r="258" spans="1:19">
      <c r="A258" s="29"/>
      <c r="B258" s="29"/>
      <c r="C258" s="29"/>
      <c r="D258" s="29"/>
      <c r="E258" s="29"/>
      <c r="F258" s="29"/>
      <c r="G258" s="29"/>
      <c r="I258" s="29"/>
      <c r="J258" s="29"/>
      <c r="M258" s="30"/>
      <c r="N258" s="30"/>
      <c r="O258" s="32"/>
      <c r="P258" s="32"/>
      <c r="Q258" s="32"/>
      <c r="R258" s="32"/>
      <c r="S258" s="32"/>
    </row>
    <row r="259" spans="1:19">
      <c r="A259" s="29"/>
      <c r="B259" s="29"/>
      <c r="C259" s="29"/>
      <c r="D259" s="29"/>
      <c r="E259" s="29"/>
      <c r="F259" s="29"/>
      <c r="G259" s="29"/>
      <c r="I259" s="29"/>
      <c r="J259" s="29"/>
      <c r="M259" s="30"/>
      <c r="N259" s="30"/>
      <c r="O259" s="32"/>
      <c r="P259" s="32"/>
      <c r="Q259" s="32"/>
      <c r="R259" s="32"/>
      <c r="S259" s="32"/>
    </row>
    <row r="260" spans="1:19">
      <c r="A260" s="29"/>
      <c r="B260" s="29"/>
      <c r="C260" s="29"/>
      <c r="D260" s="29"/>
      <c r="E260" s="29"/>
      <c r="F260" s="29"/>
      <c r="G260" s="29"/>
      <c r="I260" s="29"/>
      <c r="J260" s="29"/>
      <c r="M260" s="30"/>
      <c r="N260" s="30"/>
      <c r="O260" s="32"/>
      <c r="P260" s="32"/>
      <c r="Q260" s="32"/>
      <c r="R260" s="32"/>
      <c r="S260" s="32"/>
    </row>
    <row r="261" spans="1:19">
      <c r="A261" s="29"/>
      <c r="B261" s="29"/>
      <c r="C261" s="29"/>
      <c r="D261" s="29"/>
      <c r="E261" s="29"/>
      <c r="F261" s="29"/>
      <c r="G261" s="29"/>
      <c r="I261" s="29"/>
      <c r="J261" s="29"/>
      <c r="M261" s="30"/>
      <c r="N261" s="30"/>
      <c r="O261" s="32"/>
      <c r="P261" s="32"/>
      <c r="Q261" s="32"/>
      <c r="R261" s="32"/>
      <c r="S261" s="32"/>
    </row>
    <row r="262" spans="1:19">
      <c r="A262" s="29"/>
      <c r="B262" s="29"/>
      <c r="C262" s="29"/>
      <c r="D262" s="29"/>
      <c r="E262" s="29"/>
      <c r="F262" s="29"/>
      <c r="G262" s="29"/>
      <c r="I262" s="29"/>
      <c r="J262" s="29"/>
      <c r="M262" s="30"/>
      <c r="N262" s="30"/>
      <c r="O262" s="32"/>
      <c r="P262" s="32"/>
      <c r="Q262" s="32"/>
      <c r="R262" s="32"/>
      <c r="S262" s="32"/>
    </row>
    <row r="263" spans="1:19">
      <c r="A263" s="29"/>
      <c r="B263" s="29"/>
      <c r="C263" s="29"/>
      <c r="D263" s="29"/>
      <c r="E263" s="29"/>
      <c r="F263" s="29"/>
      <c r="G263" s="29"/>
      <c r="I263" s="29"/>
      <c r="J263" s="29"/>
      <c r="M263" s="30"/>
      <c r="N263" s="30"/>
      <c r="O263" s="32"/>
      <c r="P263" s="32"/>
      <c r="Q263" s="32"/>
      <c r="R263" s="32"/>
      <c r="S263" s="32"/>
    </row>
    <row r="264" spans="1:19">
      <c r="A264" s="29"/>
      <c r="B264" s="29"/>
      <c r="C264" s="29"/>
      <c r="D264" s="29"/>
      <c r="E264" s="29"/>
      <c r="F264" s="29"/>
      <c r="G264" s="29"/>
      <c r="I264" s="29"/>
      <c r="J264" s="29"/>
      <c r="M264" s="30"/>
      <c r="N264" s="30"/>
      <c r="O264" s="32"/>
      <c r="P264" s="32"/>
      <c r="Q264" s="32"/>
      <c r="R264" s="32"/>
      <c r="S264" s="32"/>
    </row>
    <row r="265" spans="1:19">
      <c r="A265" s="29"/>
      <c r="B265" s="29"/>
      <c r="C265" s="29"/>
      <c r="D265" s="29"/>
      <c r="E265" s="29"/>
      <c r="F265" s="29"/>
      <c r="G265" s="29"/>
      <c r="I265" s="29"/>
      <c r="J265" s="29"/>
      <c r="M265" s="30"/>
      <c r="N265" s="30"/>
      <c r="O265" s="32"/>
      <c r="P265" s="32"/>
      <c r="Q265" s="32"/>
      <c r="R265" s="32"/>
      <c r="S265" s="32"/>
    </row>
    <row r="266" spans="1:19">
      <c r="A266" s="29"/>
      <c r="B266" s="29"/>
      <c r="C266" s="29"/>
      <c r="D266" s="29"/>
      <c r="E266" s="29"/>
      <c r="F266" s="29"/>
      <c r="G266" s="29"/>
      <c r="I266" s="29"/>
      <c r="J266" s="29"/>
      <c r="M266" s="30"/>
      <c r="N266" s="30"/>
      <c r="O266" s="32"/>
      <c r="P266" s="32"/>
      <c r="Q266" s="32"/>
      <c r="R266" s="32"/>
      <c r="S266" s="32"/>
    </row>
    <row r="267" spans="1:19">
      <c r="A267" s="29"/>
      <c r="B267" s="29"/>
      <c r="C267" s="29"/>
      <c r="D267" s="29"/>
      <c r="E267" s="29"/>
      <c r="F267" s="29"/>
      <c r="G267" s="29"/>
      <c r="I267" s="29"/>
      <c r="J267" s="29"/>
      <c r="M267" s="30"/>
      <c r="N267" s="30"/>
      <c r="O267" s="32"/>
      <c r="P267" s="32"/>
      <c r="Q267" s="32"/>
      <c r="R267" s="32"/>
      <c r="S267" s="32"/>
    </row>
    <row r="268" spans="1:19">
      <c r="A268" s="29"/>
      <c r="B268" s="29"/>
      <c r="C268" s="29"/>
      <c r="D268" s="29"/>
      <c r="E268" s="29"/>
      <c r="F268" s="29"/>
      <c r="G268" s="29"/>
      <c r="I268" s="29"/>
      <c r="J268" s="29"/>
      <c r="M268" s="30"/>
      <c r="N268" s="30"/>
      <c r="O268" s="32"/>
      <c r="P268" s="32"/>
      <c r="Q268" s="32"/>
      <c r="R268" s="32"/>
      <c r="S268" s="32"/>
    </row>
    <row r="269" spans="1:19">
      <c r="A269" s="29"/>
      <c r="B269" s="29"/>
      <c r="C269" s="29"/>
      <c r="D269" s="29"/>
      <c r="E269" s="29"/>
      <c r="F269" s="29"/>
      <c r="G269" s="29"/>
      <c r="I269" s="29"/>
      <c r="J269" s="29"/>
      <c r="M269" s="30"/>
      <c r="N269" s="30"/>
      <c r="O269" s="32"/>
      <c r="P269" s="32"/>
      <c r="Q269" s="32"/>
      <c r="R269" s="32"/>
      <c r="S269" s="32"/>
    </row>
    <row r="270" spans="1:19">
      <c r="A270" s="29"/>
      <c r="B270" s="29"/>
      <c r="C270" s="29"/>
      <c r="D270" s="29"/>
      <c r="E270" s="29"/>
      <c r="F270" s="29"/>
      <c r="G270" s="29"/>
      <c r="I270" s="29"/>
      <c r="J270" s="29"/>
      <c r="M270" s="30"/>
      <c r="N270" s="30"/>
      <c r="O270" s="32"/>
      <c r="P270" s="32"/>
      <c r="Q270" s="32"/>
      <c r="R270" s="32"/>
      <c r="S270" s="32"/>
    </row>
    <row r="271" spans="1:19">
      <c r="A271" s="29"/>
      <c r="B271" s="29"/>
      <c r="C271" s="29"/>
      <c r="D271" s="29"/>
      <c r="E271" s="29"/>
      <c r="F271" s="29"/>
      <c r="G271" s="29"/>
      <c r="I271" s="29"/>
      <c r="J271" s="29"/>
      <c r="M271" s="30"/>
      <c r="N271" s="30"/>
      <c r="O271" s="32"/>
      <c r="P271" s="32"/>
      <c r="Q271" s="32"/>
      <c r="R271" s="32"/>
      <c r="S271" s="32"/>
    </row>
    <row r="272" spans="1:19">
      <c r="A272" s="29"/>
      <c r="B272" s="29"/>
      <c r="C272" s="29"/>
      <c r="D272" s="29"/>
      <c r="E272" s="29"/>
      <c r="F272" s="29"/>
      <c r="G272" s="29"/>
      <c r="I272" s="29"/>
      <c r="J272" s="29"/>
      <c r="M272" s="30"/>
      <c r="N272" s="30"/>
      <c r="O272" s="32"/>
      <c r="P272" s="32"/>
      <c r="Q272" s="32"/>
      <c r="R272" s="32"/>
      <c r="S272" s="32"/>
    </row>
    <row r="273" spans="1:19">
      <c r="A273" s="29"/>
      <c r="B273" s="29"/>
      <c r="C273" s="29"/>
      <c r="D273" s="29"/>
      <c r="E273" s="29"/>
      <c r="F273" s="29"/>
      <c r="G273" s="29"/>
      <c r="I273" s="29"/>
      <c r="J273" s="29"/>
      <c r="M273" s="30"/>
      <c r="N273" s="30"/>
      <c r="O273" s="32"/>
      <c r="P273" s="32"/>
      <c r="Q273" s="32"/>
      <c r="R273" s="32"/>
      <c r="S273" s="32"/>
    </row>
    <row r="274" spans="1:19">
      <c r="A274" s="29"/>
      <c r="B274" s="29"/>
      <c r="C274" s="29"/>
      <c r="D274" s="29"/>
      <c r="E274" s="29"/>
      <c r="F274" s="29"/>
      <c r="G274" s="29"/>
      <c r="I274" s="29"/>
      <c r="J274" s="29"/>
      <c r="M274" s="30"/>
      <c r="N274" s="30"/>
      <c r="O274" s="32"/>
      <c r="P274" s="32"/>
      <c r="Q274" s="32"/>
      <c r="R274" s="32"/>
      <c r="S274" s="32"/>
    </row>
    <row r="275" spans="1:19">
      <c r="A275" s="29"/>
      <c r="B275" s="29"/>
      <c r="C275" s="29"/>
      <c r="D275" s="29"/>
      <c r="E275" s="29"/>
      <c r="F275" s="29"/>
      <c r="G275" s="29"/>
      <c r="I275" s="29"/>
      <c r="J275" s="29"/>
      <c r="M275" s="30"/>
      <c r="N275" s="30"/>
      <c r="O275" s="32"/>
      <c r="P275" s="32"/>
      <c r="Q275" s="32"/>
      <c r="R275" s="32"/>
      <c r="S275" s="32"/>
    </row>
    <row r="276" spans="1:19">
      <c r="A276" s="29"/>
      <c r="B276" s="29"/>
      <c r="C276" s="29"/>
      <c r="D276" s="29"/>
      <c r="E276" s="29"/>
      <c r="F276" s="29"/>
      <c r="G276" s="29"/>
      <c r="I276" s="29"/>
      <c r="J276" s="29"/>
      <c r="M276" s="30"/>
      <c r="N276" s="30"/>
      <c r="O276" s="32"/>
      <c r="P276" s="32"/>
      <c r="Q276" s="32"/>
      <c r="R276" s="32"/>
      <c r="S276" s="32"/>
    </row>
    <row r="277" spans="1:19">
      <c r="A277" s="29"/>
      <c r="B277" s="29"/>
      <c r="C277" s="29"/>
      <c r="D277" s="29"/>
      <c r="E277" s="29"/>
      <c r="F277" s="29"/>
      <c r="G277" s="29"/>
      <c r="I277" s="29"/>
      <c r="J277" s="29"/>
      <c r="M277" s="30"/>
      <c r="N277" s="30"/>
      <c r="O277" s="32"/>
      <c r="P277" s="32"/>
      <c r="Q277" s="32"/>
      <c r="R277" s="32"/>
      <c r="S277" s="32"/>
    </row>
    <row r="278" spans="1:19">
      <c r="A278" s="29"/>
      <c r="B278" s="29"/>
      <c r="C278" s="29"/>
      <c r="D278" s="29"/>
      <c r="E278" s="29"/>
      <c r="F278" s="29"/>
      <c r="G278" s="29"/>
      <c r="I278" s="29"/>
      <c r="J278" s="29"/>
      <c r="M278" s="30"/>
      <c r="N278" s="30"/>
      <c r="O278" s="32"/>
      <c r="P278" s="32"/>
      <c r="Q278" s="32"/>
      <c r="R278" s="32"/>
      <c r="S278" s="32"/>
    </row>
    <row r="279" spans="1:19">
      <c r="A279" s="29"/>
      <c r="B279" s="29"/>
      <c r="C279" s="29"/>
      <c r="D279" s="29"/>
      <c r="E279" s="29"/>
      <c r="F279" s="29"/>
      <c r="G279" s="29"/>
      <c r="I279" s="29"/>
      <c r="J279" s="29"/>
      <c r="M279" s="30"/>
      <c r="N279" s="30"/>
      <c r="O279" s="32"/>
      <c r="P279" s="32"/>
      <c r="Q279" s="32"/>
      <c r="R279" s="32"/>
      <c r="S279" s="32"/>
    </row>
    <row r="280" spans="1:19">
      <c r="A280" s="29"/>
      <c r="B280" s="29"/>
      <c r="C280" s="29"/>
      <c r="D280" s="29"/>
      <c r="E280" s="29"/>
      <c r="F280" s="29"/>
      <c r="G280" s="29"/>
      <c r="I280" s="29"/>
      <c r="J280" s="29"/>
      <c r="M280" s="30"/>
      <c r="N280" s="30"/>
      <c r="O280" s="32"/>
      <c r="P280" s="32"/>
      <c r="Q280" s="32"/>
      <c r="R280" s="32"/>
      <c r="S280" s="32"/>
    </row>
    <row r="281" spans="1:19">
      <c r="A281" s="29"/>
      <c r="B281" s="29"/>
      <c r="C281" s="29"/>
      <c r="D281" s="29"/>
      <c r="E281" s="29"/>
      <c r="F281" s="29"/>
      <c r="G281" s="29"/>
      <c r="I281" s="29"/>
      <c r="J281" s="29"/>
      <c r="M281" s="30"/>
      <c r="N281" s="30"/>
      <c r="O281" s="32"/>
      <c r="P281" s="32"/>
      <c r="Q281" s="32"/>
      <c r="R281" s="32"/>
      <c r="S281" s="32"/>
    </row>
    <row r="282" spans="1:19">
      <c r="A282" s="29"/>
      <c r="B282" s="29"/>
      <c r="C282" s="29"/>
      <c r="D282" s="29"/>
      <c r="E282" s="29"/>
      <c r="F282" s="29"/>
      <c r="G282" s="29"/>
      <c r="I282" s="29"/>
      <c r="J282" s="29"/>
      <c r="M282" s="30"/>
      <c r="N282" s="30"/>
      <c r="O282" s="32"/>
      <c r="P282" s="32"/>
      <c r="Q282" s="32"/>
      <c r="R282" s="32"/>
      <c r="S282" s="32"/>
    </row>
    <row r="283" spans="1:19">
      <c r="A283" s="29"/>
      <c r="B283" s="29"/>
      <c r="C283" s="29"/>
      <c r="D283" s="29"/>
      <c r="E283" s="29"/>
      <c r="F283" s="29"/>
      <c r="G283" s="29"/>
      <c r="I283" s="29"/>
      <c r="J283" s="29"/>
      <c r="M283" s="30"/>
      <c r="N283" s="30"/>
      <c r="O283" s="32"/>
      <c r="P283" s="32"/>
      <c r="Q283" s="32"/>
      <c r="R283" s="32"/>
      <c r="S283" s="32"/>
    </row>
    <row r="284" spans="1:19">
      <c r="A284" s="29"/>
      <c r="B284" s="29"/>
      <c r="C284" s="29"/>
      <c r="D284" s="29"/>
      <c r="E284" s="29"/>
      <c r="F284" s="29"/>
      <c r="G284" s="29"/>
      <c r="I284" s="29"/>
      <c r="J284" s="29"/>
      <c r="M284" s="30"/>
      <c r="N284" s="30"/>
      <c r="O284" s="32"/>
      <c r="P284" s="32"/>
      <c r="Q284" s="32"/>
      <c r="R284" s="32"/>
      <c r="S284" s="32"/>
    </row>
    <row r="285" spans="1:19">
      <c r="A285" s="29"/>
      <c r="B285" s="29"/>
      <c r="C285" s="29"/>
      <c r="D285" s="29"/>
      <c r="E285" s="29"/>
      <c r="F285" s="29"/>
      <c r="G285" s="29"/>
      <c r="I285" s="29"/>
      <c r="J285" s="29"/>
      <c r="M285" s="30"/>
      <c r="N285" s="30"/>
      <c r="O285" s="32"/>
      <c r="P285" s="32"/>
      <c r="Q285" s="32"/>
      <c r="R285" s="32"/>
      <c r="S285" s="32"/>
    </row>
    <row r="286" spans="1:19">
      <c r="A286" s="29"/>
      <c r="B286" s="29"/>
      <c r="C286" s="29"/>
      <c r="D286" s="29"/>
      <c r="E286" s="29"/>
      <c r="F286" s="29"/>
      <c r="G286" s="29"/>
      <c r="I286" s="29"/>
      <c r="J286" s="29"/>
      <c r="M286" s="30"/>
      <c r="N286" s="30"/>
      <c r="O286" s="32"/>
      <c r="P286" s="32"/>
      <c r="Q286" s="32"/>
      <c r="R286" s="32"/>
      <c r="S286" s="32"/>
    </row>
    <row r="287" spans="1:19">
      <c r="A287" s="29"/>
      <c r="B287" s="29"/>
      <c r="C287" s="29"/>
      <c r="D287" s="29"/>
      <c r="E287" s="29"/>
      <c r="F287" s="29"/>
      <c r="G287" s="29"/>
      <c r="I287" s="29"/>
      <c r="J287" s="29"/>
      <c r="M287" s="30"/>
      <c r="N287" s="30"/>
      <c r="O287" s="32"/>
      <c r="P287" s="32"/>
      <c r="Q287" s="32"/>
      <c r="R287" s="32"/>
      <c r="S287" s="32"/>
    </row>
    <row r="288" spans="1:19">
      <c r="A288" s="29"/>
      <c r="B288" s="29"/>
      <c r="C288" s="29"/>
      <c r="D288" s="29"/>
      <c r="E288" s="29"/>
      <c r="F288" s="29"/>
      <c r="G288" s="29"/>
      <c r="I288" s="29"/>
      <c r="J288" s="29"/>
      <c r="M288" s="30"/>
      <c r="N288" s="30"/>
      <c r="O288" s="32"/>
      <c r="P288" s="32"/>
      <c r="Q288" s="32"/>
      <c r="R288" s="32"/>
      <c r="S288" s="32"/>
    </row>
    <row r="289" spans="1:19">
      <c r="A289" s="29"/>
      <c r="B289" s="29"/>
      <c r="C289" s="29"/>
      <c r="D289" s="29"/>
      <c r="E289" s="29"/>
      <c r="F289" s="29"/>
      <c r="G289" s="29"/>
      <c r="I289" s="29"/>
      <c r="J289" s="29"/>
      <c r="M289" s="30"/>
      <c r="N289" s="30"/>
      <c r="O289" s="32"/>
      <c r="P289" s="32"/>
      <c r="Q289" s="32"/>
      <c r="R289" s="32"/>
      <c r="S289" s="32"/>
    </row>
    <row r="290" spans="1:19">
      <c r="A290" s="29"/>
      <c r="B290" s="29"/>
      <c r="C290" s="29"/>
      <c r="D290" s="29"/>
      <c r="E290" s="29"/>
      <c r="F290" s="29"/>
      <c r="G290" s="29"/>
      <c r="I290" s="29"/>
      <c r="J290" s="29"/>
      <c r="M290" s="30"/>
      <c r="N290" s="30"/>
      <c r="O290" s="32"/>
      <c r="P290" s="32"/>
      <c r="Q290" s="32"/>
      <c r="R290" s="32"/>
      <c r="S290" s="32"/>
    </row>
    <row r="291" spans="1:19">
      <c r="A291" s="29"/>
      <c r="B291" s="29"/>
      <c r="C291" s="29"/>
      <c r="D291" s="29"/>
      <c r="E291" s="29"/>
      <c r="F291" s="29"/>
      <c r="G291" s="29"/>
      <c r="I291" s="29"/>
      <c r="J291" s="29"/>
      <c r="M291" s="30"/>
      <c r="N291" s="30"/>
      <c r="O291" s="32"/>
      <c r="P291" s="32"/>
      <c r="Q291" s="32"/>
      <c r="R291" s="32"/>
      <c r="S291" s="32"/>
    </row>
    <row r="292" spans="1:19">
      <c r="A292" s="29"/>
      <c r="B292" s="29"/>
      <c r="C292" s="29"/>
      <c r="D292" s="29"/>
      <c r="E292" s="29"/>
      <c r="F292" s="29"/>
      <c r="G292" s="29"/>
      <c r="I292" s="29"/>
      <c r="J292" s="29"/>
      <c r="M292" s="30"/>
      <c r="N292" s="30"/>
      <c r="O292" s="32"/>
      <c r="P292" s="32"/>
      <c r="Q292" s="32"/>
      <c r="R292" s="32"/>
      <c r="S292" s="32"/>
    </row>
    <row r="293" spans="1:19">
      <c r="A293" s="29"/>
      <c r="B293" s="29"/>
      <c r="C293" s="29"/>
      <c r="D293" s="29"/>
      <c r="E293" s="29"/>
      <c r="F293" s="29"/>
      <c r="G293" s="29"/>
      <c r="I293" s="29"/>
      <c r="J293" s="29"/>
      <c r="M293" s="30"/>
      <c r="N293" s="30"/>
      <c r="O293" s="32"/>
      <c r="P293" s="32"/>
      <c r="Q293" s="32"/>
      <c r="R293" s="32"/>
      <c r="S293" s="32"/>
    </row>
    <row r="294" spans="1:19">
      <c r="A294" s="29"/>
      <c r="B294" s="29"/>
      <c r="C294" s="29"/>
      <c r="D294" s="29"/>
      <c r="E294" s="29"/>
      <c r="F294" s="29"/>
      <c r="G294" s="29"/>
      <c r="I294" s="29"/>
      <c r="J294" s="29"/>
      <c r="M294" s="30"/>
      <c r="N294" s="30"/>
      <c r="O294" s="32"/>
      <c r="P294" s="32"/>
      <c r="Q294" s="32"/>
      <c r="R294" s="32"/>
      <c r="S294" s="32"/>
    </row>
    <row r="295" spans="1:19">
      <c r="A295" s="29"/>
      <c r="B295" s="29"/>
      <c r="C295" s="29"/>
      <c r="D295" s="29"/>
      <c r="E295" s="29"/>
      <c r="F295" s="29"/>
      <c r="G295" s="29"/>
      <c r="I295" s="29"/>
      <c r="J295" s="29"/>
      <c r="M295" s="30"/>
      <c r="N295" s="30"/>
      <c r="O295" s="32"/>
      <c r="P295" s="32"/>
      <c r="Q295" s="32"/>
      <c r="R295" s="32"/>
      <c r="S295" s="32"/>
    </row>
    <row r="296" spans="1:19">
      <c r="A296" s="29"/>
      <c r="B296" s="29"/>
      <c r="C296" s="29"/>
      <c r="D296" s="29"/>
      <c r="E296" s="29"/>
      <c r="F296" s="29"/>
      <c r="G296" s="29"/>
      <c r="I296" s="29"/>
      <c r="J296" s="29"/>
      <c r="M296" s="30"/>
      <c r="N296" s="30"/>
      <c r="O296" s="32"/>
      <c r="P296" s="32"/>
      <c r="Q296" s="32"/>
      <c r="R296" s="32"/>
      <c r="S296" s="32"/>
    </row>
    <row r="297" spans="1:19">
      <c r="A297" s="29"/>
      <c r="B297" s="29"/>
      <c r="C297" s="29"/>
      <c r="D297" s="29"/>
      <c r="E297" s="29"/>
      <c r="F297" s="29"/>
      <c r="G297" s="29"/>
      <c r="I297" s="29"/>
      <c r="J297" s="29"/>
      <c r="M297" s="30"/>
      <c r="N297" s="30"/>
      <c r="O297" s="32"/>
      <c r="P297" s="32"/>
      <c r="Q297" s="32"/>
      <c r="R297" s="32"/>
      <c r="S297" s="32"/>
    </row>
    <row r="298" spans="1:19">
      <c r="A298" s="29"/>
      <c r="B298" s="29"/>
      <c r="C298" s="29"/>
      <c r="D298" s="29"/>
      <c r="E298" s="29"/>
      <c r="F298" s="29"/>
      <c r="G298" s="29"/>
      <c r="I298" s="29"/>
      <c r="J298" s="29"/>
      <c r="M298" s="30"/>
      <c r="N298" s="30"/>
      <c r="O298" s="32"/>
      <c r="P298" s="32"/>
      <c r="Q298" s="32"/>
      <c r="R298" s="32"/>
      <c r="S298" s="32"/>
    </row>
    <row r="299" spans="1:19">
      <c r="A299" s="29"/>
      <c r="B299" s="29"/>
      <c r="C299" s="29"/>
      <c r="D299" s="29"/>
      <c r="E299" s="29"/>
      <c r="F299" s="29"/>
      <c r="G299" s="29"/>
      <c r="I299" s="29"/>
      <c r="J299" s="29"/>
      <c r="M299" s="30"/>
      <c r="N299" s="30"/>
      <c r="O299" s="32"/>
      <c r="P299" s="32"/>
      <c r="Q299" s="32"/>
      <c r="R299" s="32"/>
      <c r="S299" s="32"/>
    </row>
    <row r="300" spans="1:19">
      <c r="A300" s="29"/>
      <c r="B300" s="2"/>
      <c r="C300" s="2"/>
      <c r="D300" s="2"/>
    </row>
    <row r="301" spans="1:19">
      <c r="A301" s="29"/>
      <c r="B301" s="2"/>
      <c r="C301" s="2"/>
      <c r="D301" s="2"/>
    </row>
    <row r="302" spans="1:19">
      <c r="A302" s="29"/>
      <c r="B302" s="2"/>
      <c r="C302" s="2"/>
      <c r="D302" s="2"/>
    </row>
    <row r="303" spans="1:19">
      <c r="A303" s="29"/>
      <c r="B303" s="2"/>
      <c r="C303" s="2"/>
      <c r="D303" s="2"/>
    </row>
    <row r="304" spans="1:19">
      <c r="A304" s="29"/>
      <c r="B304" s="2"/>
      <c r="C304" s="2"/>
      <c r="D304" s="2"/>
    </row>
    <row r="305" spans="1:1">
      <c r="A305" s="29"/>
    </row>
    <row r="306" spans="1:1">
      <c r="A306" s="29"/>
    </row>
  </sheetData>
  <autoFilter ref="A9:L246" xr:uid="{40A4B7A3-F207-4AF4-8579-95FFC9A7072F}"/>
  <dataConsolidate/>
  <mergeCells count="1">
    <mergeCell ref="B2:C2"/>
  </mergeCells>
  <conditionalFormatting sqref="F10">
    <cfRule type="cellIs" dxfId="36" priority="214" operator="equal">
      <formula>"Fulfilled"</formula>
    </cfRule>
    <cfRule type="cellIs" dxfId="35" priority="215" operator="equal">
      <formula>"Not verified"</formula>
    </cfRule>
    <cfRule type="cellIs" dxfId="34" priority="216" operator="equal">
      <formula>"Fullfilled"</formula>
    </cfRule>
    <cfRule type="cellIs" dxfId="33" priority="217" operator="equal">
      <formula>"N/A"</formula>
    </cfRule>
    <cfRule type="cellIs" dxfId="32" priority="218" operator="equal">
      <formula>"Open"</formula>
    </cfRule>
  </conditionalFormatting>
  <conditionalFormatting sqref="F25:F26">
    <cfRule type="cellIs" dxfId="31" priority="39" operator="equal">
      <formula>"Fulfilled"</formula>
    </cfRule>
    <cfRule type="cellIs" dxfId="30" priority="40" operator="equal">
      <formula>"Not verified"</formula>
    </cfRule>
    <cfRule type="cellIs" dxfId="29" priority="41" operator="equal">
      <formula>"Fullfilled"</formula>
    </cfRule>
    <cfRule type="cellIs" dxfId="28" priority="42" operator="equal">
      <formula>"N/A"</formula>
    </cfRule>
    <cfRule type="cellIs" dxfId="27" priority="43" operator="equal">
      <formula>"Open"</formula>
    </cfRule>
  </conditionalFormatting>
  <conditionalFormatting sqref="F24">
    <cfRule type="cellIs" dxfId="26" priority="34" operator="equal">
      <formula>"Fulfilled"</formula>
    </cfRule>
    <cfRule type="cellIs" dxfId="25" priority="35" operator="equal">
      <formula>"Not verified"</formula>
    </cfRule>
    <cfRule type="cellIs" dxfId="24" priority="36" operator="equal">
      <formula>"Fullfilled"</formula>
    </cfRule>
    <cfRule type="cellIs" dxfId="23" priority="37" operator="equal">
      <formula>"N/A"</formula>
    </cfRule>
    <cfRule type="cellIs" dxfId="22" priority="38" operator="equal">
      <formula>"Open"</formula>
    </cfRule>
  </conditionalFormatting>
  <conditionalFormatting sqref="K61:L310 M61:S299 B61:C65 E61:G65 B66:G299 B44:C59 E44:G59 D44:D65 I10:S58 I59 K59:S59 I61:I84 J59:J84 I85:J299">
    <cfRule type="expression" dxfId="21" priority="30">
      <formula>($B10&lt;&gt;$B11)</formula>
    </cfRule>
    <cfRule type="expression" dxfId="20" priority="31">
      <formula>($B10&lt;&gt;"")</formula>
    </cfRule>
  </conditionalFormatting>
  <conditionalFormatting sqref="B10:G43">
    <cfRule type="expression" dxfId="19" priority="22">
      <formula>($B10&lt;&gt;$B11)</formula>
    </cfRule>
    <cfRule type="expression" dxfId="18" priority="23">
      <formula>($B10&lt;&gt;"")</formula>
    </cfRule>
  </conditionalFormatting>
  <conditionalFormatting sqref="H10:H299">
    <cfRule type="expression" dxfId="17" priority="4">
      <formula>($B10&lt;&gt;$B11)</formula>
    </cfRule>
    <cfRule type="expression" dxfId="16" priority="10">
      <formula>($B10&lt;&gt;"")</formula>
    </cfRule>
  </conditionalFormatting>
  <conditionalFormatting sqref="O8:S8">
    <cfRule type="dataBar" priority="5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B60:C60 I60 E60:G60 K60:S60">
    <cfRule type="expression" dxfId="15" priority="223">
      <formula>($B60&lt;&gt;#REF!)</formula>
    </cfRule>
    <cfRule type="expression" dxfId="14" priority="224">
      <formula>($B60&lt;&gt;"")</formula>
    </cfRule>
  </conditionalFormatting>
  <conditionalFormatting sqref="H60">
    <cfRule type="expression" dxfId="13" priority="249">
      <formula>($B60&lt;&gt;#REF!)</formula>
    </cfRule>
    <cfRule type="expression" dxfId="12" priority="250">
      <formula>($B60&lt;&gt;"")</formula>
    </cfRule>
  </conditionalFormatting>
  <conditionalFormatting sqref="A10:A306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K10" r:id="rId1" tooltip="https://learn.microsoft.com/en-us/azure/architecture/guide/multitenant/considerations/tenancy-models" display="More info" xr:uid="{93CC6003-CC03-40D7-BA24-12F4BDDEDE73}"/>
    <hyperlink ref="K11" r:id="rId2" tooltip="https://learn.microsoft.com/en-us/azure/cloud-adoption-framework/ready/landing-zone/design-area/multi-tenant/automation" display="More info" xr:uid="{6E96513F-7B8D-4B3B-8C8A-BA5E92684F95}"/>
    <hyperlink ref="K12" r:id="rId3" tooltip="https://learn.microsoft.com/en-us/azure/cloud-adoption-framework/ready/landing-zone/design-area/multi-tenant/lighthouse" display="More info" xr:uid="{BA73BAF3-B8D4-477D-A628-B29D5A8B9FA6}"/>
    <hyperlink ref="K13" r:id="rId4" location="design-recommendations" tooltip="https://learn.microsoft.com/en-us/azure/cloud-adoption-framework/ready/landing-zone/design-area/azure-billing-microsoft-customer-agreement#design-recommendations" display="More info" xr:uid="{228BBC77-BC8F-4679-8617-ABDF77B68354}"/>
    <hyperlink ref="K14" r:id="rId5" location="design-recommendations" tooltip="https://learn.microsoft.com/en-us/azure/cloud-adoption-framework/ready/landing-zone/design-area/azure-billing-microsoft-customer-agreement#design-recommendations" display="More info" xr:uid="{A0442527-A2BA-47D2-8BF0-0B0F2F9E2B9B}"/>
    <hyperlink ref="K15" r:id="rId6" location="design-recommendations" tooltip="https://learn.microsoft.com/en-us/azure/cloud-adoption-framework/ready/landing-zone/design-area/azure-billing-microsoft-customer-agreement#design-recommendations" display="More info" xr:uid="{B36B70EC-0699-4D7D-85B5-CDD0C9B3EDB0}"/>
    <hyperlink ref="K16" r:id="rId7" location="manage-notification-contacts" tooltip="https://learn.microsoft.com/en-us/azure/cost-management-billing/manage/direct-ea-administration#manage-notification-contacts" display="More info" xr:uid="{9D221A04-5526-414D-A6C5-DBCD7181DDD2}"/>
    <hyperlink ref="K17" r:id="rId8" location="design-considerations" tooltip="https://learn.microsoft.com/en-us/azure/cloud-adoption-framework/ready/landing-zone/design-area/azure-billing-enterprise-agreement#design-considerations" display="More info" xr:uid="{505E84A3-D449-4A6D-9918-DC887A6313F2}"/>
    <hyperlink ref="K18" r:id="rId9" location="design-considerations" tooltip="https://learn.microsoft.com/en-us/azure/cloud-adoption-framework/ready/landing-zone/design-area/azure-billing-enterprise-agreement#design-considerations" display="More info" xr:uid="{4A8AFEB5-D568-4D3E-9BDE-6512438FF7FD}"/>
    <hyperlink ref="K20" r:id="rId10" location="design-considerations" tooltip="https://learn.microsoft.com/en-us/azure/cloud-adoption-framework/ready/landing-zone/design-area/azure-billing-enterprise-agreement#design-considerations" display="More info" xr:uid="{78468198-E5CA-47EE-8F80-B4DA668D3438}"/>
    <hyperlink ref="K21" r:id="rId11" location="design-considerations" tooltip="https://learn.microsoft.com/en-us/azure/cloud-adoption-framework/ready/landing-zone/design-area/azure-billing-enterprise-agreement#design-considerations" display="More info" xr:uid="{E927A381-5BA2-4E6B-B9DD-77269C5A9CE5}"/>
    <hyperlink ref="K22" r:id="rId12" location="design-recommendations" tooltip="https://learn.microsoft.com/en-us/azure/cloud-adoption-framework/ready/landing-zone/design-area/azure-billing-microsoft-customer-agreement#design-recommendations" display="More info" xr:uid="{422908ED-2285-48B1-A1E4-BDD2A974E0D5}"/>
    <hyperlink ref="K23" r:id="rId13" tooltip="https://learn.microsoft.com/en-us/azure/cost-management-billing/manage/mca-section-invoice" display="More info" xr:uid="{C16C262F-ED25-4A33-9C64-AF7F6AD00880}"/>
    <hyperlink ref="K24" r:id="rId14" location="design-recommendations" tooltip="https://learn.microsoft.com/en-us/azure/cloud-adoption-framework/ready/landing-zone/design-area/azure-billing-microsoft-customer-agreement#design-recommendations" display="More info" xr:uid="{0CEC9985-B462-4FAD-9EFF-C2DD63A1ADA3}"/>
    <hyperlink ref="K25" r:id="rId15" location="design-recommendations" tooltip="https://learn.microsoft.com/en-us/azure/cloud-adoption-framework/ready/landing-zone/design-area/azure-billing-microsoft-customer-agreement#design-recommendations" display="More info" xr:uid="{9D26BB3C-C3AA-45A2-985E-F3BD71AC6B31}"/>
    <hyperlink ref="K19" r:id="rId16" location="design-considerations" tooltip="https://learn.microsoft.com/en-us/azure/cloud-adoption-framework/ready/landing-zone/design-area/azure-billing-enterprise-agreement#design-considerations" display="More info" xr:uid="{E5479FD9-02BC-425F-BD6A-8A74B7C54042}"/>
    <hyperlink ref="K26" r:id="rId17" tooltip="https://learn.microsoft.com/azure/governance/policy/overview" display="More info" xr:uid="{488C6CA2-5DD4-43A1-B766-2584484AEDEA}"/>
    <hyperlink ref="K27" r:id="rId18" tooltip="https://learn.microsoft.com/azure/cloud-adoption-framework/ready/azure-best-practices/naming-and-tagging" display="More info" xr:uid="{E9086FD8-5E87-4471-A512-AE5FCF58E6BE}"/>
    <hyperlink ref="K28" r:id="rId19" tooltip="https://learn.microsoft.com/azure/governance/policy/overview" display="More info" xr:uid="{B1F3DFEC-F164-40E0-851F-BFAE534505AD}"/>
    <hyperlink ref="K29" r:id="rId20" tooltip="https://learn.microsoft.com/azure/governance/policy/overview" display="More info" xr:uid="{6F99F3F6-6749-4BB3-9603-0485E0D4A536}"/>
    <hyperlink ref="K30" r:id="rId21" tooltip="https://learn.microsoft.com/azure/governance/policy/overview" display="More info" xr:uid="{5B931ABC-F3E1-40D1-A445-CCF110EC5A5F}"/>
    <hyperlink ref="K31" r:id="rId22" location="am-2-use-only-approved-services" tooltip="https://learn.microsoft.com/security/benchmark/azure/mcsb-asset-management#am-2-use-only-approved-services" display="More info" xr:uid="{2126A085-5514-4534-9DDB-110BFBE42494}"/>
    <hyperlink ref="K32" r:id="rId23" tooltip="https://learn.microsoft.com/azure/governance/policy/overview" display="More info" xr:uid="{ACA1A54C-1965-47A7-A5BA-A2F158904F74}"/>
    <hyperlink ref="K33" r:id="rId24" location="azure-rbac-permissions-in-azure-policy" tooltip="https://learn.microsoft.com/azure/governance/policy/overview#azure-rbac-permissions-in-azure-policy" display="More info" xr:uid="{9076F7B6-B909-4FB4-94BC-8B6053135612}"/>
    <hyperlink ref="K34" r:id="rId25" tooltip="https://learn.microsoft.com/azure/governance/policy/overview" display="More info" xr:uid="{47E22997-2F56-4148-B917-06EE35583E86}"/>
    <hyperlink ref="K35" r:id="rId26" tooltip="https://learn.microsoft.com/en-us/azure/automation/automation-solution-vm-management-config" display="More info" xr:uid="{F6C20C84-B221-4A66-868F-CEE58FFB3A62}"/>
    <hyperlink ref="K36" r:id="rId27" tooltip="https://learn.microsoft.com/en-us/azure/cost-management-billing/costs/tutorial-acm-create-budgets?bc=%2Fazure%2Fcloud-adoption-framework%2F_bread%2Ftoc.json&amp;toc=%2Fazure%2Fcloud-adoption-framework%2Ftoc.json" display="More info" xr:uid="{C179B872-BD0E-4EE4-9DBE-7374389A4FE6}"/>
    <hyperlink ref="K37" r:id="rId28" location="identity-and-access-management-in-the-azure-landing-zone-accelerator" tooltip="https://learn.microsoft.com/en-us/azure/cloud-adoption-framework/ready/landing-zone/design-area/identity-access-landing-zones#identity-and-access-management-in-the-azure-landing-zone-accelerator" display="More info" xr:uid="{AAADEB09-EE74-4CFF-B55A-16E74C8061AD}"/>
    <hyperlink ref="K38" r:id="rId29" tooltip="https://learn.microsoft.com/azure/active-directory/hybrid/how-to-connect-sync-staging-server" display="More info" xr:uid="{FE2B978D-C74E-4685-BDEA-31A46492974C}"/>
    <hyperlink ref="K39" r:id="rId30" tooltip="https://learn.microsoft.com/azure/active-directory/roles/security-emergency-access" display="More info" xr:uid="{3567CF90-C187-4988-B4FF-CCF0D6C7FFFF}"/>
    <hyperlink ref="K40" r:id="rId31" tooltip="https://learn.microsoft.com/en-us/azure/active-directory/reports-monitoring/concept-activity-logs-azure-monitor" display="More info" xr:uid="{231AC19F-7087-4546-A787-EEC4572C3D68}"/>
    <hyperlink ref="K41" r:id="rId32" tooltip="https://learn.microsoft.com/azure/role-based-access-control/overview" display="More info" xr:uid="{64511AB2-4641-43A6-813D-99BAAC12B32A}"/>
    <hyperlink ref="K42" r:id="rId33" tooltip="https://learn.microsoft.com/azure/active-directory/conditional-access/overview" display="More info" xr:uid="{3AEA4A22-B5BB-4511-A233-72EEF457FD19}"/>
    <hyperlink ref="K43" r:id="rId34" tooltip="https://learn.microsoft.com/azure/active-directory/authentication/concept-mfa-howitworks" display="More info" xr:uid="{B2E2BDCD-75C7-403C-9DEE-6902C5F222E9}"/>
    <hyperlink ref="K44" r:id="rId35" tooltip="https://learn.microsoft.com/azure/cloud-adoption-framework/manage/centralize-operations" display="More info" xr:uid="{694D466D-D72C-4200-9B15-F331FF243390}"/>
    <hyperlink ref="K45" r:id="rId36" tooltip="https://learn.microsoft.com/azure/active-directory/privileged-identity-management/pim-configure" display="More info" xr:uid="{253E4C2F-C887-4B81-8BE0-30322F71C8E6}"/>
    <hyperlink ref="K47" r:id="rId37" tooltip="https://learn.microsoft.com/azure/active-directory/fundamentals/active-directory-groups-create-azure-portal" display="More info" xr:uid="{72A689F0-C8A8-4D33-B754-77A3290A71EA}"/>
    <hyperlink ref="K48" r:id="rId38" location="prerequisites-for-a-landing-zone---design-recommendations" tooltip="https://learn.microsoft.com/azure/cloud-adoption-framework/ready/landing-zone/design-area/identity-access#prerequisites-for-a-landing-zone---design-recommendations" display="More info" xr:uid="{5EC20A4B-9D07-437D-AD65-D13CCAF24FB1}"/>
    <hyperlink ref="K49" r:id="rId39" tooltip="https://azure.microsoft.com/resources/achieving-compliant-data-residency-and-security-with-azure/" display="More info" xr:uid="{010B0C91-AD73-466C-B186-B983E17D63E7}"/>
    <hyperlink ref="K50" r:id="rId40" tooltip="https://learn.microsoft.com/azure/active-directory-domain-services/overview" display="More info" xr:uid="{E2754546-A18D-4A79-AD03-CBD8FDA1C74E}"/>
    <hyperlink ref="K51" r:id="rId41" tooltip="https://learn.microsoft.com/azure/active-directory-domain-services/overview" display="More info" xr:uid="{039C314A-E9CB-46D0-A391-74A3343EA0FF}"/>
    <hyperlink ref="K52" r:id="rId42" tooltip="https://learn.microsoft.com/azure/architecture/reference-architectures/identity/adds-extend-domain" display="More info" xr:uid="{95F7A5D1-23F5-4DAA-AB2C-27414C2D858C}"/>
    <hyperlink ref="K53" r:id="rId43" tooltip="https://learn.microsoft.com/azure/active-directory/app-proxy/application-proxy" display="More info" xr:uid="{6C3059D2-6775-4B2F-A53D-FCA2066E760C}"/>
    <hyperlink ref="K54" r:id="rId44" tooltip="https://learn.microsoft.com/azure/active-directory/roles/best-practices" display="More info" xr:uid="{C195CCC1-4E00-4999-A8CE-F83E93E90455}"/>
    <hyperlink ref="K55" r:id="rId45" location="managed-identities" tooltip="https://learn.microsoft.com/en-us/azure/cloud-adoption-framework/ready/landing-zone/design-area/identity-access-landing-zones#managed-identities" display="More info" xr:uid="{8582436A-3E90-4D65-A103-2F7A5D96620F}"/>
    <hyperlink ref="K56" r:id="rId46" location="rbac-recommendations" tooltip="https://learn.microsoft.com/en-us/azure/cloud-adoption-framework/ready/landing-zone/design-area/identity-access-landing-zones#rbac-recommendations" display="More info" xr:uid="{2CC35669-3F85-4D8C-8CF1-BB9108A03553}"/>
    <hyperlink ref="K57" r:id="rId47" tooltip="https://learn.microsoft.com/en-us/azure/active-directory/privileged-identity-management/pim-create-roles-and-resource-roles-review" display="More info" xr:uid="{097D6AFB-8FDF-456B-8DE4-002A02639E3B}"/>
    <hyperlink ref="K58" r:id="rId48" location="add-diagnostic-settings-to-save-your-wafs-logs" tooltip="https://learn.microsoft.com/azure/web-application-firewall/afds/waf-front-door-best-practices#add-diagnostic-settings-to-save-your-wafs-logs" display="More info" xr:uid="{572C7D51-D3F6-4964-8889-B6AE4DA3F4CA}"/>
    <hyperlink ref="K59" r:id="rId49" location="send-logs-to-microsoft-sentinel" tooltip="https://learn.microsoft.com/azure/web-application-firewall/afds/waf-front-door-best-practices#send-logs-to-microsoft-sentinel" display="More info" xr:uid="{EB5C7937-CB8B-4C5A-9A43-58800CCD957B}"/>
    <hyperlink ref="K60" r:id="rId50" tooltip="https://learn.microsoft.com/azure/reliability/cross-region-replication-azure" display="More info" xr:uid="{094B325A-8281-48F4-B50A-8B5BBAB09C35}"/>
    <hyperlink ref="K61" r:id="rId51" tooltip="https://learn.microsoft.com/azure/storage/common/storage-redundancy" display="More info" xr:uid="{38D86C10-079A-4F51-A9D5-9951D0AE08D7}"/>
    <hyperlink ref="K62" r:id="rId52" tooltip="https://learn.microsoft.com/azure/azure-monitor/logs/design-logs-deployment" display="More info" xr:uid="{48CBBF5D-D77D-40EF-8102-730E5B31587E}"/>
    <hyperlink ref="K64" r:id="rId53" location="how-retention-and-archiving-work" tooltip="https://learn.microsoft.com/en-us/azure/azure-monitor/logs/data-retention-archive?tabs=portal-1%2Cportal-2#how-retention-and-archiving-work" display="More info" xr:uid="{95BFCBF5-24DB-497B-95B3-652F769E3F44}"/>
    <hyperlink ref="K65" r:id="rId54" tooltip="https://learn.microsoft.com/azure/azure-monitor/logs/design-logs-deployment" display="More info" xr:uid="{B9A634DE-3940-4FBA-9DB5-84BBAFC6476B}"/>
    <hyperlink ref="K66" r:id="rId55" tooltip="https://learn.microsoft.com/azure/governance/policy/how-to/guest-configuration-create" display="More info" xr:uid="{A6FD52E0-47AE-4F34-87CE-A4F5BF481BD1}"/>
    <hyperlink ref="K67" r:id="rId56" tooltip="https://learn.microsoft.com/azure/automation/update-management/overview" display="More info" xr:uid="{2FFE7188-A87E-4393-B15F-FCF6E68CDD2C}"/>
    <hyperlink ref="K68" r:id="rId57" tooltip="https://learn.microsoft.com/azure/network-watcher/network-watcher-monitoring-overview" display="More info" xr:uid="{8166198E-B9D6-4866-BF9E-FD6F001EAA95}"/>
    <hyperlink ref="K69" r:id="rId58" tooltip="https://learn.microsoft.com/azure/azure-resource-manager/management/lock-resources?tabs=json" display="More info" xr:uid="{62DD172E-E8B1-4574-AF43-FE8DDA769C44}"/>
    <hyperlink ref="K70" r:id="rId59" tooltip="https://learn.microsoft.com/azure/governance/policy/overview" display="More info" xr:uid="{135A6B73-D539-4C9E-B5CF-9A40D41A2821}"/>
    <hyperlink ref="K71" r:id="rId60" tooltip="https://learn.microsoft.com/azure/service-health/alerts-activity-log-service-notifications-portal" display="More info" xr:uid="{D3DC4664-4730-4405-9FE2-1E8947179032}"/>
    <hyperlink ref="K72" r:id="rId61" tooltip="https://learn.microsoft.com/azure/azure-monitor/alerts/action-groups" display="More info" xr:uid="{9CA9B12B-7E1E-4230-B0BB-98F843803B38}"/>
    <hyperlink ref="K73" r:id="rId62" tooltip="https://learn.microsoft.com/azure/sentinel/quickstart-onboard" display="More info" xr:uid="{6892E0BD-4E2E-46FA-929C-13B9DB386D86}"/>
    <hyperlink ref="K74" r:id="rId63" tooltip="https://learn.microsoft.com/azure/azure-monitor/logs/design-logs-deployment" display="More info" xr:uid="{DF72FD39-82F6-4938-AFBA-16931D94C039}"/>
    <hyperlink ref="K75" r:id="rId64" tooltip="https://learn.microsoft.com/azure/cloud-adoption-framework/ready/azure-setup-guide/monitoring-reporting?tabs=AzureMonitor" display="More info" xr:uid="{7AFA5395-1E9D-4150-AF51-B247F59E783E}"/>
    <hyperlink ref="K76" r:id="rId65" tooltip="https://learn.microsoft.com/azure/azure-monitor/agents/diagnostics-extension-overview" display="More info" xr:uid="{8899BFE6-712B-447A-9B27-2BBAE191D988}"/>
    <hyperlink ref="K77" r:id="rId66" tooltip="https://learn.microsoft.com/azure/azure-monitor/alerts/alerts-overview" display="More info" xr:uid="{31C11A4B-9329-4D0E-B4AE-493A52F1222C}"/>
    <hyperlink ref="K78" r:id="rId67" tooltip="https://learn.microsoft.com/azure/architecture/best-practices/monitoring" display="More info" xr:uid="{59038A1A-DEB3-4D4F-B6C1-62AF8C78251F}"/>
    <hyperlink ref="K79" r:id="rId68" tooltip="https://learn.microsoft.com/azure/automation/how-to/region-mappings" display="More info" xr:uid="{1AFA657B-BE8D-4857-A819-52DB5D503AB9}"/>
    <hyperlink ref="K80" r:id="rId69" tooltip="https://learn.microsoft.com/azure/governance/policy/concepts/guest-configuration" display="More info" xr:uid="{3A287CFD-4C9E-4C01-A158-6D0A3E236F8A}"/>
    <hyperlink ref="K81" r:id="rId70" location="monitoring-for-configuration-drift" tooltip="https://learn.microsoft.com/azure/cloud-adoption-framework/ready/landing-zone/design-area/management-operational-compliance#monitoring-for-configuration-drift" display="More info" xr:uid="{DDFCEE25-BDFE-45B6-99D0-4DD061DC8CAD}"/>
    <hyperlink ref="K82" r:id="rId71" tooltip="https://learn.microsoft.com/azure/site-recovery/site-recovery-overview" display="More info" xr:uid="{7FC1BF85-A743-4657-835F-46D5BBC09222}"/>
    <hyperlink ref="K83" r:id="rId72" tooltip="https://learn.microsoft.com/azure/architecture/framework/resiliency/backup-and-recovery" display="More info" xr:uid="{98B332D0-EC7F-42EE-B66A-81444C968FD4}"/>
    <hyperlink ref="K84" r:id="rId73" tooltip="https://learn.microsoft.com/azure/backup/backup-center-overview" display="More info" xr:uid="{26359530-FF16-4BCC-905A-072200D7CCFD}"/>
    <hyperlink ref="K85" r:id="rId74" tooltip="https://learn.microsoft.com/azure/reliability/availability-zones-overview" display="More info" xr:uid="{84A91067-ADA6-483E-9BA0-230E1F5CB64D}"/>
    <hyperlink ref="K86" r:id="rId75" tooltip="https://learn.microsoft.com/azure/virtual-machines/availability" display="More info" xr:uid="{37879A25-5DDD-4A5D-8137-F53BFF98C3B8}"/>
    <hyperlink ref="K87" r:id="rId76" tooltip="https://learn.microsoft.com/azure/load-balancer/load-balancer-overview" display="More info" xr:uid="{62CE6B9F-DDC2-45BB-9F14-DAA22F05EDEA}"/>
    <hyperlink ref="K88" r:id="rId77" tooltip="https://learn.microsoft.com/azure/virtual-machine-scale-sets/overview" display="More info" xr:uid="{776DAA33-3115-4361-BBCD-866C4F8A43C5}"/>
    <hyperlink ref="K89" r:id="rId78" location="use-latest-version-for-customer-managed-certificates" tooltip="https://learn.microsoft.com/azure/frontdoor/best-practices#use-latest-version-for-customer-managed-certificates" display="More info" xr:uid="{6434601F-0925-460E-9B0D-CB6D82572B61}"/>
    <hyperlink ref="K90" r:id="rId79" location="management-groups-in-the-azure-landing-zone-accelerator" tooltip="https://learn.microsoft.com/azure/cloud-adoption-framework/ready/landing-zone/design-area/resource-org-management-groups#management-groups-in-the-azure-landing-zone-accelerator" display="More info" xr:uid="{21B135CC-9761-4ED9-A35F-145ABDD20183}"/>
    <hyperlink ref="K91" r:id="rId80" tooltip="https://learn.microsoft.com/azure/application-gateway/overview-v2" display="More info" xr:uid="{10084C90-7104-463D-A24B-5AEF3F61BC11}"/>
    <hyperlink ref="K92" r:id="rId81" tooltip="https://learn.microsoft.com/azure/load-balancer/load-balancer-overview" display="More info" xr:uid="{66374E02-6DBE-4428-A7F6-092329880C14}"/>
    <hyperlink ref="K93" r:id="rId82" location="size-of-the-subnet" tooltip="https://learn.microsoft.com/azure/application-gateway/configuration-infrastructure#size-of-the-subnet" display="More info" xr:uid="{DCCE2662-758F-4695-9BF2-BE9329514C8E}"/>
    <hyperlink ref="K94" r:id="rId83" tooltip="https://learn.microsoft.com/azure/web-application-firewall/ag/ag-overview" display="More info" xr:uid="{1AC4C8FF-8734-4004-BCCB-BD8FAD948889}"/>
    <hyperlink ref="K95" r:id="rId84" tooltip="https://learn.microsoft.com/azure/web-application-firewall/ag/ag-overview" display="More info" xr:uid="{E8D06FBC-7804-43F5-889D-17040EB14DCA}"/>
    <hyperlink ref="K96" r:id="rId85" tooltip="https://learn.microsoft.com/azure/web-application-firewall/ag/ag-overview" display="More info" xr:uid="{7C631A1D-02DC-4391-A473-8DBEF2F54FED}"/>
    <hyperlink ref="K97" r:id="rId86" tooltip="https://learn.microsoft.com/azure/ddos-protection/ddos-protection-overview" display="More info" xr:uid="{30A8114A-D8C2-4896-9F45-E021E8DF0D49}"/>
    <hyperlink ref="K98" r:id="rId87" tooltip="https://learn.microsoft.com/azure/web-application-firewall/ag/ag-overview" display="More info" xr:uid="{BC9ABA03-43BE-4496-9603-645E1C0A5EC1}"/>
    <hyperlink ref="K99" r:id="rId88" location="how-application-proxy-works" tooltip="https://learn.microsoft.com/azure/active-directory/app-proxy/application-proxy#how-application-proxy-works" display="More info" xr:uid="{B4DEFFC2-FEE2-4C63-A046-6CBD51284B51}"/>
    <hyperlink ref="K100" r:id="rId89" location="how-application-proxy-works" tooltip="https://learn.microsoft.com/azure/active-directory/app-proxy/application-proxy#how-application-proxy-works" display="More info" xr:uid="{F07D6D4D-8F53-4FC0-9B6B-3DA75B1F380B}"/>
    <hyperlink ref="K101" r:id="rId90" tooltip="https://learn.microsoft.com/azure/web-application-firewall/afds/waf-front-door-policy-settings" display="More info" xr:uid="{5229EA24-9CD7-4114-9397-CC0B5172337F}"/>
    <hyperlink ref="K102" r:id="rId91" location="avoid-combining-traffic-manager-and-front-door" tooltip="https://learn.microsoft.com/azure/frontdoor/best-practices#avoid-combining-traffic-manager-and-front-door" display="More info" xr:uid="{22A368BB-0FD3-44D0-B752-6964EF1F00DD}"/>
    <hyperlink ref="K103" r:id="rId92" location="use-the-same-domain-name-on-front-door-and-your-origin" tooltip="https://learn.microsoft.com/azure/frontdoor/best-practices#use-the-same-domain-name-on-front-door-and-your-origin" display="More info" xr:uid="{0CD8CD5D-4EEA-4659-9BF5-62B657C8F693}"/>
    <hyperlink ref="K104" r:id="rId93" location="disable-health-probes-when-theres-only-one-origin-in-an-origin-group" tooltip="https://learn.microsoft.com/azure/frontdoor/best-practices#disable-health-probes-when-theres-only-one-origin-in-an-origin-group" display="More info" xr:uid="{022136D8-373D-456B-94F7-F11C180503F9}"/>
    <hyperlink ref="K105" r:id="rId94" location="select-good-health-probe-endpoints" tooltip="https://learn.microsoft.com/azure/frontdoor/best-practices#select-good-health-probe-endpoints" display="More info" xr:uid="{7474E3E2-A7B4-4CE1-AA36-FEA5E6E8E2BE}"/>
    <hyperlink ref="K106" r:id="rId95" location="use-head-health-probes" tooltip="https://learn.microsoft.com/azure/frontdoor/best-practices#use-head-health-probes" display="More info" xr:uid="{9C0DA23A-2C87-4C5D-A5CF-C81C08603351}"/>
    <hyperlink ref="K107" r:id="rId96" location="outbound-connectivity" tooltip="https://learn.microsoft.com/azure/nat-gateway/nat-overview#outbound-connectivity" display="More info" xr:uid="{9CBC4057-9FBF-4B73-87B7-B6CDFE4499D5}"/>
    <hyperlink ref="K108" r:id="rId97" location="use-managed-tls-certificates" tooltip="https://learn.microsoft.com/azure/frontdoor/best-practices#use-managed-tls-certificates" display="More info" xr:uid="{0FB691E4-CFA8-4084-9BDD-9EC0323904C0}"/>
    <hyperlink ref="K109" r:id="rId98" location="define-your-waf-configuration-as-code" tooltip="https://learn.microsoft.com/azure/web-application-firewall/afds/waf-front-door-best-practices#define-your-waf-configuration-as-code" display="More info" xr:uid="{E4CF4B38-B002-40C0-B7A3-13298137BEE5}"/>
    <hyperlink ref="K110" r:id="rId99" tooltip="https://learn.microsoft.com/azure/virtual-network/network-security-group-how-it-works" display="More info" xr:uid="{3C609B16-4390-49AF-B36E-59D349DF7ED0}"/>
    <hyperlink ref="K111" r:id="rId100" tooltip="https://learn.microsoft.com/azure/expressroute/expressroute-erdirect-about" display="More info" xr:uid="{15B77363-4477-45F7-9FCE-E19368CBBC06}"/>
    <hyperlink ref="K112" r:id="rId101" tooltip="https://learn.microsoft.com/azure/cloud-adoption-framework/ready/enterprise-scale/network-topology-and-connectivity" display="More info" xr:uid="{985E7D8F-97B2-4AD1-B2DA-455A90BC8017}"/>
    <hyperlink ref="K113" r:id="rId102" tooltip="https://learn.microsoft.com/azure/architecture/reference-architectures/hybrid-networking/expressroute" display="More info" xr:uid="{A044F49E-E1BF-4440-A682-264C275D36B3}"/>
    <hyperlink ref="K114" r:id="rId103" tooltip="https://learn.microsoft.com/azure/architecture/reference-architectures/dmz/nva-ha" display="More info" xr:uid="{FEFFA331-7CC1-47E5-B2CD-8B2CFB15A17D}"/>
    <hyperlink ref="K115" r:id="rId104" location="to-enable-transit-routing-between-expressroute-and-azure-vpn" tooltip="https://learn.microsoft.com/azure/expressroute/expressroute-howto-coexist-resource-manager#to-enable-transit-routing-between-expressroute-and-azure-vpn" display="More info" xr:uid="{EB44E6AB-5F1C-4F87-9B98-3D281EF228CB}"/>
    <hyperlink ref="K116" r:id="rId105" location="create-a-route-server-1" tooltip="https://learn.microsoft.com/azure/route-server/quickstart-configure-route-server-portal#create-a-route-server-1" display="More info" xr:uid="{25EDE0AE-32D0-42F5-B3D6-BC57FC4A6FAA}"/>
    <hyperlink ref="K117" r:id="rId106" location="can-i-create-a-peering-connection-to-a-vnet-in-a-different-region" tooltip="https://learn.microsoft.com/azure/virtual-network/virtual-networks-faq#can-i-create-a-peering-connection-to-a-vnet-in-a-different-region" display="More info" xr:uid="{08DD17C3-119A-4E8E-A8DE-FF2AE0950401}"/>
    <hyperlink ref="K118" r:id="rId107" tooltip="https://learn.microsoft.com/azure/azure-monitor/insights/network-insights-overview" display="More info" xr:uid="{D897FE84-09AE-473A-A341-70E3D0396C16}"/>
    <hyperlink ref="K119" r:id="rId108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C9713C0D-B716-49E8-BEF0-57243DC3DF60}"/>
    <hyperlink ref="K120" r:id="rId109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97578265-5149-48F9-B22F-E2319D5909D9}"/>
    <hyperlink ref="L67" r:id="rId110" tooltip="https://learn.microsoft.com/learn/paths/azure-administrator-manage-compute-resources/" display="Training" xr:uid="{52A272F9-460B-4C5B-AD4D-800BC0B52769}"/>
    <hyperlink ref="L68" r:id="rId111" tooltip="https://learn.microsoft.com/learn/modules/configure-network-watcher/" display="Training" xr:uid="{32288645-D892-4531-A5CF-174CA1CB18E4}"/>
    <hyperlink ref="L93" r:id="rId112" tooltip="https://learn.microsoft.com/learn/paths/secure-application-delivery/" display="Training" xr:uid="{4E4AB744-DFCA-4C35-9E19-DD12ADF8EF6C}"/>
    <hyperlink ref="L96" r:id="rId113" tooltip="https://learn.microsoft.com/learn/paths/secure-networking-infrastructure/" display="Training" xr:uid="{7F595BEC-43DB-40C6-B3FC-B945BD59828F}"/>
    <hyperlink ref="L97" r:id="rId114" tooltip="https://learn.microsoft.com/learn/paths/secure-networking-infrastructure/" display="Training" xr:uid="{4AEA6F35-30EA-4BDA-B107-53C9C74C56A1}"/>
    <hyperlink ref="L98" r:id="rId115" tooltip="https://learn.microsoft.com/learn/paths/secure-networking-infrastructure/" display="Training" xr:uid="{B2092247-4F38-4A11-A5A0-C0E10191BF18}"/>
    <hyperlink ref="L112" r:id="rId116" tooltip="https://learn.microsoft.com/learn/paths/architect-network-infrastructure/" display="Training" xr:uid="{59DC0835-F30B-46A5-903E-663ECE48373C}"/>
    <hyperlink ref="L117" r:id="rId117" tooltip="https://learn.microsoft.com/learn/paths/azure-administrator-manage-virtual-networks/" display="Training" xr:uid="{EE27FDD3-5B96-4F9F-AF8E-07BD69B5902A}"/>
    <hyperlink ref="K121" r:id="rId118" tooltip="https://learn.microsoft.com/azure/virtual-network/virtual-network-manage-peering" display="More info" xr:uid="{38292494-9595-4B36-BAA4-AB9FC41AA35D}"/>
    <hyperlink ref="K122" r:id="rId119" tooltip="https://learn.microsoft.com/azure/architecture/reference-architectures/hybrid-networking/hub-spoke?tabs=cli" display="More info" xr:uid="{78A0B359-DAE0-4ED6-A9C1-22B343974F9E}"/>
    <hyperlink ref="L122" r:id="rId120" tooltip="https://learn.microsoft.com/learn/modules/design-implement-azure-expressroute/" display="Training" xr:uid="{0A1B2551-B4FA-494E-8022-816EB5389CC9}"/>
    <hyperlink ref="K123" r:id="rId121" tooltip="https://learn.microsoft.com/azure/expressroute/expressroute-routing" display="More info" xr:uid="{9C8DB216-B3DE-4D8C-9718-4F74060DC96A}"/>
    <hyperlink ref="L123" r:id="rId122" tooltip="https://learn.microsoft.com/learn/modules/design-implement-azure-expressroute/" display="Training" xr:uid="{7A89753E-4CA5-4F7D-9D47-CB880E40DB08}"/>
    <hyperlink ref="K124" r:id="rId123" tooltip="https://learn.microsoft.com/azure/expressroute/expressroute-routing" display="More info" xr:uid="{9BDB2086-DB65-4965-9469-1AF2DF6B406E}"/>
    <hyperlink ref="L124" r:id="rId124" tooltip="https://learn.microsoft.com/learn/modules/design-implement-azure-expressroute/" display="Training" xr:uid="{81CE7FDC-B169-476B-8D0F-067E4B2D4B52}"/>
    <hyperlink ref="K125" r:id="rId125" tooltip="https://learn.microsoft.com/azure/expressroute/plan-manage-cost" display="More info" xr:uid="{01D0A181-837C-4C8B-8D09-0EF99B5A0DDD}"/>
    <hyperlink ref="K126" r:id="rId126" location="expressroute-local" tooltip="https://learn.microsoft.com/azure/expressroute/expressroute-faqs#expressroute-local" display="More info" xr:uid="{77E02D53-0C45-469A-9F7F-7CB052817C32}"/>
    <hyperlink ref="K127" r:id="rId127" tooltip="https://learn.microsoft.com/azure/expressroute/expressroute-about-virtual-network-gateways" display="More info" xr:uid="{FDFB3074-73A4-4F1D-9547-EBA619777A4C}"/>
    <hyperlink ref="L127" r:id="rId128" tooltip="https://learn.microsoft.com/learn/modules/design-implement-azure-expressroute/" display="Training" xr:uid="{9C10B0CC-AA11-4793-8F33-AC3C384DAB34}"/>
    <hyperlink ref="K128" r:id="rId129" tooltip="https://learn.microsoft.com/azure/networking/" display="More info" xr:uid="{AA232881-D8E1-4B1F-BCFA-C04862C6E938}"/>
    <hyperlink ref="L128" r:id="rId130" tooltip="https://learn.microsoft.com/learn/modules/design-implement-azure-expressroute/" display="Training" xr:uid="{F9E6DE49-D489-4818-9860-57E42B53B68F}"/>
    <hyperlink ref="K129" r:id="rId131" tooltip="https://learn.microsoft.com/azure/expressroute/about-fastpath" display="More info" xr:uid="{3CDE6068-60AA-433B-8318-A122CE6D8D23}"/>
    <hyperlink ref="K130" r:id="rId132" tooltip="https://learn.microsoft.com/azure/vpn-gateway/create-zone-redundant-vnet-gateway" display="More info" xr:uid="{D2483C50-1FEC-441A-95D3-89E7F8E3A370}"/>
    <hyperlink ref="K131" r:id="rId133" tooltip="https://learn.microsoft.com/azure/expressroute/expressroute-erdirect-about" display="More info" xr:uid="{2995C924-0F05-49DA-AC62-99FE86226E91}"/>
    <hyperlink ref="K132" r:id="rId134" tooltip="https://learn.microsoft.com/azure/architecture/framework/services/networking/expressroute/reliability" display="More info" xr:uid="{372D42A9-14AB-4FDA-9277-37FAC2951D44}"/>
    <hyperlink ref="K133" r:id="rId135" tooltip="https://learn.microsoft.com/azure/expressroute/expressroute-monitoring-metrics-alerts" display="More info" xr:uid="{D025418B-1CCD-4542-8922-FC285F25695E}"/>
    <hyperlink ref="K134" r:id="rId136" tooltip="https://learn.microsoft.com/azure/expressroute/how-to-configure-connection-monitor" display="More info" xr:uid="{9099C835-A7A9-4FEC-993C-9AB80125DC66}"/>
    <hyperlink ref="L134" r:id="rId137" tooltip="https://learn.microsoft.com/learn/modules/design-implement-azure-expressroute/" display="Training" xr:uid="{410476BC-E09C-4C23-892D-4E74151E0254}"/>
    <hyperlink ref="K135" r:id="rId138" location="challenges-of-using-multiple-expressroute-circuits" tooltip="https://learn.microsoft.com/azure/expressroute/designing-for-disaster-recovery-with-expressroute-privatepeering#challenges-of-using-multiple-expressroute-circuits" display="More info" xr:uid="{FE186C28-4616-4FE4-8DDD-F2B0036E0CF7}"/>
    <hyperlink ref="L135" r:id="rId139" tooltip="https://learn.microsoft.com/learn/modules/design-implement-azure-expressroute/" display="Training" xr:uid="{1DCA32BD-B93E-48FB-874E-6E6C607603AE}"/>
    <hyperlink ref="K136" r:id="rId140" location="vm-recommendations" tooltip="https://learn.microsoft.com/azure/architecture/reference-architectures/identity/adds-extend-domain#vm-recommendations" display="More info" xr:uid="{17DCA6FA-076F-4FBB-9FEE-B9F8391A1AE0}"/>
    <hyperlink ref="K137" r:id="rId141" tooltip="https://learn.microsoft.com/azure/cloud-adoption-framework/ready/azure-best-practices/plan-for-ip-addressing" display="More info" xr:uid="{0A3564D2-6A9D-4CA9-8E7B-17EEF6CFBD68}"/>
    <hyperlink ref="L137" r:id="rId142" tooltip="https://learn.microsoft.com/learn/paths/architect-network-infrastructure/" display="Training" xr:uid="{6EE9433B-EEBE-4265-B6AA-E64FFDE808D0}"/>
    <hyperlink ref="K138" r:id="rId143" tooltip="https://learn.microsoft.com/azure/cloud-adoption-framework/ready/azure-best-practices/plan-for-ip-addressing" display="More info" xr:uid="{B3D7F559-D535-449A-9BEA-A51DF760DE18}"/>
    <hyperlink ref="L138" r:id="rId144" tooltip="https://learn.microsoft.com/learn/paths/architect-network-infrastructure/" display="Training" xr:uid="{D42DEB5D-BFE3-477D-83D7-491D851C1E74}"/>
    <hyperlink ref="K139" r:id="rId145" tooltip="https://learn.microsoft.com/azure/cloud-adoption-framework/ready/azure-best-practices/plan-for-ip-addressing" display="More info" xr:uid="{EA8C8AFF-D508-415A-967F-ABB26D308201}"/>
    <hyperlink ref="K140" r:id="rId146" location="retain-ip-addresses" tooltip="https://learn.microsoft.com/azure/site-recovery/concepts-on-premises-to-azure-networking#retain-ip-addresses" display="More info" xr:uid="{FEED51AA-1EFB-444C-9E02-40119BA5487B}"/>
    <hyperlink ref="K141" r:id="rId147" tooltip="https://learn.microsoft.com/azure/virtual-network/virtual-networks-name-resolution-for-vms-and-role-instances" display="More info" xr:uid="{B63005A9-B634-4F76-B167-6B3C7C50437F}"/>
    <hyperlink ref="K142" r:id="rId148" tooltip="https://learn.microsoft.com/azure/dns/dns-private-resolver-overview" display="More info" xr:uid="{7ACBF382-4DB4-48B5-AE32-37F15D62329B}"/>
    <hyperlink ref="L142" r:id="rId149" tooltip="https://learn.microsoft.com/training/modules/intro-to-azure-dns-private-resolver/" display="Training" xr:uid="{686F2AE6-A623-46E5-91CD-DDC30B66CD21}"/>
    <hyperlink ref="K143" r:id="rId150" tooltip="https://learn.microsoft.com/azure/virtual-network/virtual-networks-name-resolution-for-vms-and-role-instances" display="More info" xr:uid="{15DC9229-D80D-4073-86F3-696A0E31EA47}"/>
    <hyperlink ref="L144" r:id="rId151" tooltip="https://learn.microsoft.com/learn/paths/az-104-manage-virtual-networks/" display="Training" xr:uid="{D82ED058-136B-445D-891C-B2A99709F6E2}"/>
    <hyperlink ref="K145" r:id="rId152" tooltip="https://learn.microsoft.com/azure/bastion/bastion-overview" display="More info" xr:uid="{A1BF261A-8D70-4034-AEE8-F8957023B5BB}"/>
    <hyperlink ref="K146" r:id="rId153" location="subnet" tooltip="https://learn.microsoft.com/en-us/azure/bastion/bastion-faq#subnet" display="More info" xr:uid="{F8125A5E-DD7F-47A1-8D66-821D086B0C93}"/>
    <hyperlink ref="K147" r:id="rId154" tooltip="https://learn.microsoft.com/azure/app-service/networking-features" display="More info" xr:uid="{B2AA6460-0B1A-40EC-9DBD-8F309D82A6CB}"/>
    <hyperlink ref="L147" r:id="rId155" tooltip="https://learn.microsoft.com/learn/paths/secure-networking-infrastructure/" display="Training" xr:uid="{7EACD799-53BE-45FE-91E0-12EE4E37C4C9}"/>
    <hyperlink ref="K148" r:id="rId156" tooltip="https://learn.microsoft.com/azure/firewall/" display="More info" xr:uid="{16E2A5F7-0E2A-4218-A52D-BF506511952A}"/>
    <hyperlink ref="K149" r:id="rId157" tooltip="https://learn.microsoft.com/azure/firewall/" display="More info" xr:uid="{2C390FA5-7CA0-4957-8611-47D20406D93A}"/>
    <hyperlink ref="K150" r:id="rId158" tooltip="https://learn.microsoft.com/azure/web-application-firewall/afds/afds-overview" display="More info" xr:uid="{DDF11AE7-B1EE-48FF-B948-D4C26691ADEA}"/>
    <hyperlink ref="L150" r:id="rId159" tooltip="https://learn.microsoft.com/learn/paths/secure-application-delivery/" display="Training" xr:uid="{AAA4D240-A2D8-44BE-8B78-4CC65E0630C9}"/>
    <hyperlink ref="K151" r:id="rId160" tooltip="https://learn.microsoft.com/azure/web-application-firewall/ag/ag-overview" display="More info" xr:uid="{1EAE3529-93CA-4825-BC86-E09824DF7812}"/>
    <hyperlink ref="K152" r:id="rId161" tooltip="https://learn.microsoft.com/azure/web-application-firewall/ag/ag-overview" display="More info" xr:uid="{0CF6AF84-CA61-4079-B162-E634C4A5C690}"/>
    <hyperlink ref="K153" r:id="rId162" tooltip="https://learn.microsoft.com/azure/ddos-protection/ddos-protection-reference-architectures" display="More info" xr:uid="{7AC1FC33-1C88-4301-8DB7-FC119AEBC36A}"/>
    <hyperlink ref="K154" r:id="rId163" tooltip="https://learn.microsoft.com/azure/firewall/fqdn-filtering-network-rules" display="More info" xr:uid="{1B9D821E-CF0B-4145-9057-2A5BB3D92E8A}"/>
    <hyperlink ref="K155" r:id="rId164" tooltip="https://learn.microsoft.com/azure/firewall/premium-features" display="More info" xr:uid="{C3F3DBC1-F47C-4765-9EFB-DD2F7CA96778}"/>
    <hyperlink ref="K156" r:id="rId165" tooltip="https://learn.microsoft.com/azure/firewall/premium-features" display="More info" xr:uid="{082DD674-2A07-4E7D-BC4B-5542AF600BBB}"/>
    <hyperlink ref="K157" r:id="rId166" location="idps" tooltip="https://learn.microsoft.com/azure/firewall/premium-features#idps" display="More info" xr:uid="{5B40BC94-3BD1-4AFA-A540-49C0E0299631}"/>
    <hyperlink ref="K158" r:id="rId167" tooltip="https://learn.microsoft.com/azure/virtual-network/virtual-networks-udr-overview" display="More info" xr:uid="{5CBB4B88-0A4B-47DF-948F-5550E5FAFE0D}"/>
    <hyperlink ref="K159" r:id="rId168" tooltip="https://learn.microsoft.com/azure/virtual-network/vnet-integration-for-azure-services" display="More info" xr:uid="{30D4BE44-C7FD-44C1-8078-D78DF0C5DD74}"/>
    <hyperlink ref="K160" r:id="rId169" tooltip="https://learn.microsoft.com/azure/app-service/networking-features" display="More info" xr:uid="{71296DA1-6287-4CBD-8E76-88BA01B88001}"/>
    <hyperlink ref="K161" r:id="rId170" tooltip="https://learn.microsoft.com/azure/app-service/networking-features" display="More info" xr:uid="{D604DA94-EEFB-491E-84F6-A110375F48AD}"/>
    <hyperlink ref="K162" r:id="rId171" tooltip="https://learn.microsoft.com/azure/app-service/networking-features" display="More info" xr:uid="{517D3DC7-3BCF-4B44-8BC9-A3D50A80F5B0}"/>
    <hyperlink ref="K163" r:id="rId172" tooltip="https://learn.microsoft.com/azure/app-service/networking-features" display="More info" xr:uid="{5732A7E5-2331-4FA1-A0DB-40C51E1272F8}"/>
    <hyperlink ref="K164" r:id="rId173" location="why-does-azure-firewall-need-a--26-subnet-size" tooltip="https://learn.microsoft.com/azure/firewall/firewall-faq#why-does-azure-firewall-need-a--26-subnet-size" display="More info" xr:uid="{80F11B9E-EF62-4535-90C6-4CA286F7C4E7}"/>
    <hyperlink ref="K165" r:id="rId174" location="add-a-gateway" tooltip="https://learn.microsoft.com/azure/expressroute/expressroute-howto-add-gateway-resource-manager#add-a-gateway" display="More info" xr:uid="{95528A10-98AF-4477-89B0-6828DD13193F}"/>
    <hyperlink ref="K166" r:id="rId175" location="available-service-tags" tooltip="https://learn.microsoft.com/azure/virtual-network/service-tags-overview#available-service-tags" display="More info" xr:uid="{731632BD-E291-4532-8492-755164DE5D1F}"/>
    <hyperlink ref="K167" r:id="rId176" tooltip="https://learn.microsoft.com/azure/cloud-adoption-framework/ready/azure-best-practices/plan-for-landing-zone-network-segmentation" display="More info" xr:uid="{3B1ABD80-4BF9-4248-BC20-7F4A1DB23A89}"/>
    <hyperlink ref="K168" r:id="rId177" tooltip="https://learn.microsoft.com/azure/web-application-firewall/ag/ag-overview" display="More info" xr:uid="{0142C6E7-D0F1-4756-82AD-97092DD4CDEC}"/>
    <hyperlink ref="K170" r:id="rId178" tooltip="https://learn.microsoft.com/azure/virtual-network/network-security-group-how-it-works" display="More info" xr:uid="{B5B1A4E4-C2F8-4EAD-9B5A-61B4F7F4D059}"/>
    <hyperlink ref="K171" r:id="rId179" tooltip="https://learn.microsoft.com/azure/virtual-network/network-security-group-how-it-works" display="More info" xr:uid="{7CDFDDC4-8809-4BD2-A18F-587BC23058E5}"/>
    <hyperlink ref="K172" r:id="rId180" tooltip="https://learn.microsoft.com/azure/virtual-wan/scenario-any-to-any" display="More info" xr:uid="{4A43C60D-B903-4E12-9178-E0F119A665C0}"/>
    <hyperlink ref="K173" r:id="rId181" tooltip="https://learn.microsoft.com/azure/virtual-wan/virtual-wan-about" display="More info" xr:uid="{E9577174-CF55-4ACB-A3EE-9A57224D88C4}"/>
    <hyperlink ref="K174" r:id="rId182" tooltip="https://learn.microsoft.com/azure/virtual-wan/virtual-wan-about" display="More info" xr:uid="{38734702-BD3F-4D6A-A5CC-55B7CA23D805}"/>
    <hyperlink ref="K175" r:id="rId183" tooltip="https://learn.microsoft.com/azure/virtual-wan/virtual-wan-about" display="More info" xr:uid="{2F325F2E-1D6B-40E8-B767-CD5926B15057}"/>
    <hyperlink ref="K176" r:id="rId184" tooltip="https://learn.microsoft.com/azure/azure-resource-manager/management/azure-subscription-service-limits" display="More info" xr:uid="{63F8956F-D0D7-4A2F-97A9-52E23B5088A8}"/>
    <hyperlink ref="K177" r:id="rId185" tooltip="https://learn.microsoft.com/azure/virtual-wan/azure-monitor-insights" display="More info" xr:uid="{B3B8554C-FD83-41C5-B279-366FF2496C3F}"/>
    <hyperlink ref="K178" r:id="rId186" location="is-branch-to-branch-connectivity-allowed-in-virtual-wan" tooltip="https://learn.microsoft.com/azure/virtual-wan/virtual-wan-faq#is-branch-to-branch-connectivity-allowed-in-virtual-wan" display="More info" xr:uid="{306E4340-1386-472A-B9A1-0BDCB3D53212}"/>
    <hyperlink ref="K179" r:id="rId187" tooltip="https://learn.microsoft.com/azure/virtual-wan/about-virtual-hub-routing-preference" display="More info" xr:uid="{7111449C-35DB-461E-9ADA-25E07F9A06A9}"/>
    <hyperlink ref="K180" r:id="rId188" location="labels" tooltip="https://learn.microsoft.com/azure/virtual-wan/about-virtual-hub-routing#labels" display="More info" xr:uid="{F2BEC75D-E84F-4FC4-9736-0BA170237EBB}"/>
    <hyperlink ref="K181" r:id="rId189" location="what-is-the-recommended-hub-address-space-during-hub-creation" tooltip="https://learn.microsoft.com/azure/virtual-wan/virtual-wan-faq#what-is-the-recommended-hub-address-space-during-hub-creation" display="More info" xr:uid="{B515A4A2-8B19-4CF5-B5C0-AC1D80D2AD5B}"/>
    <hyperlink ref="K182" r:id="rId190" location="use-end-to-end-tls" tooltip="https://learn.microsoft.com/azure/frontdoor/best-practices#use-end-to-end-tls" display="More info" xr:uid="{A5CA563A-323E-4A6B-8F1B-A8C369D8ABCF}"/>
    <hyperlink ref="K183" r:id="rId191" location="use-http-to-https-redirection" tooltip="https://learn.microsoft.com/azure/frontdoor/best-practices#use-http-to-https-redirection" display="More info" xr:uid="{BD9B1592-0BA1-43D2-90F3-730C9809DFEA}"/>
    <hyperlink ref="K184" r:id="rId192" location="enable-the-waf" tooltip="https://learn.microsoft.com/azure/frontdoor/best-practices#enable-the-waf" display="More info" xr:uid="{D4FCA211-11C7-43D1-9563-FB1A3372C1E6}"/>
    <hyperlink ref="K185" r:id="rId193" location="tune-your-waf" tooltip="https://learn.microsoft.com/azure/web-application-firewall/afds/waf-front-door-best-practices#tune-your-waf" display="More info" xr:uid="{062CA863-7F8D-4918-AC1A-2D4DDE2B7B64}"/>
    <hyperlink ref="K186" r:id="rId194" location="use-prevention-mode" tooltip="https://learn.microsoft.com/azure/web-application-firewall/afds/waf-front-door-best-practices#use-prevention-mode" display="More info" xr:uid="{99765971-978A-4E21-B56D-ACB60CC1AD97}"/>
    <hyperlink ref="K187" r:id="rId195" location="enable-default-rule-sets" tooltip="https://learn.microsoft.com/azure/web-application-firewall/afds/waf-front-door-best-practices#enable-default-rule-sets" display="More info" xr:uid="{120D692F-96F2-4A9B-8834-116CEFFF5920}"/>
    <hyperlink ref="K188" r:id="rId196" location="enable-bot-management-rules" tooltip="https://learn.microsoft.com/azure/web-application-firewall/afds/waf-front-door-best-practices#enable-bot-management-rules" display="More info" xr:uid="{140BF5A4-6478-467E-BAF2-1C31C0575D0A}"/>
    <hyperlink ref="K189" r:id="rId197" location="use-the-latest-ruleset-versions" tooltip="https://learn.microsoft.com/azure/web-application-firewall/afds/waf-front-door-best-practices#use-the-latest-ruleset-versions" display="More info" xr:uid="{14E67D49-D8A1-407C-81E0-C52ABE8EB56C}"/>
    <hyperlink ref="K190" r:id="rId198" location="add-rate-limiting" tooltip="https://learn.microsoft.com/azure/web-application-firewall/afds/waf-front-door-best-practices#add-rate-limiting" display="More info" xr:uid="{1841FC1F-F271-428F-8103-41FCA91F0FB0}"/>
    <hyperlink ref="K191" r:id="rId199" location="use-a-high-threshold-for-rate-limits" tooltip="https://learn.microsoft.com/azure/web-application-firewall/afds/waf-front-door-best-practices#use-a-high-threshold-for-rate-limits" display="More info" xr:uid="{E1479AB7-2129-436C-B27C-F94951864862}"/>
    <hyperlink ref="K192" r:id="rId200" location="geo-filter-traffic" tooltip="https://learn.microsoft.com/azure/web-application-firewall/afds/waf-front-door-best-practices#geo-filter-traffic" display="More info" xr:uid="{64160770-262B-4667-BA78-DA219B71C3A7}"/>
    <hyperlink ref="K193" r:id="rId201" location="specify-the-unknown-zz-location" tooltip="https://learn.microsoft.com/azure/web-application-firewall/afds/waf-front-door-best-practices#specify-the-unknown-zz-location" display="More info" xr:uid="{51286C65-0385-4481-B7BE-50341CC1F8CE}"/>
    <hyperlink ref="K194" r:id="rId202" tooltip="https://learn.microsoft.com/en-us/azure/cloud-adoption-framework/ready/landing-zone/design-area/platform-automation-devops" display="More info" xr:uid="{CC771975-CA56-41F1-9126-0326FA6610A7}"/>
    <hyperlink ref="K195" r:id="rId203" location="design-recommendations" tooltip="https://learn.microsoft.com/en-us/azure/cloud-adoption-framework/ready/considerations/devops-teams-topologies#design-recommendations" display="More info" xr:uid="{5FC54A04-CE1A-4A10-82ED-B32294F89B2C}"/>
    <hyperlink ref="K196" r:id="rId204" location="design-recommendations" tooltip="https://learn.microsoft.com/en-us/azure/cloud-adoption-framework/ready/considerations/devops-teams-topologies#design-recommendations" display="More info" xr:uid="{D46C4E90-DB3F-4F8A-9412-2508642D6013}"/>
    <hyperlink ref="K197" r:id="rId205" tooltip="https://learn.microsoft.com/en-us/azure/cloud-adoption-framework/ready/considerations/infrastructure-as-code" display="More info" xr:uid="{BB50365A-609F-4198-A028-586C9BA38E7A}"/>
    <hyperlink ref="K198" r:id="rId206" location="automated-builds" tooltip="https://learn.microsoft.com/en-us/azure/cloud-adoption-framework/ready/considerations/development-strategy-development-lifecycle#automated-builds" display="More info" xr:uid="{916D51E5-6A9A-4662-BEA7-24BCC316B7DA}"/>
    <hyperlink ref="K199" r:id="rId207" location="automated-builds" tooltip="https://learn.microsoft.com/en-us/azure/cloud-adoption-framework/ready/considerations/development-strategy-development-lifecycle#automated-builds" display="More info" xr:uid="{27794C21-012A-47EA-A127-52DFDB7557AA}"/>
    <hyperlink ref="K200" r:id="rId208" tooltip="https://learn.microsoft.com/en-us/azure/cloud-adoption-framework/ready/landing-zone/design-area/subscription-vending" display="More info" xr:uid="{31E25C00-4A2F-41D2-8F3B-9DAEEEE2AC62}"/>
    <hyperlink ref="K201" r:id="rId209" tooltip="https://learn.microsoft.com/en-us/azure/cloud-adoption-framework/ready/considerations/infrastructure-as-code" display="More info" xr:uid="{C82E2A60-435F-4E0C-A493-4BAA824DC994}"/>
    <hyperlink ref="K202" r:id="rId210" tooltip="https://learn.microsoft.com/en-us/azure/cloud-adoption-framework/ready/considerations/development-strategy-development-lifecycle" display="More info" xr:uid="{647B7071-5772-4C92-B72C-5F4BDB29AD47}"/>
    <hyperlink ref="K203" r:id="rId211" tooltip="https://learn.microsoft.com/en-us/azure/cloud-adoption-framework/ready/considerations/development-strategy-development-lifecycle" display="More info" xr:uid="{54408A70-4CC6-4778-8680-5777E132C920}"/>
    <hyperlink ref="K204" r:id="rId212" tooltip="https://learn.microsoft.com/en-us/azure/cloud-adoption-framework/ready/considerations/infrastructure-as-code" display="More info" xr:uid="{F749546C-4455-4FFB-8AFD-DB096F43003F}"/>
    <hyperlink ref="K205" r:id="rId213" location="secure" tooltip="https://learn.microsoft.com/en-us/azure/cloud-adoption-framework/ready/considerations/landing-zone-security#secure" display="More info" xr:uid="{95744FAE-6555-400B-A98A-EA42B7B1A6C7}"/>
    <hyperlink ref="K206" r:id="rId214" tooltip="https://learn.microsoft.com/azure/cloud-adoption-framework/ready/azure-best-practices/resource-naming" display="More info" xr:uid="{30828A52-2889-464F-B860-917B8EB8DB02}"/>
    <hyperlink ref="K207" r:id="rId215" tooltip="https://learn.microsoft.com/azure/cloud-adoption-framework/ready/landing-zone/design-area/resource-org-management-groups" display="More info" xr:uid="{A7277374-1E5E-4248-B24D-BC78213D5847}"/>
    <hyperlink ref="K208" r:id="rId216" tooltip="https://learn.microsoft.com/azure/cloud-adoption-framework/decision-guides/resource-tagging/?toc=/azure/azure-resource-manager/management/toc.json" display="More info" xr:uid="{FC5F3BE5-F1DC-4DC6-AD50-18E319301F23}"/>
    <hyperlink ref="K209" r:id="rId217" location="management-group-recommendations" tooltip="https://learn.microsoft.com/azure/cloud-adoption-framework/ready/landing-zone/design-area/resource-org-management-groups#management-group-recommendations" display="More info" xr:uid="{17BB53E5-BF6A-4788-85A3-5907CB86918E}"/>
    <hyperlink ref="K210" r:id="rId218" location="management-group-recommendations" tooltip="https://learn.microsoft.com/azure/cloud-adoption-framework/ready/landing-zone/design-area/resource-org-management-groups#management-group-recommendations" display="More info" xr:uid="{0BC6268C-9D97-4EE3-92E4-E4751F650CA5}"/>
    <hyperlink ref="K46" r:id="rId219" location="identify-microsoft-accounts-in-administrative-roles-that-need-to-be-switched-to-work-or-school-accounts" tooltip="https://learn.microsoft.com/azure/active-directory/roles/security-planning#identify-microsoft-accounts-in-administrative-roles-that-need-to-be-switched-to-work-or-school-accounts" display="More info" xr:uid="{EEDBFF27-E9C8-4860-9B01-44EA7611DF37}"/>
    <hyperlink ref="L37" r:id="rId220" tooltip="https://learn.microsoft.com/en-us/azure/active-directory/managed-identities-azure-resources/overview" display="Training" xr:uid="{6399517B-AEB1-4D08-9E2B-6DFD67195B6D}"/>
    <hyperlink ref="L39" r:id="rId221" tooltip="https://learn.microsoft.com/learn/modules/azure-ad-privileged-identity-management/" display="Training" xr:uid="{2DC4A00B-F320-46FF-9DA1-5F19C4381058}"/>
    <hyperlink ref="L41" r:id="rId222" tooltip="https://learn.microsoft.com/learn/paths/implement-resource-mgmt-security/" display="Training" xr:uid="{F70CE258-0BFC-4296-A221-911448D1FFAC}"/>
    <hyperlink ref="L42" r:id="rId223" tooltip="https://learn.microsoft.com/learn/modules/plan-implement-administer-conditional-access/" display="Training" xr:uid="{61685C96-043C-4F16-9C3E-2AA390F8A062}"/>
    <hyperlink ref="L43" r:id="rId224" tooltip="https://learn.microsoft.com/learn/modules/secure-aad-users-with-mfa/" display="Training" xr:uid="{5CBFAA30-725A-45B6-9231-20682B211B27}"/>
    <hyperlink ref="L44" r:id="rId225" tooltip="https://learn.microsoft.com/learn/paths/azure-administrator-manage-identities-governance/" display="Training" xr:uid="{CF196408-5F86-4086-A10C-48DCCE277FC2}"/>
    <hyperlink ref="L45" r:id="rId226" tooltip="https://learn.microsoft.com/learn/modules/azure-ad-privileged-identity-management/" display="Training" xr:uid="{5C5C333A-9C53-4AD8-8EF0-8892C666E17F}"/>
    <hyperlink ref="L46" r:id="rId227" tooltip="https://learn.microsoft.com/learn/modules/explore-basic-services-identity-types/" display="Training" xr:uid="{5BBB992C-11B8-46F9-9C35-384BC0C5FAB9}"/>
    <hyperlink ref="L47" r:id="rId228" tooltip="https://learn.microsoft.com/learn/paths/manage-identity-and-access/" display="Training" xr:uid="{E8CDD21E-0AFA-44C3-80D3-699461B301BA}"/>
    <hyperlink ref="L48" r:id="rId229" tooltip="https://learn.microsoft.com/learn/modules/create-custom-azure-roles-with-rbac/" display="Training" xr:uid="{8E22EA76-7B1E-49E4-A676-5B6E2037D046}"/>
    <hyperlink ref="L49" r:id="rId230" tooltip="https://learn.microsoft.com/learn/paths/secure-your-cloud-data/" display="Training" xr:uid="{91D6DE79-7740-4A76-9E77-FEFEDFDB1C1A}"/>
    <hyperlink ref="L50" r:id="rId231" tooltip="https://learn.microsoft.com/learn/modules/azure-active-directory/" display="Training" xr:uid="{5BF603D1-EFC5-4A22-B405-D381BCB59F82}"/>
    <hyperlink ref="L51" r:id="rId232" tooltip="https://learn.microsoft.com/learn/modules/implement-hybrid-identity-windows-server/" display="Training" xr:uid="{5A53DC92-BA3A-488A-998C-25B5013A2397}"/>
    <hyperlink ref="L52" r:id="rId233" tooltip="https://learn.microsoft.com/learn/paths/implement-windows-server-iaas-virtual-machine-identity/" display="Training" xr:uid="{06C39718-AB5D-49D6-9FB8-DD56ED9940D3}"/>
    <hyperlink ref="L53" r:id="rId234" tooltip="https://learn.microsoft.com/learn/paths/implement-applications-external-access-azure-ad/" display="Training" xr:uid="{5AC4BD3F-65DE-4CB7-9033-571DC5425C13}"/>
    <hyperlink ref="L54" r:id="rId235" tooltip="https://learn.microsoft.com/learn/modules/design-identity-security-strategy/" display="Training" xr:uid="{6C9FE1FE-A57B-4E93-A202-C5B48F402F38}"/>
    <hyperlink ref="L55" r:id="rId236" tooltip="https://learn.microsoft.com/en-us/azure/architecture/example-scenario/identity/adds-extend-domain" display="Training" xr:uid="{03537DAD-AAB1-49CC-9D16-906141C9C414}"/>
    <hyperlink ref="L56" r:id="rId237" tooltip="https://learn.microsoft.com/en-us/azure/role-based-access-control/overview" display="Training" xr:uid="{D5AD91FF-5A65-4620-846E-B53FC10712BD}"/>
    <hyperlink ref="L62" r:id="rId238" tooltip="https://learn.microsoft.com/azure/azure-monitor/logs/design-logs-deployment" display="Training" xr:uid="{8AB4949E-77A6-4ACD-B12A-38655AED74CE}"/>
    <hyperlink ref="L64" r:id="rId239" tooltip="https://learn.microsoft.com/learn/paths/architect-infrastructure-operations/" display="Training" xr:uid="{ACF97416-254C-41AB-9634-74C2D366A234}"/>
    <hyperlink ref="L65" r:id="rId240" tooltip="https://learn.microsoft.com/learn/paths/architect-infrastructure-operations/" display="Training" xr:uid="{BADB2165-E9A1-45F8-96CE-6B7CF0B7BEA1}"/>
    <hyperlink ref="L66" r:id="rId241" tooltip="https://learn.microsoft.com/learn/paths/implement-resource-mgmt-security/" display="Training" xr:uid="{1D2987BD-1A6A-4988-B100-97E9D49E909A}"/>
    <hyperlink ref="L69" r:id="rId242" tooltip="https://learn.microsoft.com/learn/paths/implement-resource-mgmt-security/" display="Training" xr:uid="{559558E2-F245-439D-B0A5-CE51C89BF8FB}"/>
    <hyperlink ref="L90" r:id="rId243" tooltip="https://learn.microsoft.com/learn/paths/secure-application-delivery/" display="Training" xr:uid="{B04BB634-FD4B-403A-9478-0C360B8B3F73}"/>
    <hyperlink ref="L91" r:id="rId244" tooltip="https://learn.microsoft.com/learn/paths/secure-application-delivery/" display="Training" xr:uid="{E611425B-640C-41EC-82B9-B5D21FB54AE0}"/>
    <hyperlink ref="L94" r:id="rId245" tooltip="https://learn.microsoft.com/learn/paths/secure-application-delivery/" display="Training" xr:uid="{D3F6B296-6441-42E9-B32C-A857D58E2843}"/>
    <hyperlink ref="L95" r:id="rId246" tooltip="https://learn.microsoft.com/learn/paths/secure-networking-infrastructure/" display="Training" xr:uid="{01D32B48-E176-4A6E-819E-0B5996EDADCD}"/>
    <hyperlink ref="L99" r:id="rId247" tooltip="https://learn.microsoft.com/learn/modules/configure-azure-ad-application-proxy/" display="Training" xr:uid="{A314250A-C39A-4B0D-A03E-58F1BE29D468}"/>
    <hyperlink ref="L100" r:id="rId248" tooltip="https://learn.microsoft.com/learn/paths/implement-applications-external-access-azure-ad/" display="Training" xr:uid="{242B44E8-1C43-42E5-BF43-381F66073DA7}"/>
    <hyperlink ref="L111" r:id="rId249" tooltip="https://learn.microsoft.com/learn/paths/implement-network-security/" display="Training" xr:uid="{41011A0C-E3C9-4B2C-A09C-C032A79846CE}"/>
    <hyperlink ref="L118" r:id="rId250" tooltip="https://learn.microsoft.com/learn/modules/design-implement-network-monitoring/" display="Training" xr:uid="{6986EC88-38A8-43B6-9A20-7692B6E76077}"/>
    <hyperlink ref="L129" r:id="rId251" tooltip="https://learn.microsoft.com/learn/modules/design-implement-azure-expressroute/" display="Training" xr:uid="{F8D17FEB-F680-44F1-ADE2-7099C8653216}"/>
    <hyperlink ref="L130" r:id="rId252" tooltip="https://learn.microsoft.com/training/modules/intro-to-azure-vpn-gateway/" display="Training" xr:uid="{DFFB75C5-3AFD-45C8-A888-16469F53E69A}"/>
    <hyperlink ref="L131" r:id="rId253" tooltip="https://learn.microsoft.com/learn/modules/design-implement-azure-expressroute/" display="Training" xr:uid="{7CDDA1AD-6D76-45B8-BC40-D494E37C9911}"/>
    <hyperlink ref="L132" r:id="rId254" tooltip="https://learn.microsoft.com/learn/modules/design-implement-azure-expressroute/" display="Training" xr:uid="{E98D26C4-4535-47C2-A005-6156C2934B53}"/>
    <hyperlink ref="L133" r:id="rId255" tooltip="https://learn.microsoft.com/learn/modules/design-implement-azure-expressroute/" display="Training" xr:uid="{58F0DC8A-3C5A-49BF-BA83-2169B2BCCECF}"/>
    <hyperlink ref="L139" r:id="rId256" tooltip="https://learn.microsoft.com/learn/paths/architect-network-infrastructure/" display="Training" xr:uid="{2CA334E7-C729-4222-BD1B-F3EFA5D85B6A}"/>
    <hyperlink ref="L140" r:id="rId257" tooltip="https://learn.microsoft.com/learn/paths/az-104-manage-virtual-networks/" display="Training" xr:uid="{B2C9E877-B238-4EE6-9141-CFBC27506750}"/>
    <hyperlink ref="L141" r:id="rId258" tooltip="https://learn.microsoft.com/learn/paths/az-104-manage-virtual-networks/" display="Training" xr:uid="{7B8FFFE1-6AA7-4A40-9338-5315254E32FF}"/>
    <hyperlink ref="K144" r:id="rId259" tooltip="https://learn.microsoft.com/azure/dns/private-dns-autoregistration" display="More info" xr:uid="{2F63ABE5-63C9-4BDF-BD0F-441B431A0C9A}"/>
    <hyperlink ref="L148" r:id="rId260" tooltip="https://learn.microsoft.com/learn/paths/secure-networking-infrastructure/" display="Training" xr:uid="{CE93041A-95FB-451C-B1E6-2032DF3B208D}"/>
    <hyperlink ref="L149" r:id="rId261" tooltip="https://learn.microsoft.com/learn/paths/secure-networking-infrastructure/" display="Training" xr:uid="{AC44E8EE-0F09-4A13-BA8D-E263DFF98540}"/>
    <hyperlink ref="L151" r:id="rId262" tooltip="https://learn.microsoft.com/learn/paths/secure-application-delivery/" display="Training" xr:uid="{9C357F9E-A561-43D0-ABEC-C3B48591189A}"/>
    <hyperlink ref="L152" r:id="rId263" tooltip="https://learn.microsoft.com/learn/paths/architect-network-infrastructure/" display="Training" xr:uid="{A5EC38F3-B268-4502-8D88-B5916F17435E}"/>
    <hyperlink ref="L153" r:id="rId264" tooltip="https://learn.microsoft.com/learn/paths/secure-networking-infrastructure/" display="Training" xr:uid="{ABAF7E75-DF37-4B7B-8174-9514ADD5EB19}"/>
    <hyperlink ref="L159" r:id="rId265" tooltip="https://learn.microsoft.com/learn/paths/implement-network-security/?source=learn" display="Training" xr:uid="{1A1C5775-9A74-4338-90FF-5260DBC0EDF9}"/>
    <hyperlink ref="L160" r:id="rId266" tooltip="https://learn.microsoft.com/learn/paths/secure-application-delivery/" display="Training" xr:uid="{929F3CE3-8C96-4C97-B76A-4955FA417134}"/>
    <hyperlink ref="L161" r:id="rId267" tooltip="https://learn.microsoft.com/learn/modules/design-implement-azure-expressroute/" display="Training" xr:uid="{E57D0309-F0AC-446A-89CF-7A665250EE20}"/>
    <hyperlink ref="L162" r:id="rId268" tooltip="https://learn.microsoft.com/learn/paths/implement-network-security/?source=learn" display="Training" xr:uid="{E2E7F49C-10CF-4B1E-9CE9-37062F6045C3}"/>
    <hyperlink ref="L163" r:id="rId269" tooltip="https://learn.microsoft.com/learn/paths/implement-network-security/?source=learn" display="Training" xr:uid="{5E60BC71-96AC-44E8-BD04-4A23CD923F05}"/>
    <hyperlink ref="L167" r:id="rId270" tooltip="https://learn.microsoft.com/learn/paths/implement-resource-mgmt-security/" display="Training" xr:uid="{0B43E266-6B00-4A0E-8CC4-DDD809DC242E}"/>
    <hyperlink ref="L168" r:id="rId271" tooltip="https://learn.microsoft.com/learn/paths/implement-network-security/" display="Training" xr:uid="{7A63BB55-3C66-4BAD-AB32-37C11E054FCA}"/>
    <hyperlink ref="L169" r:id="rId272" tooltip="https://learn.microsoft.com/learn/paths/implement-network-security/" display="Training" xr:uid="{292F3E42-2590-4DD6-A440-86F2CEFA4137}"/>
    <hyperlink ref="L170" r:id="rId273" tooltip="https://learn.microsoft.com/learn/paths/implement-network-security/" display="Training" xr:uid="{F9621DE0-F4DE-45A7-A07C-DDB4A2FB5DB6}"/>
    <hyperlink ref="L171" r:id="rId274" tooltip="https://learn.microsoft.com/learn/modules/design-implement-network-monitoring/" display="Training" xr:uid="{4904D6AF-6D1F-4A12-8F5C-F09D78B45948}"/>
    <hyperlink ref="L172" r:id="rId275" tooltip="https://learn.microsoft.com/learn/modules/introduction-azure-virtual-wan/" display="Training" xr:uid="{47CF281B-1E34-4063-84E3-ED3B31733A4C}"/>
    <hyperlink ref="L175" r:id="rId276" tooltip="https://learn.microsoft.com/learn/paths/secure-networking-infrastructure/" display="Training" xr:uid="{C6BA623F-222D-48B1-A4A9-35A8C9C2D56B}"/>
    <hyperlink ref="L207" r:id="rId277" tooltip="https://learn.microsoft.com/learn/modules/azure-architecture-fundamentals/" display="Training" xr:uid="{CB431AD9-2FB9-4A67-A2DD-553E4A7758B4}"/>
    <hyperlink ref="L208" r:id="rId278" tooltip="https://learn.microsoft.com/learn/paths/implement-resource-mgmt-security/" display="Training" xr:uid="{1179BFE4-705A-4D9C-9CC9-FB91F3751BCE}"/>
    <hyperlink ref="L209" r:id="rId279" tooltip="https://learn.microsoft.com/learn/paths/enterprise-scale-architecture/" display="Training" xr:uid="{793F1C4F-2AB1-4F44-83BE-90F09A611026}"/>
    <hyperlink ref="L210" r:id="rId280" tooltip="https://learn.microsoft.com/learn/paths/enterprise-scale-architecture/" display="Training" xr:uid="{DE159417-F04E-46D3-A888-925F6728CE54}"/>
    <hyperlink ref="K211" r:id="rId281" location="management-group-recommendations" tooltip="https://learn.microsoft.com/azure/cloud-adoption-framework/ready/landing-zone/design-area/resource-org-management-groups#management-group-recommendations" display="More info" xr:uid="{318562F9-9067-4EED-8199-5E6B191815C7}"/>
    <hyperlink ref="L211" r:id="rId282" tooltip="https://learn.microsoft.com/learn/paths/enterprise-scale-architecture/" display="Training" xr:uid="{CA58A585-0545-4242-B49A-8B0C5C9937C9}"/>
    <hyperlink ref="K212" r:id="rId283" location="setting---default-management-group" tooltip="https://learn.microsoft.com/azure/governance/management-groups/how-to/protect-resource-hierarchy#setting---default-management-group" display="More info" xr:uid="{2725C99E-C104-476D-980A-9FC98A31FFC4}"/>
    <hyperlink ref="K213" r:id="rId284" location="setting---require-authorization" tooltip="https://learn.microsoft.com/azure/governance/management-groups/how-to/protect-resource-hierarchy#setting---require-authorization" display="More info" xr:uid="{62A27F13-3D6F-4A5E-8236-EEDFB9C2C91A}"/>
    <hyperlink ref="K214" r:id="rId285" tooltip="https://learn.microsoft.com/azure/governance/management-groups/overview" display="More info" xr:uid="{5B11D4B2-1B51-43AE-860A-38EFC1AF4134}"/>
    <hyperlink ref="K215" r:id="rId286" tooltip="https://learn.microsoft.com/azure/governance/management-groups/overview" display="More info" xr:uid="{713DE701-E97C-4F44-871D-72F93C337621}"/>
    <hyperlink ref="K216" r:id="rId287" tooltip="https://learn.microsoft.com/azure/azure-resource-manager/management/azure-subscription-service-limits" display="More info" xr:uid="{1714985E-68C4-4982-A460-7150B9E847F2}"/>
    <hyperlink ref="K217" r:id="rId288" tooltip="https://learn.microsoft.com/azure/cost-management-billing/reservations/save-compute-costs-reservations" display="More info" xr:uid="{E312124D-2E60-44CC-8BDE-EC9CCB1F09B4}"/>
    <hyperlink ref="L217" r:id="rId289" tooltip="https://learn.microsoft.com/learn/paths/improve-reliability-modern-operations/" display="Training" xr:uid="{5C4AE35E-6AA5-4F64-B504-47741C555A88}"/>
    <hyperlink ref="K218" r:id="rId290" tooltip="https://learn.microsoft.com/azure/architecture/framework/scalability/design-capacity" display="More info" xr:uid="{2C839D41-8D22-47D5-A3C0-D426FEA82C7F}"/>
    <hyperlink ref="L218" r:id="rId291" tooltip="https://learn.microsoft.com/learn/paths/monitor-usage-performance-availability-resources-azure-monitor/" display="Training" xr:uid="{9AFAAE11-4699-4717-889B-9E6CCDFD4029}"/>
    <hyperlink ref="K219" r:id="rId292" tooltip="https://azure.microsoft.com/global-infrastructure/services/" display="More info" xr:uid="{6F78997A-8218-41D6-9256-23FECC9041A1}"/>
    <hyperlink ref="L219" r:id="rId293" tooltip="https://learn.microsoft.com/learn/modules/azure-architecture-fundamentals/" display="Training" xr:uid="{87F05B13-8F0D-421C-B0FD-E608250A7F47}"/>
    <hyperlink ref="K220" r:id="rId294" tooltip="https://learn.microsoft.com/azure/cost-management-billing/cost-management-billing-overview" display="More info" xr:uid="{D6CD3D86-214B-41A7-824C-2B7BAF5365A7}"/>
    <hyperlink ref="L220" r:id="rId295" tooltip="https://learn.microsoft.com/learn/paths/control-spending-manage-bills/" display="Training" xr:uid="{A693D408-5777-4476-8BD6-931F00B3BE9E}"/>
    <hyperlink ref="K221" r:id="rId296" tooltip="https://learn.microsoft.com/azure/governance/management-groups/overview" display="More info" xr:uid="{BDAEBB9F-5591-4481-B374-9702E9DA628B}"/>
    <hyperlink ref="L221" r:id="rId297" tooltip="https://learn.microsoft.com/learn/paths/enterprise-scale-architecture/" display="Training" xr:uid="{CAB4BA93-9220-4FA9-BC84-4DC18572D2A3}"/>
    <hyperlink ref="K222" r:id="rId298" tooltip="https://learn.microsoft.com/azure/cloud-adoption-framework/ready/azure-best-practices/track-costs" display="More info" xr:uid="{A07B1F0D-FDB2-4E2D-8170-E16428F569BC}"/>
    <hyperlink ref="L222" r:id="rId299" tooltip="https://learn.microsoft.com/learn/paths/implement-resource-mgmt-security/" display="Training" xr:uid="{256027BC-CC49-48BC-B479-8B2320C5B67B}"/>
    <hyperlink ref="K223" r:id="rId300" tooltip="https://learn.microsoft.com/security/benchmark/azure/security-control-incident-response" display="More info" xr:uid="{50ACE6A2-0473-42E3-BB7A-269C37FCFB25}"/>
    <hyperlink ref="K224" r:id="rId301" tooltip="https://www.microsoft.com/security/business/zero-trust" display="More info" xr:uid="{2FA1C149-6A74-48C1-8B64-77EC430D0DD6}"/>
    <hyperlink ref="K225" r:id="rId302" tooltip="https://learn.microsoft.com/azure/key-vault/general/overview" display="More info" xr:uid="{9D400746-21EE-4B18-9E64-F3A97935E73E}"/>
    <hyperlink ref="K226" r:id="rId303" tooltip="https://learn.microsoft.com/azure/key-vault/general/overview-throttling" display="More info" xr:uid="{8A7EE393-C93F-42F3-B192-C9E84C2BBC9E}"/>
    <hyperlink ref="K227" r:id="rId304" tooltip="https://learn.microsoft.com/azure/key-vault/general/best-practices" display="More info" xr:uid="{C9249EA6-4CB7-4656-8F18-1CC53F1A2377}"/>
    <hyperlink ref="K228" r:id="rId305" tooltip="https://learn.microsoft.com/azure/key-vault/general/best-practices" display="More info" xr:uid="{251F9A2A-1696-4A6D-8384-A3BC10E9EA3A}"/>
    <hyperlink ref="K229" r:id="rId306" tooltip="https://learn.microsoft.com/azure/key-vault/general/best-practices" display="More info" xr:uid="{CAEAD5CC-E6EE-4434-9786-AA27EE30A336}"/>
    <hyperlink ref="K230" r:id="rId307" tooltip="https://learn.microsoft.com/azure/key-vault/general/best-practices" display="More info" xr:uid="{EFAA1303-5B60-4810-86F5-A31F52A46A54}"/>
    <hyperlink ref="K231" r:id="rId308" tooltip="https://learn.microsoft.com/azure/key-vault/general/best-practices" display="More info" xr:uid="{2A160FBB-7D91-4804-A85A-FF5896AA328B}"/>
    <hyperlink ref="K232" r:id="rId309" tooltip="https://learn.microsoft.com/azure/key-vault/general/monitor-key-vault" display="More info" xr:uid="{5A4D57DC-F123-4294-AE3F-FF3484C9B619}"/>
    <hyperlink ref="K233" r:id="rId310" tooltip="https://learn.microsoft.com/azure/key-vault/general/best-practices" display="More info" xr:uid="{DD1E50DA-FBCA-47C6-B884-CAF83FE4954A}"/>
    <hyperlink ref="K234" r:id="rId311" tooltip="https://learn.microsoft.com/azure/security/fundamentals/encryption-atrest" display="More info" xr:uid="{287340C4-9553-4D7E-9EAB-2458998622F9}"/>
    <hyperlink ref="K235" r:id="rId312" tooltip="https://learn.microsoft.com/azure/key-vault/general/best-practices" display="More info" xr:uid="{2A2A1C2C-6D21-4845-BDEA-E985DD769332}"/>
    <hyperlink ref="K236" r:id="rId313" tooltip="https://learn.microsoft.com/azure/key-vault/general/best-practices" display="More info" xr:uid="{CF2D4036-9422-4D32-A59E-E2FC64903B16}"/>
    <hyperlink ref="K237" r:id="rId314" tooltip="https://learn.microsoft.com/azure/active-directory/reports-monitoring/overview-reports" display="More info" xr:uid="{38558919-A2C0-42BD-B4F4-F750BF313956}"/>
    <hyperlink ref="K238" r:id="rId315" tooltip="https://learn.microsoft.com/azure/azure-monitor/logs/logs-data-export?tabs=portal" display="More info" xr:uid="{B1B295D9-7AA3-46E2-B5C7-ABBEA7BF610B}"/>
    <hyperlink ref="K239" r:id="rId316" tooltip="https://learn.microsoft.com/azure/security-center/" display="More info" xr:uid="{2EADCE0E-04CB-44EA-BF97-88061E023B7B}"/>
    <hyperlink ref="K240" r:id="rId317" tooltip="https://learn.microsoft.com/azure/security-center/" display="More info" xr:uid="{1F1311C4-9FF9-446C-ACDF-AE3B1188CEB5}"/>
    <hyperlink ref="K241" r:id="rId318" tooltip="https://learn.microsoft.com/azure/azure-monitor/logs/design-logs-deployment" display="More info" xr:uid="{CBF4CE7D-0B0C-40C8-BAC9-9BF29CBAE2D9}"/>
    <hyperlink ref="K242" r:id="rId319" tooltip="https://learn.microsoft.com/azure/storage/common/storage-require-secure-transfer" display="More info" xr:uid="{A3559E9B-9C67-4FE4-99FF-0573C125A2E1}"/>
    <hyperlink ref="K243" r:id="rId320" location="recommendations-for-basic-data-protection" tooltip="https://learn.microsoft.com/azure/storage/blobs/data-protection-overview#recommendations-for-basic-data-protection" display="More info" xr:uid="{BBFF0DDF-3D17-49BB-8F7E-793505101B2F}"/>
    <hyperlink ref="K244" r:id="rId321" tooltip="https://learn.microsoft.com/en-us/azure/active-directory/roles/security-planning" display="More info" xr:uid="{6AAD8BFF-A057-4783-AEF7-BE98383E0ACF}"/>
    <hyperlink ref="K245" r:id="rId322" tooltip="https://learn.microsoft.com/azure/cloud-adoption-framework/ready/landing-zone/design-area/service-enablement-framework" display="More info" xr:uid="{A33DF6B8-BDEE-4C76-A14E-CFA9A0FBF64A}"/>
    <hyperlink ref="K246" r:id="rId323" tooltip="https://learn.microsoft.com/azure/cloud-adoption-framework/ready/landing-zone/design-area/service-enablement-framework" display="More info" xr:uid="{DC5DC93B-9733-460F-87FB-166BB8FF0CC0}"/>
  </hyperlinks>
  <pageMargins left="0.7" right="0.7" top="0.75" bottom="0.75" header="0.3" footer="0.3"/>
  <pageSetup paperSize="9" orientation="portrait" horizontalDpi="4294967293" r:id="rId324"/>
  <drawing r:id="rId325"/>
  <legacyDrawing r:id="rId32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27" name="Button 1">
              <controlPr defaultSize="0" print="0" autoFill="0" autoPict="0" macro="[0]!Sheet1.export_json">
                <anchor moveWithCells="1" sizeWithCells="1">
                  <from>
                    <xdr:col>8</xdr:col>
                    <xdr:colOff>4905375</xdr:colOff>
                    <xdr:row>1</xdr:row>
                    <xdr:rowOff>533400</xdr:rowOff>
                  </from>
                  <to>
                    <xdr:col>11</xdr:col>
                    <xdr:colOff>85725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28" name="Button 3">
              <controlPr defaultSize="0" print="0" autoFill="0" autoPict="0" macro="[0]!Sheet1.import_checklist">
                <anchor moveWithCells="1">
                  <from>
                    <xdr:col>8</xdr:col>
                    <xdr:colOff>4905375</xdr:colOff>
                    <xdr:row>1</xdr:row>
                    <xdr:rowOff>200025</xdr:rowOff>
                  </from>
                  <to>
                    <xdr:col>11</xdr:col>
                    <xdr:colOff>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329" name="Button 4">
              <controlPr defaultSize="0" print="0" autoFill="0" autoPict="0" macro="[0]!Sheet1.import_checklist_fromurl">
                <anchor moveWithCells="1" sizeWithCells="1">
                  <from>
                    <xdr:col>5</xdr:col>
                    <xdr:colOff>76200</xdr:colOff>
                    <xdr:row>1</xdr:row>
                    <xdr:rowOff>161925</xdr:rowOff>
                  </from>
                  <to>
                    <xdr:col>5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330" name="Button 19">
              <controlPr defaultSize="0" print="0" autoFill="0" autoPict="0" macro="[0]!Sheet1.import_graph_results">
                <anchor moveWithCells="1" sizeWithCells="1">
                  <from>
                    <xdr:col>8</xdr:col>
                    <xdr:colOff>4905375</xdr:colOff>
                    <xdr:row>2</xdr:row>
                    <xdr:rowOff>161925</xdr:rowOff>
                  </from>
                  <to>
                    <xdr:col>11</xdr:col>
                    <xdr:colOff>95250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331" name="Group Box 5">
              <controlPr defaultSize="0" autoFill="0" autoPict="0">
                <anchor moveWithCells="1">
                  <from>
                    <xdr:col>8</xdr:col>
                    <xdr:colOff>4524375</xdr:colOff>
                    <xdr:row>1</xdr:row>
                    <xdr:rowOff>142875</xdr:rowOff>
                  </from>
                  <to>
                    <xdr:col>11</xdr:col>
                    <xdr:colOff>333375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O8:S8</xm:sqref>
        </x14:conditionalFormatting>
        <x14:conditionalFormatting xmlns:xm="http://schemas.microsoft.com/office/excel/2006/main">
          <x14:cfRule type="cellIs" priority="291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H10:H299</xm:sqref>
        </x14:conditionalFormatting>
        <x14:conditionalFormatting xmlns:xm="http://schemas.microsoft.com/office/excel/2006/main">
          <x14:cfRule type="cellIs" priority="301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2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3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4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H10:H299</xm:sqref>
        </x14:conditionalFormatting>
        <x14:conditionalFormatting xmlns:xm="http://schemas.microsoft.com/office/excel/2006/main">
          <x14:cfRule type="cellIs" priority="305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6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7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8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9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G4:G8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2B2B990-4A86-4049-A8DE-23C2DA4C5AB7}">
          <x14:formula1>
            <xm:f>Values!$G$2:$G$6</xm:f>
          </x14:formula1>
          <xm:sqref>H2:H3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G10:G272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H10:H299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D10:D707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J10:J1048576</xm:sqref>
        </x14:dataValidation>
        <x14:dataValidation type="list" allowBlank="1" showInputMessage="1" showErrorMessage="1" xr:uid="{D1412479-1CA8-4F35-8E2F-40DF6F1A942B}">
          <x14:formula1>
            <xm:f>Values!$F$2:$F$7</xm:f>
          </x14:formula1>
          <xm:sqref>G3</xm:sqref>
        </x14:dataValidation>
        <x14:dataValidation type="list" allowBlank="1" showInputMessage="1" showErrorMessage="1" xr:uid="{1FADF299-D3F5-4738-87C9-07B95BA322CB}">
          <x14:formula1>
            <xm:f>Values!$F$2:$F$19</xm:f>
          </x14:formula1>
          <xm:sqref>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M19"/>
  <sheetViews>
    <sheetView workbookViewId="0">
      <selection activeCell="F19" sqref="F19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</cols>
  <sheetData>
    <row r="1" spans="1:13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38</v>
      </c>
      <c r="J1" s="12" t="s">
        <v>44</v>
      </c>
      <c r="K1" s="12" t="s">
        <v>49</v>
      </c>
      <c r="L1" s="12" t="s">
        <v>90</v>
      </c>
      <c r="M1" s="12" t="s">
        <v>103</v>
      </c>
    </row>
    <row r="2" spans="1:13">
      <c r="A2" t="s">
        <v>4</v>
      </c>
      <c r="B2" s="10" t="s">
        <v>5</v>
      </c>
      <c r="D2" t="s">
        <v>20</v>
      </c>
      <c r="E2" t="s">
        <v>36</v>
      </c>
      <c r="F2" t="s">
        <v>95</v>
      </c>
      <c r="G2" t="s">
        <v>31</v>
      </c>
      <c r="H2" t="s">
        <v>39</v>
      </c>
      <c r="J2" t="s">
        <v>97</v>
      </c>
      <c r="K2" t="s">
        <v>50</v>
      </c>
      <c r="L2" t="s">
        <v>91</v>
      </c>
      <c r="M2" t="s">
        <v>104</v>
      </c>
    </row>
    <row r="3" spans="1:13">
      <c r="A3" t="s">
        <v>7</v>
      </c>
      <c r="B3" s="7" t="s">
        <v>8</v>
      </c>
      <c r="F3" t="s">
        <v>28</v>
      </c>
      <c r="G3" t="s">
        <v>32</v>
      </c>
      <c r="H3" t="s">
        <v>40</v>
      </c>
      <c r="J3" t="s">
        <v>45</v>
      </c>
      <c r="K3" t="s">
        <v>51</v>
      </c>
      <c r="L3" t="s">
        <v>30</v>
      </c>
      <c r="M3" t="s">
        <v>105</v>
      </c>
    </row>
    <row r="4" spans="1:13">
      <c r="A4" t="s">
        <v>6</v>
      </c>
      <c r="B4" s="8" t="s">
        <v>9</v>
      </c>
      <c r="F4" t="s">
        <v>29</v>
      </c>
      <c r="G4" t="s">
        <v>33</v>
      </c>
      <c r="H4" t="s">
        <v>42</v>
      </c>
      <c r="J4" t="s">
        <v>46</v>
      </c>
      <c r="K4" t="s">
        <v>52</v>
      </c>
      <c r="L4" t="s">
        <v>56</v>
      </c>
    </row>
    <row r="5" spans="1:13">
      <c r="B5" s="8" t="s">
        <v>64</v>
      </c>
      <c r="F5" t="s">
        <v>112</v>
      </c>
      <c r="G5" t="s">
        <v>34</v>
      </c>
      <c r="H5" t="s">
        <v>70</v>
      </c>
      <c r="J5" t="s">
        <v>47</v>
      </c>
      <c r="K5" t="s">
        <v>53</v>
      </c>
      <c r="L5" t="s">
        <v>89</v>
      </c>
    </row>
    <row r="6" spans="1:13">
      <c r="B6" s="9" t="s">
        <v>10</v>
      </c>
      <c r="F6" t="s">
        <v>111</v>
      </c>
      <c r="G6" t="s">
        <v>35</v>
      </c>
      <c r="H6" t="s">
        <v>41</v>
      </c>
      <c r="J6" t="s">
        <v>110</v>
      </c>
      <c r="K6" t="s">
        <v>54</v>
      </c>
      <c r="L6" t="s">
        <v>92</v>
      </c>
    </row>
    <row r="7" spans="1:13">
      <c r="F7" t="s">
        <v>30</v>
      </c>
      <c r="J7" t="s">
        <v>48</v>
      </c>
    </row>
    <row r="8" spans="1:13">
      <c r="F8" t="s">
        <v>43</v>
      </c>
      <c r="J8" t="s">
        <v>55</v>
      </c>
    </row>
    <row r="9" spans="1:13">
      <c r="F9" t="s">
        <v>71</v>
      </c>
      <c r="J9" t="s">
        <v>72</v>
      </c>
    </row>
    <row r="10" spans="1:13">
      <c r="F10" t="s">
        <v>86</v>
      </c>
      <c r="J10" t="s">
        <v>75</v>
      </c>
    </row>
    <row r="11" spans="1:13">
      <c r="F11" t="s">
        <v>108</v>
      </c>
      <c r="J11" t="s">
        <v>109</v>
      </c>
    </row>
    <row r="12" spans="1:13">
      <c r="F12" t="s">
        <v>106</v>
      </c>
      <c r="J12" t="s">
        <v>107</v>
      </c>
    </row>
    <row r="13" spans="1:13">
      <c r="F13" t="s">
        <v>73</v>
      </c>
      <c r="J13" t="s">
        <v>74</v>
      </c>
    </row>
    <row r="14" spans="1:13">
      <c r="F14" t="s">
        <v>77</v>
      </c>
      <c r="J14" t="s">
        <v>76</v>
      </c>
    </row>
    <row r="15" spans="1:13">
      <c r="F15" t="s">
        <v>78</v>
      </c>
      <c r="J15" t="s">
        <v>79</v>
      </c>
    </row>
    <row r="16" spans="1:13">
      <c r="F16" t="s">
        <v>80</v>
      </c>
      <c r="J16" t="s">
        <v>81</v>
      </c>
    </row>
    <row r="17" spans="6:10">
      <c r="F17" t="s">
        <v>82</v>
      </c>
      <c r="J17" t="s">
        <v>84</v>
      </c>
    </row>
    <row r="18" spans="6:10">
      <c r="F18" t="s">
        <v>83</v>
      </c>
      <c r="J18" t="s">
        <v>85</v>
      </c>
    </row>
    <row r="19" spans="6:10">
      <c r="F19" t="s">
        <v>93</v>
      </c>
      <c r="J19" t="s">
        <v>94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Props1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2023-10-25T12:46:07Z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