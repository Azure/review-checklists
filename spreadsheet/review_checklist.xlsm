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view-checklists\spreadsheet\"/>
    </mc:Choice>
  </mc:AlternateContent>
  <xr:revisionPtr revIDLastSave="0" documentId="13_ncr:1_{CD2087F9-90A9-49BD-9995-F0D83866EF2A}" xr6:coauthVersionLast="47" xr6:coauthVersionMax="47" xr10:uidLastSave="{00000000-0000-0000-0000-000000000000}"/>
  <bookViews>
    <workbookView xWindow="-110" yWindow="-110" windowWidth="24220" windowHeight="1550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<sst xmlns="http://schemas.openxmlformats.org/spreadsheetml/2006/main" count="370" uniqueCount="222">
  <si>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</si>
  <si>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</si>
  <si>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</si>
  <si>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</si>
  <si>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</si>
  <si>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</si>
  <si>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</si>
  <si>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</si>
  <si>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</si>
  <si>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</si>
  <si>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</si>
  <si>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</si>
  <si>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</si>
  <si>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</si>
  <si>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</si>
  <si>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</si>
  <si>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</si>
  <si>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</si>
  <si>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</si>
  <si>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</si>
  <si>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</si>
  <si>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</si>
  <si>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</si>
  <si>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</si>
  <si>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</si>
  <si>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</si>
  <si>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</si>
  <si>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</si>
  <si>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</si>
  <si>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</si>
  <si>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</si>
  <si>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</si>
  <si>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</si>
  <si>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</si>
  <si>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</si>
  <si>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</si>
  <si>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</si>
  <si>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</si>
  <si>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</si>
  <si>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</si>
  <si>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</si>
  <si>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</si>
  <si>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</si>
  <si>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</si>
  <si>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</si>
  <si>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</si>
  <si>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</si>
  <si>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</si>
  <si>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</si>
  <si>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</si>
  <si>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</si>
  <si>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</si>
  <si>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</si>
  <si>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</si>
  <si>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</si>
  <si>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</si>
  <si>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</si>
  <si>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</si>
  <si>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</si>
  <si>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</si>
  <si>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</si>
  <si>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</si>
  <si>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</si>
  <si>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</si>
  <si>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</si>
  <si>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</si>
  <si>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</si>
  <si>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</si>
  <si>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</si>
  <si>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</si>
  <si>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</si>
  <si>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</si>
  <si>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</si>
  <si>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</si>
  <si>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</si>
  <si>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</si>
  <si>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</si>
  <si>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</si>
  <si>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</si>
  <si>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</si>
  <si>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</si>
  <si>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</si>
  <si>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</si>
  <si>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</si>
  <si>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</si>
  <si>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</si>
  <si>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</si>
  <si>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</si>
  <si>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</si>
  <si>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</si>
  <si>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</si>
  <si>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</si>
  <si>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</si>
  <si>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</si>
  <si>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</si>
  <si>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</si>
  <si>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</si>
  <si>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</si>
  <si>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</si>
  <si>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</si>
  <si>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</si>
  <si>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</si>
  <si>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</si>
  <si>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</si>
  <si>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</si>
  <si>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</si>
  <si>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</si>
  <si>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</si>
  <si>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</si>
  <si>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</si>
  <si>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</si>
  <si>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</si>
  <si>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</si>
  <si>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</si>
  <si>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</si>
  <si>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</si>
  <si>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</si>
  <si>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</si>
  <si>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</si>
  <si>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</si>
  <si>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</si>
  <si>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</si>
  <si>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</si>
  <si>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</si>
  <si>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</si>
  <si>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</si>
  <si>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</si>
  <si>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</si>
  <si>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</si>
  <si>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</si>
  <si>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</si>
  <si>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</si>
  <si>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</si>
  <si>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</si>
  <si>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</si>
  <si>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</si>
  <si>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</si>
  <si>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</si>
  <si>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</si>
  <si>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</si>
  <si>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</si>
  <si>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</si>
  <si>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</si>
  <si>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</si>
  <si>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</si>
  <si>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</si>
  <si>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</si>
  <si>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</si>
  <si>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</si>
  <si>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</si>
  <si>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</si>
  <si>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</si>
  <si>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</si>
  <si>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</si>
  <si>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</si>
  <si>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</si>
  <si>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</si>
  <si>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</si>
  <si>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</si>
  <si>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</si>
  <si>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</si>
  <si>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</si>
  <si>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</si>
  <si>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</si>
  <si>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</si>
  <si>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</si>
  <si>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</si>
  <si>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</si>
  <si>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</si>
  <si>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</si>
  <si>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</si>
  <si>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</si>
  <si>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</si>
  <si>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</si>
  <si>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</si>
  <si>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</si>
  <si>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</si>
  <si>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</si>
  <si>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</si>
  <si>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</si>
  <si>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</si>
  <si>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</si>
  <si>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</si>
  <si>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</si>
  <si>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</si>
  <si>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</si>
  <si>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</si>
  <si>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</si>
  <si>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</si>
  <si>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</si>
  <si>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</si>
  <si>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</si>
  <si>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</si>
  <si>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</si>
  <si>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</si>
  <si>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</si>
  <si>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</si>
  <si>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</si>
  <si>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</si>
  <si>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</si>
  <si>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</si>
  <si>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</si>
  <si>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</si>
  <si>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</si>
  <si>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</si>
  <si>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</si>
  <si>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</si>
  <si>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</si>
  <si>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</si>
  <si>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</si>
  <si>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</si>
  <si>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</si>
  <si>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</si>
  <si>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</si>
  <si>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Identity and Access Management</t>
  </si>
  <si>
    <t>Network Topology and Connectivity</t>
  </si>
  <si>
    <t>Application Deployment</t>
  </si>
  <si>
    <t>BC and DR</t>
  </si>
  <si>
    <t>Cost Governance</t>
  </si>
  <si>
    <t>Governance and Security</t>
  </si>
  <si>
    <t>GA</t>
  </si>
  <si>
    <t>Azure AKS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</si>
</sst>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622300</xdr:rowOff>
        </xdr:from>
        <xdr:to>
          <xdr:col>12</xdr:col>
          <xdr:colOff>252412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1</xdr:row>
          <xdr:rowOff>317500</xdr:rowOff>
        </xdr:from>
        <xdr:to>
          <xdr:col>12</xdr:col>
          <xdr:colOff>252412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165100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4445000</xdr:colOff>
          <xdr:row>1</xdr:row>
          <xdr:rowOff>127000</xdr:rowOff>
        </xdr:from>
        <xdr:to>
          <xdr:col>14</xdr:col>
          <xdr:colOff>969963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4635500</xdr:colOff>
          <xdr:row>3</xdr:row>
          <xdr:rowOff>0</xdr:rowOff>
        </xdr:from>
        <xdr:to>
          <xdr:col>12</xdr:col>
          <xdr:colOff>252412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309562</xdr:colOff>
          <xdr:row>1</xdr:row>
          <xdr:rowOff>323850</xdr:rowOff>
        </xdr:from>
        <xdr:to>
          <xdr:col>14</xdr:col>
          <xdr:colOff>754063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309562</xdr:colOff>
          <xdr:row>1</xdr:row>
          <xdr:rowOff>609600</xdr:rowOff>
        </xdr:from>
        <xdr:to>
          <xdr:col>14</xdr:col>
          <xdr:colOff>754063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ctrlProp" Target="../ctrlProps/ctrlProp4.xm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ctrlProp" Target="../ctrlProps/ctrlProp2.xm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ctrlProp" Target="../ctrlProps/ctrlProp1.xm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vmlDrawing" Target="../drawings/vmlDrawing1.vm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drawing" Target="../drawings/drawing1.xm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ctrlProp" Target="../ctrlProps/ctrlProp7.xm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printerSettings" Target="../printerSettings/printerSettings1.bin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ctrlProp" Target="../ctrlProps/ctrlProp6.xm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ctrlProp" Target="../ctrlProps/ctrlProp5.xm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ctrlProp" Target="../ctrlProps/ctrlProp3.xm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11" sqref="H11"/>
    </sheetView>
  </sheetViews>
  <sheetFormatPr defaultColWidth="9" defaultRowHeight="16.5"/>
  <cols>
    <col min="1" max="1" width="10" style="2" customWidth="1"/>
    <col min="2" max="2" width="19" style="1" customWidth="1"/>
    <col min="3" max="3" width="22.26953125" style="1" customWidth="1"/>
    <col min="4" max="5" width="18.26953125" style="1" customWidth="1"/>
    <col min="6" max="6" width="94.54296875" style="2" customWidth="1"/>
    <col min="7" max="7" width="34.1796875" style="2" customWidth="1"/>
    <col min="8" max="9" width="18.7265625" style="2" customWidth="1"/>
    <col min="10" max="10" width="76" style="2" customWidth="1"/>
    <col min="11" max="11" width="13.453125" style="2" hidden="1" customWidth="1"/>
    <col min="12" max="12" width="18.453125" style="2" customWidth="1"/>
    <col min="13" max="13" width="14.54296875" style="2" customWidth="1"/>
    <col min="14" max="14" width="11.453125" style="2" customWidth="1"/>
    <col min="15" max="15" width="46.1796875" style="2" customWidth="1"/>
    <col min="16" max="16" width="10.81640625" style="2" customWidth="1"/>
    <col min="17" max="17" width="10.26953125" style="2" customWidth="1"/>
    <col min="18" max="18" width="9.81640625" style="2" customWidth="1"/>
    <col min="19" max="20" width="10.26953125" style="2" customWidth="1"/>
    <col min="21" max="21" width="122.54296875" style="2" customWidth="1"/>
    <col min="22" max="16384" width="9" style="2"/>
  </cols>
  <sheetData>
    <row r="1" spans="1:21" ht="17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211</v>
      </c>
      <c r="I2" s="21" t="s">
        <v>30</v>
      </c>
      <c r="J2" s="26" t="s">
        <v>36</v>
      </c>
      <c r="K2" s="26"/>
    </row>
    <row r="3" spans="1:21" ht="17.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176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165</v>
      </c>
    </row>
    <row r="5" spans="1:21">
      <c r="B5" s="23"/>
      <c r="C5" s="23"/>
      <c r="D5" s="23"/>
      <c r="E5" s="23"/>
      <c r="G5" s="50" t="s">
        <v>170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221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 t="s">
        <v>220</v>
      </c>
      <c r="B7" s="44" t="s">
        <v>117</v>
      </c>
      <c r="C7" s="43" t="s">
        <v>180</v>
      </c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>
        <v>45342</v>
      </c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610"/>
  <drawing r:id="rId2611"/>
  <legacyDrawing r:id="rId26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3" name="Button 1">
              <controlPr defaultSize="0" print="0" autoFill="0" autoPict="0" macro="[0]!Sheet1.export_json">
                <anchor>
                  <from>
                    <xdr:col>9</xdr:col>
                    <xdr:colOff>4635500</xdr:colOff>
                    <xdr:row>1</xdr:row>
                    <xdr:rowOff>622300</xdr:rowOff>
                  </from>
                  <to>
                    <xdr:col>12</xdr:col>
                    <xdr:colOff>254000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14" name="Button 3">
              <controlPr defaultSize="0" print="0" autoFill="0" autoPict="0" macro="[0]!Sheet1.import_checklist">
                <anchor>
                  <from>
                    <xdr:col>9</xdr:col>
                    <xdr:colOff>4635500</xdr:colOff>
                    <xdr:row>1</xdr:row>
                    <xdr:rowOff>317500</xdr:rowOff>
                  </from>
                  <to>
                    <xdr:col>12</xdr:col>
                    <xdr:colOff>254000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1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165100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16" name="Button 19">
              <controlPr defaultSize="0" print="0" autoFill="0" autoPict="0" macro="[0]!Sheet1.import_graph_results">
                <anchor>
                  <from>
                    <xdr:col>9</xdr:col>
                    <xdr:colOff>4635500</xdr:colOff>
                    <xdr:row>3</xdr:row>
                    <xdr:rowOff>0</xdr:rowOff>
                  </from>
                  <to>
                    <xdr:col>12</xdr:col>
                    <xdr:colOff>254000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17" name="Group Box 5">
              <controlPr defaultSize="0" autoFill="0" autoPict="0">
                <anchor>
                  <from>
                    <xdr:col>9</xdr:col>
                    <xdr:colOff>4445000</xdr:colOff>
                    <xdr:row>1</xdr:row>
                    <xdr:rowOff>127000</xdr:rowOff>
                  </from>
                  <to>
                    <xdr:col>14</xdr:col>
                    <xdr:colOff>971550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18" name="Button 31">
              <controlPr defaultSize="0" print="0" autoFill="0" autoPict="0" macro="[0]!Sheet1.ProcessGraphQueries">
                <anchor>
                  <from>
                    <xdr:col>12</xdr:col>
                    <xdr:colOff>311150</xdr:colOff>
                    <xdr:row>1</xdr:row>
                    <xdr:rowOff>323850</xdr:rowOff>
                  </from>
                  <to>
                    <xdr:col>14</xdr:col>
                    <xdr:colOff>755650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19" name="Button 32">
              <controlPr defaultSize="0" print="0" autoFill="0" autoPict="0" macro="[0]!Sheet1.ShowAllColumns">
                <anchor>
                  <from>
                    <xdr:col>12</xdr:col>
                    <xdr:colOff>311150</xdr:colOff>
                    <xdr:row>1</xdr:row>
                    <xdr:rowOff>609600</xdr:rowOff>
                  </from>
                  <to>
                    <xdr:col>14</xdr:col>
                    <xdr:colOff>755650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4.5"/>
  <cols>
    <col min="1" max="1" width="28.26953125" customWidth="1"/>
    <col min="4" max="4" width="15" customWidth="1"/>
    <col min="5" max="6" width="12.81640625" customWidth="1"/>
  </cols>
  <sheetData>
    <row r="1" spans="1:15" ht="37">
      <c r="D1" s="18" t="s">
        <v>20</v>
      </c>
      <c r="E1" s="18" t="s">
        <v>21</v>
      </c>
      <c r="F1" s="18"/>
    </row>
    <row r="2" spans="1:15" ht="31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>Identity and Access Management</v>
      </c>
      <c r="J6" cm="1">
        <f t="array" ref="J6">IF($I6="","",SUMPRODUCT(--(Checklist!$B$10:$B$487=$I6)*--(Checklist!$I$10:$I$487=J$5)))</f>
        <v>0</v>
      </c>
      <c r="K6" cm="1">
        <f t="array" ref="K6">IF($I6="","",SUMPRODUCT(--(Checklist!$B$10:$B$487=$I6)*--(Checklist!$I$10:$I$487=K$5)))</f>
        <v>0</v>
      </c>
      <c r="L6" cm="1">
        <f t="array" ref="L6">IF($I6="","",SUMPRODUCT(--(Checklist!$B$10:$B$487=$I6)*--(Checklist!$I$10:$I$487=L$5)))</f>
        <v>0</v>
      </c>
      <c r="M6" cm="1">
        <f t="array" ref="M6">IF($I6="","",SUMPRODUCT(--(Checklist!$B$10:$B$487=$I6)*--(Checklist!$I$10:$I$487=M$5)))</f>
        <v>0</v>
      </c>
      <c r="N6" cm="1">
        <f t="array" ref="N6">IF($I6="","",SUMPRODUCT(--(Checklist!$B$10:$B$487=$I6)*--(Checklist!$I$10:$I$487=N$5)))</f>
        <v>0</v>
      </c>
      <c r="O6">
        <f>IF($I6="","",SUM(J6:N6))</f>
        <v>0</v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>Network Topology and Connectivity</v>
      </c>
      <c r="J7" cm="1">
        <f t="array" ref="J7">IF($I7="","",SUMPRODUCT(--(Checklist!$B$10:$B$487=$I7)*--(Checklist!$I$10:$I$487=J$5)))</f>
        <v>0</v>
      </c>
      <c r="K7" cm="1">
        <f t="array" ref="K7">IF($I7="","",SUMPRODUCT(--(Checklist!$B$10:$B$487=$I7)*--(Checklist!$I$10:$I$487=K$5)))</f>
        <v>0</v>
      </c>
      <c r="L7" cm="1">
        <f t="array" ref="L7">IF($I7="","",SUMPRODUCT(--(Checklist!$B$10:$B$487=$I7)*--(Checklist!$I$10:$I$487=L$5)))</f>
        <v>0</v>
      </c>
      <c r="M7" cm="1">
        <f t="array" ref="M7">IF($I7="","",SUMPRODUCT(--(Checklist!$B$10:$B$487=$I7)*--(Checklist!$I$10:$I$487=M$5)))</f>
        <v>0</v>
      </c>
      <c r="N7" cm="1">
        <f t="array" ref="N7">IF($I7="","",SUMPRODUCT(--(Checklist!$B$10:$B$487=$I7)*--(Checklist!$I$10:$I$487=N$5)))</f>
        <v>0</v>
      </c>
      <c r="O7">
        <f t="shared" ref="O7:O13" si="0">IF($I7="","",SUM(J7:N7))</f>
        <v>0</v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>BC and DR</v>
      </c>
      <c r="J8" cm="1">
        <f t="array" ref="J8">IF($I8="","",SUMPRODUCT(--(Checklist!$B$10:$B$487=$I8)*--(Checklist!$I$10:$I$487=J$5)))</f>
        <v>0</v>
      </c>
      <c r="K8" cm="1">
        <f t="array" ref="K8">IF($I8="","",SUMPRODUCT(--(Checklist!$B$10:$B$487=$I8)*--(Checklist!$I$10:$I$487=K$5)))</f>
        <v>0</v>
      </c>
      <c r="L8" cm="1">
        <f t="array" ref="L8">IF($I8="","",SUMPRODUCT(--(Checklist!$B$10:$B$487=$I8)*--(Checklist!$I$10:$I$487=L$5)))</f>
        <v>0</v>
      </c>
      <c r="M8" cm="1">
        <f t="array" ref="M8">IF($I8="","",SUMPRODUCT(--(Checklist!$B$10:$B$487=$I8)*--(Checklist!$I$10:$I$487=M$5)))</f>
        <v>0</v>
      </c>
      <c r="N8" cm="1">
        <f t="array" ref="N8">IF($I8="","",SUMPRODUCT(--(Checklist!$B$10:$B$487=$I8)*--(Checklist!$I$10:$I$487=N$5)))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>Governance and Security</v>
      </c>
      <c r="J9" cm="1">
        <f t="array" ref="J9">IF($I9="","",SUMPRODUCT(--(Checklist!$B$10:$B$487=$I9)*--(Checklist!$I$10:$I$487=J$5)))</f>
        <v>0</v>
      </c>
      <c r="K9" cm="1">
        <f t="array" ref="K9">IF($I9="","",SUMPRODUCT(--(Checklist!$B$10:$B$487=$I9)*--(Checklist!$I$10:$I$487=K$5)))</f>
        <v>0</v>
      </c>
      <c r="L9" cm="1">
        <f t="array" ref="L9">IF($I9="","",SUMPRODUCT(--(Checklist!$B$10:$B$487=$I9)*--(Checklist!$I$10:$I$487=L$5)))</f>
        <v>0</v>
      </c>
      <c r="M9" cm="1">
        <f t="array" ref="M9">IF($I9="","",SUMPRODUCT(--(Checklist!$B$10:$B$487=$I9)*--(Checklist!$I$10:$I$487=M$5)))</f>
        <v>0</v>
      </c>
      <c r="N9" cm="1">
        <f t="array" ref="N9">IF($I9="","",SUMPRODUCT(--(Checklist!$B$10:$B$487=$I9)*--(Checklist!$I$10:$I$487=N$5)))</f>
        <v>0</v>
      </c>
      <c r="O9">
        <f t="shared" si="0"/>
        <v>0</v>
      </c>
    </row>
    <row r="10" spans="1:15">
      <c r="I10" s="12" t="str">
        <f>IF(Values!$C6="","",Values!$C6)</f>
        <v>Cost Governance</v>
      </c>
      <c r="J10" cm="1">
        <f t="array" ref="J10">IF($I10="","",SUMPRODUCT(--(Checklist!$B$10:$B$487=$I10)*--(Checklist!$I$10:$I$487=J$5)))</f>
        <v>0</v>
      </c>
      <c r="K10" s="41" cm="1">
        <f t="array" ref="K10">IF($I10="","",SUMPRODUCT(--(Checklist!$B$10:$B$487=$I10)*--(Checklist!$I$10:$I$487=K$5)))</f>
        <v>0</v>
      </c>
      <c r="L10" cm="1">
        <f t="array" ref="L10">IF($I10="","",SUMPRODUCT(--(Checklist!$B$10:$B$487=$I10)*--(Checklist!$I$10:$I$487=L$5)))</f>
        <v>0</v>
      </c>
      <c r="M10" cm="1">
        <f t="array" ref="M10">IF($I10="","",SUMPRODUCT(--(Checklist!$B$10:$B$487=$I10)*--(Checklist!$I$10:$I$487=M$5)))</f>
        <v>0</v>
      </c>
      <c r="N10" cm="1">
        <f t="array" ref="N10">IF($I10="","",SUMPRODUCT(--(Checklist!$B$10:$B$487=$I10)*--(Checklist!$I$10:$I$487=N$5)))</f>
        <v>0</v>
      </c>
      <c r="O10">
        <f t="shared" si="0"/>
        <v>0</v>
      </c>
    </row>
    <row r="11" spans="1:15">
      <c r="I11" s="12" t="str">
        <f>IF(Values!$C7="","",Values!$C7)</f>
        <v>Operations</v>
      </c>
      <c r="J11" cm="1">
        <f t="array" ref="J11">IF($I11="","",SUMPRODUCT(--(Checklist!$B$10:$B$487=$I11)*--(Checklist!$I$10:$I$487=J$5)))</f>
        <v>0</v>
      </c>
      <c r="K11" s="41" cm="1">
        <f t="array" ref="K11">IF($I11="","",SUMPRODUCT(--(Checklist!$B$10:$B$487=$I11)*--(Checklist!$I$10:$I$487=K$5)))</f>
        <v>0</v>
      </c>
      <c r="L11" cm="1">
        <f t="array" ref="L11">IF($I11="","",SUMPRODUCT(--(Checklist!$B$10:$B$487=$I11)*--(Checklist!$I$10:$I$487=L$5)))</f>
        <v>0</v>
      </c>
      <c r="M11" cm="1">
        <f t="array" ref="M11">IF($I11="","",SUMPRODUCT(--(Checklist!$B$10:$B$487=$I11)*--(Checklist!$I$10:$I$487=M$5)))</f>
        <v>0</v>
      </c>
      <c r="N11" cm="1">
        <f t="array" ref="N11">IF($I11="","",SUMPRODUCT(--(Checklist!$B$10:$B$487=$I11)*--(Checklist!$I$10:$I$487=N$5)))</f>
        <v>0</v>
      </c>
      <c r="O11">
        <f t="shared" si="0"/>
        <v>0</v>
      </c>
    </row>
    <row r="12" spans="1:15">
      <c r="I12" s="12" t="str">
        <f>IF(Values!$C8="","",Values!$C8)</f>
        <v>Application Deployment</v>
      </c>
      <c r="J12" cm="1">
        <f t="array" ref="J12">IF($I12="","",SUMPRODUCT(--(Checklist!$B$10:$B$487=$I12)*--(Checklist!$I$10:$I$487=J$5)))</f>
        <v>0</v>
      </c>
      <c r="K12" s="41" cm="1">
        <f t="array" ref="K12">IF($I12="","",SUMPRODUCT(--(Checklist!$B$10:$B$487=$I12)*--(Checklist!$I$10:$I$487=K$5)))</f>
        <v>0</v>
      </c>
      <c r="L12" cm="1">
        <f t="array" ref="L12">IF($I12="","",SUMPRODUCT(--(Checklist!$B$10:$B$487=$I12)*--(Checklist!$I$10:$I$487=L$5)))</f>
        <v>0</v>
      </c>
      <c r="M12" cm="1">
        <f t="array" ref="M12">IF($I12="","",SUMPRODUCT(--(Checklist!$B$10:$B$487=$I12)*--(Checklist!$I$10:$I$487=M$5)))</f>
        <v>0</v>
      </c>
      <c r="N12" cm="1">
        <f t="array" ref="N12">IF($I12="","",SUMPRODUCT(--(Checklist!$B$10:$B$487=$I12)*--(Checklist!$I$10:$I$487=N$5)))</f>
        <v>0</v>
      </c>
      <c r="O12">
        <f t="shared" si="0"/>
        <v>0</v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>Identity and Access Management</v>
      </c>
      <c r="Q21" cm="1">
        <f t="array" ref="Q21">IF($P21="","",SUMPRODUCT(--(Checklist!$B$10:$B$487=$P21)*--(Checklist!$I$10:$I$487=Q$20)))</f>
        <v>0</v>
      </c>
      <c r="R21" cm="1">
        <f t="array" ref="R21">IF($P21="","",SUMPRODUCT(--(Checklist!$B$10:$B$487=$P21)*--(Checklist!$I$10:$I$487=R$20)))</f>
        <v>0</v>
      </c>
      <c r="S21" cm="1">
        <f t="array" ref="S21">IF($P21="","",SUMPRODUCT(--(Checklist!$B$10:$B$487=$P21)*(--(Checklist!$I$10:$I$487=Values!$B$4)+--(Checklist!$I$10:$I$487=Values!$B$5)+--(Checklist!$I$10:$I$487=Values!$B$6))))</f>
        <v>0</v>
      </c>
      <c r="T21">
        <f>IF($P21="","",SUM(Q21:S21))</f>
        <v>0</v>
      </c>
      <c r="U21" s="14">
        <f>IF($P21="","",IF(T21=0,0,S21/T21))</f>
        <v>0</v>
      </c>
    </row>
    <row r="22" spans="11:21">
      <c r="K22" s="41"/>
      <c r="P22" s="12" t="str">
        <f>IF(Values!$C3="","",Values!$C3)</f>
        <v>Network Topology and Connectivity</v>
      </c>
      <c r="Q22" cm="1">
        <f t="array" ref="Q22">IF($P22="","",SUMPRODUCT(--(Checklist!$B$10:$B$487=$P22)*--(Checklist!$I$10:$I$487=Q$20)))</f>
        <v>0</v>
      </c>
      <c r="R22" cm="1">
        <f t="array" ref="R22">IF($P22="","",SUMPRODUCT(--(Checklist!$B$10:$B$487=$P22)*--(Checklist!$I$10:$I$487=R$20)))</f>
        <v>0</v>
      </c>
      <c r="S22" cm="1">
        <f t="array" ref="S22">IF($P22="","",SUMPRODUCT(--(Checklist!$B$10:$B$487=$P22)*(--(Checklist!$I$10:$I$487=Values!$B$4)+--(Checklist!$I$10:$I$487=Values!$B$5)+--(Checklist!$I$10:$I$487=Values!$B$6))))</f>
        <v>0</v>
      </c>
      <c r="T22">
        <f t="shared" ref="T22:T27" si="3">IF($P22="","",SUM(Q22:S22))</f>
        <v>0</v>
      </c>
      <c r="U22" s="14">
        <f t="shared" ref="U22:U28" si="4">IF($P22="","",IF(T22=0,0,S22/T22))</f>
        <v>0</v>
      </c>
    </row>
    <row r="23" spans="11:21">
      <c r="K23" s="41"/>
      <c r="P23" s="12" t="str">
        <f>IF(Values!$C4="","",Values!$C4)</f>
        <v>BC and DR</v>
      </c>
      <c r="Q23" cm="1">
        <f t="array" ref="Q23">IF($P23="","",SUMPRODUCT(--(Checklist!$B$10:$B$487=$P23)*--(Checklist!$I$10:$I$487=Q$20)))</f>
        <v>0</v>
      </c>
      <c r="R23" cm="1">
        <f t="array" ref="R23">IF($P23="","",SUMPRODUCT(--(Checklist!$B$10:$B$487=$P23)*--(Checklist!$I$10:$I$487=R$20)))</f>
        <v>0</v>
      </c>
      <c r="S23" cm="1">
        <f t="array" ref="S23">IF($P23="","",SUMPRODUCT(--(Checklist!$B$10:$B$487=$P23)*(--(Checklist!$I$10:$I$487=Values!$B$4)+--(Checklist!$I$10:$I$487=Values!$B$5)+--(Checklist!$I$10:$I$487=Values!$B$6))))</f>
        <v>0</v>
      </c>
      <c r="T23">
        <f t="shared" si="3"/>
        <v>0</v>
      </c>
      <c r="U23" s="14">
        <f t="shared" si="4"/>
        <v>0</v>
      </c>
    </row>
    <row r="24" spans="11:21">
      <c r="K24" s="41"/>
      <c r="P24" s="12" t="str">
        <f>IF(Values!$C5="","",Values!$C5)</f>
        <v>Governance and Security</v>
      </c>
      <c r="Q24" cm="1">
        <f t="array" ref="Q24">IF($P24="","",SUMPRODUCT(--(Checklist!$B$10:$B$487=$P24)*--(Checklist!$I$10:$I$487=Q$20)))</f>
        <v>0</v>
      </c>
      <c r="R24" cm="1">
        <f t="array" ref="R24">IF($P24="","",SUMPRODUCT(--(Checklist!$B$10:$B$487=$P24)*--(Checklist!$I$10:$I$487=R$20)))</f>
        <v>0</v>
      </c>
      <c r="S24" cm="1">
        <f t="array" ref="S24">IF($P24="","",SUMPRODUCT(--(Checklist!$B$10:$B$487=$P24)*(--(Checklist!$I$10:$I$487=Values!$B$4)+--(Checklist!$I$10:$I$487=Values!$B$5)+--(Checklist!$I$10:$I$487=Values!$B$6))))</f>
        <v>0</v>
      </c>
      <c r="T24">
        <f t="shared" si="3"/>
        <v>0</v>
      </c>
      <c r="U24" s="14">
        <f t="shared" si="4"/>
        <v>0</v>
      </c>
    </row>
    <row r="25" spans="11:21">
      <c r="K25" s="41"/>
      <c r="P25" s="12" t="str">
        <f>IF(Values!$C6="","",Values!$C6)</f>
        <v>Cost Governance</v>
      </c>
      <c r="Q25" cm="1">
        <f t="array" ref="Q25">IF($P25="","",SUMPRODUCT(--(Checklist!$B$10:$B$487=$P25)*--(Checklist!$I$10:$I$487=Q$20)))</f>
        <v>0</v>
      </c>
      <c r="R25" cm="1">
        <f t="array" ref="R25">IF($P25="","",SUMPRODUCT(--(Checklist!$B$10:$B$487=$P25)*--(Checklist!$I$10:$I$487=R$20)))</f>
        <v>0</v>
      </c>
      <c r="S25" cm="1">
        <f t="array" ref="S25">IF($P25="","",SUMPRODUCT(--(Checklist!$B$10:$B$487=$P25)*(--(Checklist!$I$10:$I$487=Values!$B$4)+--(Checklist!$I$10:$I$487=Values!$B$5)+--(Checklist!$I$10:$I$487=Values!$B$6))))</f>
        <v>0</v>
      </c>
      <c r="T25">
        <f t="shared" si="3"/>
        <v>0</v>
      </c>
      <c r="U25" s="14">
        <f t="shared" si="4"/>
        <v>0</v>
      </c>
    </row>
    <row r="26" spans="11:21">
      <c r="K26" s="41"/>
      <c r="P26" s="12" t="str">
        <f>IF(Values!$C7="","",Values!$C7)</f>
        <v>Operations</v>
      </c>
      <c r="Q26" cm="1">
        <f t="array" ref="Q26">IF($P26="","",SUMPRODUCT(--(Checklist!$B$10:$B$487=$P26)*--(Checklist!$I$10:$I$487=Q$20)))</f>
        <v>0</v>
      </c>
      <c r="R26" cm="1">
        <f t="array" ref="R26">IF($P26="","",SUMPRODUCT(--(Checklist!$B$10:$B$487=$P26)*--(Checklist!$I$10:$I$487=R$20)))</f>
        <v>0</v>
      </c>
      <c r="S26" cm="1">
        <f t="array" ref="S26">IF($P26="","",SUMPRODUCT(--(Checklist!$B$10:$B$487=$P26)*(--(Checklist!$I$10:$I$487=Values!$B$4)+--(Checklist!$I$10:$I$487=Values!$B$5)+--(Checklist!$I$10:$I$487=Values!$B$6))))</f>
        <v>0</v>
      </c>
      <c r="T26">
        <f t="shared" si="3"/>
        <v>0</v>
      </c>
      <c r="U26" s="14">
        <f t="shared" si="4"/>
        <v>0</v>
      </c>
    </row>
    <row r="27" spans="11:21">
      <c r="K27" s="41"/>
      <c r="P27" s="12" t="str">
        <f>IF(Values!$C8="","",Values!$C8)</f>
        <v>Application Deployment</v>
      </c>
      <c r="Q27" cm="1">
        <f t="array" ref="Q27">IF($P27="","",SUMPRODUCT(--(Checklist!$B$10:$B$487=$P27)*--(Checklist!$I$10:$I$487=Q$20)))</f>
        <v>0</v>
      </c>
      <c r="R27" cm="1">
        <f t="array" ref="R27">IF($P27="","",SUMPRODUCT(--(Checklist!$B$10:$B$487=$P27)*--(Checklist!$I$10:$I$487=R$20)))</f>
        <v>0</v>
      </c>
      <c r="S27" cm="1">
        <f t="array" ref="S27">IF($P27="","",SUMPRODUCT(--(Checklist!$B$10:$B$487=$P27)*(--(Checklist!$I$10:$I$487=Values!$B$4)+--(Checklist!$I$10:$I$487=Values!$B$5)+--(Checklist!$I$10:$I$487=Values!$B$6))))</f>
        <v>0</v>
      </c>
      <c r="T27">
        <f t="shared" si="3"/>
        <v>0</v>
      </c>
      <c r="U27" s="14">
        <f t="shared" si="4"/>
        <v>0</v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4.5"/>
  <cols>
    <col min="1" max="1" width="8.453125" bestFit="1" customWidth="1"/>
    <col min="2" max="2" width="12.453125" bestFit="1" customWidth="1"/>
    <col min="3" max="3" width="8.81640625" bestFit="1" customWidth="1"/>
    <col min="4" max="4" width="62.54296875" bestFit="1" customWidth="1"/>
    <col min="5" max="5" width="78" bestFit="1" customWidth="1"/>
    <col min="6" max="6" width="20.81640625" bestFit="1" customWidth="1"/>
    <col min="7" max="7" width="20.54296875" bestFit="1" customWidth="1"/>
    <col min="8" max="8" width="9.54296875" bestFit="1" customWidth="1"/>
    <col min="9" max="9" width="19.453125" bestFit="1" customWidth="1"/>
    <col min="10" max="10" width="75.453125" bestFit="1" customWidth="1"/>
    <col min="11" max="11" width="18.453125" bestFit="1" customWidth="1"/>
    <col min="12" max="12" width="12.453125" bestFit="1" customWidth="1"/>
    <col min="13" max="13" width="6.7265625" bestFit="1" customWidth="1"/>
    <col min="14" max="14" width="22.453125" bestFit="1" customWidth="1"/>
    <col min="15" max="15" width="12.81640625" bestFit="1" customWidth="1"/>
    <col min="16" max="16" width="14.1796875" bestFit="1" customWidth="1"/>
    <col min="17" max="17" width="8.26953125" bestFit="1" customWidth="1"/>
    <col min="18" max="18" width="20.54296875" bestFit="1" customWidth="1"/>
    <col min="19" max="19" width="7.269531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167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171</v>
      </c>
      <c r="S1" s="12" t="s">
        <v>179</v>
      </c>
    </row>
    <row r="2" spans="1:19">
      <c r="A2" t="s">
        <v>4</v>
      </c>
      <c r="B2" s="10" t="s">
        <v>5</v>
      </c>
      <c r="C2" t="s">
        <v>214</v>
      </c>
      <c r="D2" t="s">
        <v>177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170</v>
      </c>
      <c r="S2" t="s">
        <v>180</v>
      </c>
    </row>
    <row r="3" spans="1:19">
      <c r="A3" t="s">
        <v>7</v>
      </c>
      <c r="B3" s="7" t="s">
        <v>8</v>
      </c>
      <c r="C3" t="s">
        <v>215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173</v>
      </c>
      <c r="S3" t="s">
        <v>181</v>
      </c>
    </row>
    <row r="4" spans="1:19">
      <c r="A4" t="s">
        <v>6</v>
      </c>
      <c r="B4" s="8" t="s">
        <v>9</v>
      </c>
      <c r="C4" t="s">
        <v>217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172</v>
      </c>
      <c r="S4" t="s">
        <v>159</v>
      </c>
    </row>
    <row r="5" spans="1:19">
      <c r="B5" s="8" t="s">
        <v>62</v>
      </c>
      <c r="C5" t="s">
        <v>219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185</v>
      </c>
      <c r="S5" t="s">
        <v>79</v>
      </c>
    </row>
    <row r="6" spans="1:19">
      <c r="B6" s="9" t="s">
        <v>10</v>
      </c>
      <c r="C6" t="s">
        <v>218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207</v>
      </c>
    </row>
    <row r="7" spans="1:19">
      <c r="C7" t="s">
        <v>72</v>
      </c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C8" t="s">
        <v>216</v>
      </c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4.5"/>
  <cols>
    <col min="1" max="1" width="20.54296875" bestFit="1" customWidth="1"/>
    <col min="2" max="2" width="20.81640625" bestFit="1" customWidth="1"/>
    <col min="3" max="3" width="25.7265625" bestFit="1" customWidth="1"/>
    <col min="4" max="4" width="13.26953125" bestFit="1" customWidth="1"/>
    <col min="5" max="5" width="7.26953125" bestFit="1" customWidth="1"/>
  </cols>
  <sheetData>
    <row r="1" spans="1:5">
      <c r="A1" s="12" t="s">
        <v>169</v>
      </c>
      <c r="B1" s="12" t="s">
        <v>143</v>
      </c>
      <c r="C1" s="12" t="s">
        <v>182</v>
      </c>
      <c r="D1" s="12" t="s">
        <v>167</v>
      </c>
      <c r="E1" s="12" t="s">
        <v>178</v>
      </c>
    </row>
    <row r="2" spans="1:5">
      <c r="A2" t="s">
        <v>170</v>
      </c>
      <c r="B2" t="s">
        <v>211</v>
      </c>
      <c r="C2" t="s">
        <v>79</v>
      </c>
      <c r="D2" t="s">
        <v>168</v>
      </c>
      <c r="E2" t="s">
        <v>79</v>
      </c>
    </row>
    <row r="3" spans="1:5">
      <c r="A3" t="s">
        <v>170</v>
      </c>
      <c r="B3" t="s">
        <v>212</v>
      </c>
      <c r="C3" t="s">
        <v>213</v>
      </c>
      <c r="D3" t="s">
        <v>168</v>
      </c>
      <c r="E3" t="s">
        <v>181</v>
      </c>
    </row>
    <row r="4" spans="1:5">
      <c r="A4" t="s">
        <v>170</v>
      </c>
      <c r="B4" t="s">
        <v>158</v>
      </c>
      <c r="C4" t="s">
        <v>159</v>
      </c>
      <c r="D4" t="s">
        <v>168</v>
      </c>
      <c r="E4" t="s">
        <v>159</v>
      </c>
    </row>
    <row r="5" spans="1:5">
      <c r="A5" t="s">
        <v>170</v>
      </c>
      <c r="B5" t="s">
        <v>27</v>
      </c>
      <c r="C5" t="s">
        <v>44</v>
      </c>
      <c r="D5" t="s">
        <v>168</v>
      </c>
      <c r="E5" t="s">
        <v>181</v>
      </c>
    </row>
    <row r="6" spans="1:5">
      <c r="A6" t="s">
        <v>170</v>
      </c>
      <c r="B6" t="s">
        <v>28</v>
      </c>
      <c r="C6" t="s">
        <v>45</v>
      </c>
      <c r="D6" t="s">
        <v>168</v>
      </c>
      <c r="E6" t="s">
        <v>181</v>
      </c>
    </row>
    <row r="7" spans="1:5">
      <c r="A7" t="s">
        <v>170</v>
      </c>
      <c r="B7" t="s">
        <v>93</v>
      </c>
      <c r="C7" t="s">
        <v>46</v>
      </c>
      <c r="D7" t="s">
        <v>168</v>
      </c>
      <c r="E7" t="s">
        <v>181</v>
      </c>
    </row>
    <row r="8" spans="1:5">
      <c r="A8" t="s">
        <v>170</v>
      </c>
      <c r="B8" t="s">
        <v>92</v>
      </c>
      <c r="C8" t="s">
        <v>91</v>
      </c>
      <c r="D8" t="s">
        <v>168</v>
      </c>
      <c r="E8" t="s">
        <v>181</v>
      </c>
    </row>
    <row r="9" spans="1:5">
      <c r="A9" t="s">
        <v>170</v>
      </c>
      <c r="B9" t="s">
        <v>42</v>
      </c>
      <c r="C9" t="s">
        <v>53</v>
      </c>
      <c r="D9" t="s">
        <v>168</v>
      </c>
      <c r="E9" t="s">
        <v>181</v>
      </c>
    </row>
    <row r="10" spans="1:5">
      <c r="A10" t="s">
        <v>170</v>
      </c>
      <c r="B10" t="s">
        <v>94</v>
      </c>
      <c r="C10" t="s">
        <v>95</v>
      </c>
      <c r="D10" t="s">
        <v>168</v>
      </c>
      <c r="E10" t="s">
        <v>181</v>
      </c>
    </row>
    <row r="11" spans="1:5">
      <c r="A11" t="s">
        <v>170</v>
      </c>
      <c r="B11" t="s">
        <v>67</v>
      </c>
      <c r="C11" t="s">
        <v>68</v>
      </c>
      <c r="D11" t="s">
        <v>168</v>
      </c>
      <c r="E11" t="s">
        <v>181</v>
      </c>
    </row>
    <row r="12" spans="1:5">
      <c r="A12" t="s">
        <v>170</v>
      </c>
      <c r="B12" t="s">
        <v>70</v>
      </c>
      <c r="C12" t="s">
        <v>69</v>
      </c>
      <c r="D12" t="s">
        <v>168</v>
      </c>
      <c r="E12" t="s">
        <v>181</v>
      </c>
    </row>
    <row r="13" spans="1:5">
      <c r="A13" t="s">
        <v>170</v>
      </c>
      <c r="B13" t="s">
        <v>89</v>
      </c>
      <c r="C13" t="s">
        <v>90</v>
      </c>
      <c r="D13" t="s">
        <v>168</v>
      </c>
      <c r="E13" t="s">
        <v>181</v>
      </c>
    </row>
    <row r="14" spans="1:5">
      <c r="A14" t="s">
        <v>170</v>
      </c>
      <c r="B14" t="s">
        <v>87</v>
      </c>
      <c r="C14" t="s">
        <v>88</v>
      </c>
      <c r="D14" t="s">
        <v>168</v>
      </c>
      <c r="E14" t="s">
        <v>181</v>
      </c>
    </row>
    <row r="15" spans="1:5">
      <c r="A15" t="s">
        <v>170</v>
      </c>
      <c r="B15" t="s">
        <v>96</v>
      </c>
      <c r="C15" t="s">
        <v>97</v>
      </c>
      <c r="D15" t="s">
        <v>168</v>
      </c>
      <c r="E15" t="s">
        <v>181</v>
      </c>
    </row>
    <row r="16" spans="1:5">
      <c r="A16" t="s">
        <v>170</v>
      </c>
      <c r="B16" t="s">
        <v>197</v>
      </c>
      <c r="C16" t="s">
        <v>210</v>
      </c>
      <c r="D16" t="s">
        <v>168</v>
      </c>
      <c r="E16" t="s">
        <v>181</v>
      </c>
    </row>
    <row r="17" spans="1:5">
      <c r="A17" t="s">
        <v>170</v>
      </c>
      <c r="B17" t="s">
        <v>100</v>
      </c>
      <c r="C17" t="s">
        <v>101</v>
      </c>
      <c r="D17" t="s">
        <v>168</v>
      </c>
      <c r="E17" t="s">
        <v>181</v>
      </c>
    </row>
    <row r="18" spans="1:5">
      <c r="A18" t="s">
        <v>170</v>
      </c>
      <c r="B18" t="s">
        <v>76</v>
      </c>
      <c r="C18" t="s">
        <v>77</v>
      </c>
      <c r="D18" t="s">
        <v>168</v>
      </c>
      <c r="E18" t="s">
        <v>181</v>
      </c>
    </row>
    <row r="19" spans="1:5">
      <c r="A19" t="s">
        <v>170</v>
      </c>
      <c r="B19" t="s">
        <v>102</v>
      </c>
      <c r="C19" t="s">
        <v>103</v>
      </c>
      <c r="D19" t="s">
        <v>168</v>
      </c>
      <c r="E19" t="s">
        <v>181</v>
      </c>
    </row>
    <row r="20" spans="1:5">
      <c r="A20" t="s">
        <v>172</v>
      </c>
      <c r="B20" t="s">
        <v>27</v>
      </c>
      <c r="C20" t="s">
        <v>166</v>
      </c>
      <c r="D20" t="s">
        <v>175</v>
      </c>
      <c r="E20" t="s">
        <v>181</v>
      </c>
    </row>
    <row r="21" spans="1:5">
      <c r="A21" t="s">
        <v>173</v>
      </c>
      <c r="B21" t="s">
        <v>191</v>
      </c>
      <c r="C21" t="s">
        <v>192</v>
      </c>
      <c r="D21" t="s">
        <v>175</v>
      </c>
      <c r="E21" t="s">
        <v>159</v>
      </c>
    </row>
    <row r="22" spans="1:5">
      <c r="A22" t="s">
        <v>173</v>
      </c>
      <c r="B22" t="s">
        <v>27</v>
      </c>
      <c r="C22" t="s">
        <v>174</v>
      </c>
      <c r="D22" t="s">
        <v>175</v>
      </c>
      <c r="E22" t="s">
        <v>159</v>
      </c>
    </row>
    <row r="23" spans="1:5">
      <c r="A23" t="s">
        <v>173</v>
      </c>
      <c r="B23" t="s">
        <v>183</v>
      </c>
      <c r="C23" t="s">
        <v>184</v>
      </c>
      <c r="D23" t="s">
        <v>175</v>
      </c>
      <c r="E23" t="s">
        <v>159</v>
      </c>
    </row>
    <row r="24" spans="1:5">
      <c r="A24" t="s">
        <v>173</v>
      </c>
      <c r="B24" t="s">
        <v>187</v>
      </c>
      <c r="C24" t="s">
        <v>189</v>
      </c>
      <c r="D24" t="s">
        <v>175</v>
      </c>
      <c r="E24" t="s">
        <v>159</v>
      </c>
    </row>
    <row r="25" spans="1:5">
      <c r="A25" t="s">
        <v>173</v>
      </c>
      <c r="B25" t="s">
        <v>188</v>
      </c>
      <c r="C25" t="s">
        <v>190</v>
      </c>
      <c r="D25" t="s">
        <v>175</v>
      </c>
      <c r="E25" t="s">
        <v>159</v>
      </c>
    </row>
    <row r="26" spans="1:5">
      <c r="A26" t="s">
        <v>173</v>
      </c>
      <c r="B26" t="s">
        <v>193</v>
      </c>
      <c r="C26" t="s">
        <v>194</v>
      </c>
      <c r="D26" t="s">
        <v>175</v>
      </c>
      <c r="E26" t="s">
        <v>159</v>
      </c>
    </row>
    <row r="27" spans="1:5">
      <c r="A27" t="s">
        <v>173</v>
      </c>
      <c r="B27" t="s">
        <v>195</v>
      </c>
      <c r="C27" t="s">
        <v>196</v>
      </c>
      <c r="D27" t="s">
        <v>175</v>
      </c>
      <c r="E27" t="s">
        <v>159</v>
      </c>
    </row>
    <row r="28" spans="1:5">
      <c r="A28" t="s">
        <v>173</v>
      </c>
      <c r="B28" t="s">
        <v>201</v>
      </c>
      <c r="C28" t="s">
        <v>202</v>
      </c>
      <c r="D28" t="s">
        <v>175</v>
      </c>
      <c r="E28" t="s">
        <v>159</v>
      </c>
    </row>
    <row r="29" spans="1:5">
      <c r="A29" t="s">
        <v>173</v>
      </c>
      <c r="B29" t="s">
        <v>205</v>
      </c>
      <c r="C29" t="s">
        <v>206</v>
      </c>
      <c r="D29" t="s">
        <v>175</v>
      </c>
      <c r="E29" t="s">
        <v>159</v>
      </c>
    </row>
    <row r="30" spans="1:5">
      <c r="A30" t="s">
        <v>173</v>
      </c>
      <c r="B30" t="s">
        <v>197</v>
      </c>
      <c r="C30" t="s">
        <v>198</v>
      </c>
      <c r="D30" t="s">
        <v>175</v>
      </c>
      <c r="E30" t="s">
        <v>159</v>
      </c>
    </row>
    <row r="31" spans="1:5">
      <c r="A31" t="s">
        <v>173</v>
      </c>
      <c r="B31" t="s">
        <v>199</v>
      </c>
      <c r="C31" t="s">
        <v>200</v>
      </c>
      <c r="D31" t="s">
        <v>175</v>
      </c>
      <c r="E31" t="s">
        <v>159</v>
      </c>
    </row>
    <row r="32" spans="1:5">
      <c r="A32" t="s">
        <v>173</v>
      </c>
      <c r="B32" t="s">
        <v>203</v>
      </c>
      <c r="C32" t="s">
        <v>204</v>
      </c>
      <c r="D32" t="s">
        <v>175</v>
      </c>
      <c r="E32" t="s">
        <v>159</v>
      </c>
    </row>
    <row r="33" spans="1:5">
      <c r="A33" t="s">
        <v>185</v>
      </c>
      <c r="B33" t="s">
        <v>185</v>
      </c>
      <c r="C33" t="s">
        <v>186</v>
      </c>
      <c r="D33" t="s">
        <v>175</v>
      </c>
      <c r="E33" t="s">
        <v>181</v>
      </c>
    </row>
    <row r="34" spans="1:5">
      <c r="A34" t="s">
        <v>207</v>
      </c>
      <c r="B34" t="s">
        <v>209</v>
      </c>
      <c r="C34" t="s">
        <v>208</v>
      </c>
      <c r="D34" t="s">
        <v>175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5"/>
  <cols>
    <col min="1" max="1" width="8.26953125" customWidth="1"/>
    <col min="3" max="3" width="33.453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Bilal Amjad</cp:lastModifiedBy>
  <cp:revision/>
  <dcterms:created xsi:type="dcterms:W3CDTF">2021-01-25T16:35:48Z</dcterms:created>
  <dcterms:modified xsi:type="dcterms:W3CDTF">2025-04-11T18:04:27Z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