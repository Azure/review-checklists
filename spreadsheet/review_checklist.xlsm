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jos\Repos\review-checklists\spreadsheet\"/>
    </mc:Choice>
  </mc:AlternateContent>
  <xr:revisionPtr revIDLastSave="0" documentId="13_ncr:1_{BB1C2EA5-19C4-4CD5-9A3A-8D51BE35C48A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N5" i="7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O13" i="7" s="1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<sst xmlns="http://schemas.openxmlformats.org/spreadsheetml/2006/main" count="94" uniqueCount="84">
  <si>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</si>
  <si>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</si>
  <si>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</si>
  <si>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</si>
  <si>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</si>
  <si>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</si>
  <si>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</si>
  <si>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</si>
  <si>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</si>
  <si>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</si>
  <si>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</si>
  <si>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</si>
  <si>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</si>
  <si>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</si>
  <si>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</si>
  <si>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</si>
  <si>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</si>
  <si>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</si>
  <si>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</si>
  <si>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</si>
  <si>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</si>
  <si>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</si>
  <si>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</si>
  <si>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</si>
  <si>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</si>
  <si>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</si>
  <si>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</si>
  <si>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</si>
  <si>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</si>
  <si>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</si>
  <si>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</si>
  <si>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</si>
  <si>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</si>
  <si>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</si>
  <si>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</si>
  <si>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</si>
  <si>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</si>
  <si>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</si>
  <si>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</si>
  <si>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</si>
  <si>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</si>
  <si>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</si>
  <si>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</si>
  <si>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</si>
  <si>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</si>
  <si>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</si>
  <si>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</si>
  <si>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</si>
  <si>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</si>
  <si>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</si>
  <si>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</si>
  <si>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</si>
  <si>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</si>
  <si>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</si>
  <si>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</si>
  <si>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</si>
  <si>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</si>
  <si>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</si>
  <si>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</si>
  <si>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</si>
  <si>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</si>
  <si>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</si>
  <si>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</si>
  <si>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</si>
  <si>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</si>
  <si>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</si>
  <si>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</si>
  <si>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</si>
  <si>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</si>
  <si>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</si>
  <si>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</si>
  <si>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</si>
  <si>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</si>
  <si>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</si>
  <si>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</si>
  <si>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</si>
  <si>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</si>
  <si>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</si>
  <si>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</si>
  <si>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</si>
  <si>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 Management</t>
  </si>
  <si>
    <t>apim</t>
  </si>
  <si>
    <t>sqldb_security</t>
  </si>
  <si>
    <t>Azure SQL DB Security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</si>
</sst>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secure-networking-infrastructure/" TargetMode="External"/><Relationship Id="rId21" Type="http://schemas.openxmlformats.org/officeDocument/2006/relationships/hyperlink" Target="https://docs.microsoft.com/azure/governance/management-groups/how-to/protect-resource-hierarchy" TargetMode="External"/><Relationship Id="rId63" Type="http://schemas.openxmlformats.org/officeDocument/2006/relationships/hyperlink" Target="https://docs.microsoft.com/azure/expressroute/expressroute-routing" TargetMode="External"/><Relationship Id="rId159" Type="http://schemas.openxmlformats.org/officeDocument/2006/relationships/hyperlink" Target="https://docs.microsoft.com/azure/azure-monitor/alerts/alerts-overview" TargetMode="External"/><Relationship Id="rId170" Type="http://schemas.openxmlformats.org/officeDocument/2006/relationships/hyperlink" Target="https://docs.microsoft.com/azure/key-vault/general/best-practices" TargetMode="External"/><Relationship Id="rId226" Type="http://schemas.openxmlformats.org/officeDocument/2006/relationships/hyperlink" Target="https://docs.microsoft.com/learn/modules/introduction-azure-virtual-wan/" TargetMode="External"/><Relationship Id="rId268" Type="http://schemas.openxmlformats.org/officeDocument/2006/relationships/hyperlink" Target="https://learn.microsoft.com/azure/frontdoor/best-practices" TargetMode="External"/><Relationship Id="rId32" Type="http://schemas.openxmlformats.org/officeDocument/2006/relationships/hyperlink" Target="https://docs.microsoft.com/azure/cloud-adoption-framework/ready/azure-best-practices/plan-for-ip-addressing" TargetMode="External"/><Relationship Id="rId74" Type="http://schemas.openxmlformats.org/officeDocument/2006/relationships/hyperlink" Target="https://docs.microsoft.com/azure/virtual-network/vnet-integration-for-azure-services" TargetMode="External"/><Relationship Id="rId128" Type="http://schemas.openxmlformats.org/officeDocument/2006/relationships/hyperlink" Target="https://docs.microsoft.com/azure/virtual-network/network-security-group-how-it-works" TargetMode="External"/><Relationship Id="rId5" Type="http://schemas.openxmlformats.org/officeDocument/2006/relationships/hyperlink" Target="https://docs.microsoft.com/azure/role-based-access-control/overview" TargetMode="External"/><Relationship Id="rId181" Type="http://schemas.openxmlformats.org/officeDocument/2006/relationships/hyperlink" Target="https://docs.microsoft.com/azure/governance/policy/overview" TargetMode="External"/><Relationship Id="rId237" Type="http://schemas.openxmlformats.org/officeDocument/2006/relationships/hyperlink" Target="https://docs.microsoft.com/learn/modules/design-implement-azure-expressroute/" TargetMode="External"/><Relationship Id="rId279" Type="http://schemas.openxmlformats.org/officeDocument/2006/relationships/hyperlink" Target="https://learn.microsoft.com/azure/web-application-firewall/afds/waf-front-door-best-practices" TargetMode="External"/><Relationship Id="rId43" Type="http://schemas.openxmlformats.org/officeDocument/2006/relationships/hyperlink" Target="https://docs.microsoft.com/azure/virtual-wan/virtual-wan-about" TargetMode="External"/><Relationship Id="rId139" Type="http://schemas.openxmlformats.org/officeDocument/2006/relationships/hyperlink" Target="https://docs.microsoft.com/azure/virtual-wan/virtual-wan-about" TargetMode="External"/><Relationship Id="rId290" Type="http://schemas.openxmlformats.org/officeDocument/2006/relationships/ctrlProp" Target="../ctrlProps/ctrlProp1.xml"/><Relationship Id="rId85" Type="http://schemas.openxmlformats.org/officeDocument/2006/relationships/hyperlink" Target="https://docs.microsoft.com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92" Type="http://schemas.openxmlformats.org/officeDocument/2006/relationships/hyperlink" Target="https://docs.microsoft.com/learn/modules/azure-ad-privileged-identity-management/" TargetMode="External"/><Relationship Id="rId206" Type="http://schemas.openxmlformats.org/officeDocument/2006/relationships/hyperlink" Target="https://docs.microsoft.com/learn/modules/design-identity-security-strategy/" TargetMode="External"/><Relationship Id="rId248" Type="http://schemas.openxmlformats.org/officeDocument/2006/relationships/hyperlink" Target="https://docs.microsoft.com/learn/paths/implement-network-security/?source=learn" TargetMode="External"/><Relationship Id="rId12" Type="http://schemas.openxmlformats.org/officeDocument/2006/relationships/hyperlink" Target="https://docs.microsoft.com/azure/active-directory-domain-services/overview" TargetMode="External"/><Relationship Id="rId33" Type="http://schemas.openxmlformats.org/officeDocument/2006/relationships/hyperlink" Target="https://docs.microsoft.com/azure/cloud-adoption-framework/ready/azure-best-practices/plan-for-ip-addressing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implement-network-security/" TargetMode="External"/><Relationship Id="rId280" Type="http://schemas.openxmlformats.org/officeDocument/2006/relationships/hyperlink" Target="https://learn.microsoft.com/azure/web-application-firewall/afds/waf-front-door-best-practices" TargetMode="External"/><Relationship Id="rId54" Type="http://schemas.openxmlformats.org/officeDocument/2006/relationships/hyperlink" Target="https://docs.microsoft.com/azure/architecture/reference-architectures/hybrid-networking/expressroute" TargetMode="External"/><Relationship Id="rId75" Type="http://schemas.openxmlformats.org/officeDocument/2006/relationships/hyperlink" Target="https://docs.microsoft.com/azure/virtual-network/vnet-integration-for-azure-service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cloud-adoption-framework/ready/azure-best-practices/plan-for-traffic-inspection" TargetMode="External"/><Relationship Id="rId161" Type="http://schemas.openxmlformats.org/officeDocument/2006/relationships/hyperlink" Target="https://docs.microsoft.com/azure/architecture/framework/resiliency/backup-and-recovery" TargetMode="External"/><Relationship Id="rId182" Type="http://schemas.openxmlformats.org/officeDocument/2006/relationships/hyperlink" Target="https://docs.microsoft.com/azure/governance/policy/overview" TargetMode="External"/><Relationship Id="rId217" Type="http://schemas.openxmlformats.org/officeDocument/2006/relationships/hyperlink" Target="https://docs.microsoft.com/learn/paths/implement-resource-mgmt-security/" TargetMode="External"/><Relationship Id="rId6" Type="http://schemas.openxmlformats.org/officeDocument/2006/relationships/hyperlink" Target="https://docs.microsoft.com/azure/active-directory/privileged-identity-management/pim-configure" TargetMode="External"/><Relationship Id="rId238" Type="http://schemas.openxmlformats.org/officeDocument/2006/relationships/hyperlink" Target="https://docs.microsoft.com/learn/modules/design-implement-azure-expressroute/" TargetMode="External"/><Relationship Id="rId259" Type="http://schemas.openxmlformats.org/officeDocument/2006/relationships/hyperlink" Target="https://docs.microsoft.com/learn/modules/configure-network-watcher/" TargetMode="External"/><Relationship Id="rId23" Type="http://schemas.openxmlformats.org/officeDocument/2006/relationships/hyperlink" Target="https://docs.microsoft.com/azure/governance/management-groups/overview" TargetMode="External"/><Relationship Id="rId119" Type="http://schemas.openxmlformats.org/officeDocument/2006/relationships/hyperlink" Target="https://docs.microsoft.com/learn/modules/configure-azure-ad-application-proxy/" TargetMode="External"/><Relationship Id="rId270" Type="http://schemas.openxmlformats.org/officeDocument/2006/relationships/hyperlink" Target="https://learn.microsoft.com/azure/frontdoor/best-practices" TargetMode="External"/><Relationship Id="rId291" Type="http://schemas.openxmlformats.org/officeDocument/2006/relationships/ctrlProp" Target="../ctrlProps/ctrlProp2.xml"/><Relationship Id="rId44" Type="http://schemas.openxmlformats.org/officeDocument/2006/relationships/hyperlink" Target="https://docs.microsoft.com/azure/virtual-wan/virtual-wan-about" TargetMode="External"/><Relationship Id="rId65" Type="http://schemas.openxmlformats.org/officeDocument/2006/relationships/hyperlink" Target="https://docs.microsoft.com/azure/expressroute/expressroute-about-virtual-network-gateways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azure/azure-resource-manager/management/lock-resources?tabs=json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learn/paths/implement-resource-mgmt-security/" TargetMode="External"/><Relationship Id="rId207" Type="http://schemas.openxmlformats.org/officeDocument/2006/relationships/hyperlink" Target="https://docs.microsoft.com/learn/modules/azure-architecture-fundamentals/" TargetMode="External"/><Relationship Id="rId228" Type="http://schemas.openxmlformats.org/officeDocument/2006/relationships/hyperlink" Target="https://docs.microsoft.com/learn/modules/design-implement-hybrid-networking/" TargetMode="External"/><Relationship Id="rId249" Type="http://schemas.openxmlformats.org/officeDocument/2006/relationships/hyperlink" Target="https://docs.microsoft.com/learn/paths/secure-application-delivery/" TargetMode="External"/><Relationship Id="rId13" Type="http://schemas.openxmlformats.org/officeDocument/2006/relationships/hyperlink" Target="https://docs.microsoft.com/azure/architecture/reference-architectures/identity/adds-extend-domain" TargetMode="External"/><Relationship Id="rId109" Type="http://schemas.openxmlformats.org/officeDocument/2006/relationships/hyperlink" Target="https://docs.microsoft.com/learn/paths/secure-application-delivery/" TargetMode="External"/><Relationship Id="rId260" Type="http://schemas.openxmlformats.org/officeDocument/2006/relationships/hyperlink" Target="https://docs.microsoft.com/learn/paths/implement-resource-mgmt-security/" TargetMode="External"/><Relationship Id="rId281" Type="http://schemas.openxmlformats.org/officeDocument/2006/relationships/hyperlink" Target="https://learn.microsoft.com/azure/web-application-firewall/afds/waf-front-door-best-practices" TargetMode="External"/><Relationship Id="rId34" Type="http://schemas.openxmlformats.org/officeDocument/2006/relationships/hyperlink" Target="https://docs.microsoft.com/azure/cloud-adoption-framework/ready/azure-best-practices/plan-for-ip-addressing" TargetMode="External"/><Relationship Id="rId55" Type="http://schemas.openxmlformats.org/officeDocument/2006/relationships/hyperlink" Target="https://docs.microsoft.com/azure/architecture/reference-architectures/dmz/nva-ha" TargetMode="External"/><Relationship Id="rId76" Type="http://schemas.openxmlformats.org/officeDocument/2006/relationships/hyperlink" Target="https://docs.microsoft.com/azure/app-service/networking-features" TargetMode="External"/><Relationship Id="rId97" Type="http://schemas.openxmlformats.org/officeDocument/2006/relationships/hyperlink" Target="https://docs.microsoft.com/learn/paths/secure-application-delivery/" TargetMode="External"/><Relationship Id="rId120" Type="http://schemas.openxmlformats.org/officeDocument/2006/relationships/hyperlink" Target="https://docs.microsoft.com/azure/cloud-adoption-framework/ready/azure-best-practices/plan-for-landing-zone-network-segmentation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active-directory/roles/security-planning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18" Type="http://schemas.openxmlformats.org/officeDocument/2006/relationships/hyperlink" Target="https://docs.microsoft.com/learn/paths/architect-network-infrastructure/" TargetMode="External"/><Relationship Id="rId239" Type="http://schemas.openxmlformats.org/officeDocument/2006/relationships/hyperlink" Target="https://docs.microsoft.com/learn/modules/design-implement-azure-expressroute/" TargetMode="External"/><Relationship Id="rId250" Type="http://schemas.openxmlformats.org/officeDocument/2006/relationships/hyperlink" Target="https://docs.microsoft.com/learn/modules/design-implement-azure-expressroute/" TargetMode="External"/><Relationship Id="rId271" Type="http://schemas.openxmlformats.org/officeDocument/2006/relationships/hyperlink" Target="https://learn.microsoft.com/azure/frontdoor/best-practices" TargetMode="External"/><Relationship Id="rId292" Type="http://schemas.openxmlformats.org/officeDocument/2006/relationships/ctrlProp" Target="../ctrlProps/ctrlProp3.xml"/><Relationship Id="rId24" Type="http://schemas.openxmlformats.org/officeDocument/2006/relationships/hyperlink" Target="https://docs.microsoft.com/azure/governance/management-groups/overview" TargetMode="External"/><Relationship Id="rId45" Type="http://schemas.openxmlformats.org/officeDocument/2006/relationships/hyperlink" Target="https://docs.microsoft.com/azure/virtual-wan/virtual-wan-about" TargetMode="External"/><Relationship Id="rId66" Type="http://schemas.openxmlformats.org/officeDocument/2006/relationships/hyperlink" Target="https://docs.microsoft.com/azure/networking/" TargetMode="External"/><Relationship Id="rId87" Type="http://schemas.openxmlformats.org/officeDocument/2006/relationships/hyperlink" Target="https://docs.microsoft.com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31" Type="http://schemas.openxmlformats.org/officeDocument/2006/relationships/hyperlink" Target="https://docs.microsoft.com/azure/virtual-network/network-security-group-how-it-works" TargetMode="External"/><Relationship Id="rId152" Type="http://schemas.openxmlformats.org/officeDocument/2006/relationships/hyperlink" Target="https://docs.microsoft.com/azure/governance/policy/overview" TargetMode="External"/><Relationship Id="rId173" Type="http://schemas.openxmlformats.org/officeDocument/2006/relationships/hyperlink" Target="https://docs.microsoft.com/azure/security/fundamentals/encryption-atrest" TargetMode="External"/><Relationship Id="rId194" Type="http://schemas.openxmlformats.org/officeDocument/2006/relationships/hyperlink" Target="https://docs.microsoft.com/learn/modules/plan-implement-administer-conditional-access/" TargetMode="External"/><Relationship Id="rId208" Type="http://schemas.openxmlformats.org/officeDocument/2006/relationships/hyperlink" Target="https://docs.microsoft.com/learn/paths/implement-resource-mgmt-security/" TargetMode="External"/><Relationship Id="rId229" Type="http://schemas.openxmlformats.org/officeDocument/2006/relationships/hyperlink" Target="https://docs.microsoft.com/learn/modules/design-implement-hybrid-networking/" TargetMode="External"/><Relationship Id="rId240" Type="http://schemas.openxmlformats.org/officeDocument/2006/relationships/hyperlink" Target="https://docs.microsoft.com/learn/modules/design-implement-azure-expressroute/" TargetMode="External"/><Relationship Id="rId261" Type="http://schemas.openxmlformats.org/officeDocument/2006/relationships/hyperlink" Target="https://docs.microsoft.com/security/benchmark/azure/security-control-incident-response" TargetMode="External"/><Relationship Id="rId14" Type="http://schemas.openxmlformats.org/officeDocument/2006/relationships/hyperlink" Target="https://docs.microsoft.com/azure/active-directory/app-proxy/application-proxy" TargetMode="External"/><Relationship Id="rId35" Type="http://schemas.openxmlformats.org/officeDocument/2006/relationships/hyperlink" Target="https://docs.microsoft.com/azure/cloud-adoption-framework/ready/azure-best-practices/plan-for-ip-addressing" TargetMode="External"/><Relationship Id="rId56" Type="http://schemas.openxmlformats.org/officeDocument/2006/relationships/hyperlink" Target="https://azure.microsoft.com/solutions/network-appliances/" TargetMode="External"/><Relationship Id="rId77" Type="http://schemas.openxmlformats.org/officeDocument/2006/relationships/hyperlink" Target="https://docs.microsoft.com/azure/app-service/networking-features" TargetMode="External"/><Relationship Id="rId100" Type="http://schemas.openxmlformats.org/officeDocument/2006/relationships/hyperlink" Target="https://docs.microsoft.com/azure/ddos-protection/ddos-protection-reference-architectures" TargetMode="External"/><Relationship Id="rId282" Type="http://schemas.openxmlformats.org/officeDocument/2006/relationships/hyperlink" Target="https://learn.microsoft.com/azure/web-application-firewall/afds/waf-front-door-best-practices" TargetMode="External"/><Relationship Id="rId8" Type="http://schemas.openxmlformats.org/officeDocument/2006/relationships/hyperlink" Target="https://docs.microsoft.com/azure/active-directory/fundamentals/active-directory-groups-create-azure-portal" TargetMode="External"/><Relationship Id="rId98" Type="http://schemas.openxmlformats.org/officeDocument/2006/relationships/hyperlink" Target="https://docs.microsoft.com/azure/web-application-firewall/ag/ag-overview" TargetMode="External"/><Relationship Id="rId121" Type="http://schemas.openxmlformats.org/officeDocument/2006/relationships/hyperlink" Target="https://docs.microsoft.com/learn/paths/implement-resource-mgmt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best-practices/monitoring" TargetMode="External"/><Relationship Id="rId184" Type="http://schemas.openxmlformats.org/officeDocument/2006/relationships/hyperlink" Target="https://docs.microsoft.com/azure/governance/policy/overview" TargetMode="External"/><Relationship Id="rId219" Type="http://schemas.openxmlformats.org/officeDocument/2006/relationships/hyperlink" Target="https://docs.microsoft.com/learn/paths/architect-network-infrastructure/" TargetMode="External"/><Relationship Id="rId230" Type="http://schemas.openxmlformats.org/officeDocument/2006/relationships/hyperlink" Target="https://docs.microsoft.com/learn/paths/secure-networking-infrastructure/" TargetMode="External"/><Relationship Id="rId251" Type="http://schemas.openxmlformats.org/officeDocument/2006/relationships/hyperlink" Target="https://docs.microsoft.com/learn/paths/implement-network-security/?source=learn" TargetMode="External"/><Relationship Id="rId25" Type="http://schemas.openxmlformats.org/officeDocument/2006/relationships/hyperlink" Target="https://docs.microsoft.com/azure/azure-resource-manager/management/azure-subscription-service-limits" TargetMode="External"/><Relationship Id="rId46" Type="http://schemas.openxmlformats.org/officeDocument/2006/relationships/hyperlink" Target="https://docs.microsoft.com/azure/virtual-wan/virtual-wan-about" TargetMode="External"/><Relationship Id="rId67" Type="http://schemas.openxmlformats.org/officeDocument/2006/relationships/hyperlink" Target="https://learn.microsoft.com/azure/expressroute/about-fastpath" TargetMode="External"/><Relationship Id="rId272" Type="http://schemas.openxmlformats.org/officeDocument/2006/relationships/hyperlink" Target="https://learn.microsoft.com/azure/frontdoor/best-practices" TargetMode="External"/><Relationship Id="rId293" Type="http://schemas.openxmlformats.org/officeDocument/2006/relationships/ctrlProp" Target="../ctrlProps/ctrlProp4.xm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azure/service-health/alerts-activity-log-service-notifications-portal" TargetMode="External"/><Relationship Id="rId174" Type="http://schemas.openxmlformats.org/officeDocument/2006/relationships/hyperlink" Target="https://docs.microsoft.com/azure/key-vault/general/best-practices" TargetMode="External"/><Relationship Id="rId195" Type="http://schemas.openxmlformats.org/officeDocument/2006/relationships/hyperlink" Target="https://docs.microsoft.com/learn/modules/secure-aad-users-with-mfa/" TargetMode="External"/><Relationship Id="rId209" Type="http://schemas.openxmlformats.org/officeDocument/2006/relationships/hyperlink" Target="https://docs.microsoft.com/learn/paths/enterprise-scale-architecture/" TargetMode="External"/><Relationship Id="rId220" Type="http://schemas.openxmlformats.org/officeDocument/2006/relationships/hyperlink" Target="https://docs.microsoft.com/learn/paths/architect-network-infrastructure/" TargetMode="External"/><Relationship Id="rId241" Type="http://schemas.openxmlformats.org/officeDocument/2006/relationships/hyperlink" Target="https://docs.microsoft.com/learn/modules/design-implement-azure-expressroute/" TargetMode="External"/><Relationship Id="rId15" Type="http://schemas.openxmlformats.org/officeDocument/2006/relationships/hyperlink" Target="https://docs.microsoft.com/azure/active-directory/roles/best-practices" TargetMode="External"/><Relationship Id="rId36" Type="http://schemas.openxmlformats.org/officeDocument/2006/relationships/hyperlink" Target="https://docs.microsoft.com/azure/site-recovery/concepts-on-premises-to-azure-networking" TargetMode="External"/><Relationship Id="rId57" Type="http://schemas.openxmlformats.org/officeDocument/2006/relationships/hyperlink" Target="https://docs.microsoft.com/azure/expressroute/expressroute-howto-coexist-resource-manager" TargetMode="External"/><Relationship Id="rId262" Type="http://schemas.openxmlformats.org/officeDocument/2006/relationships/hyperlink" Target="https://www.microsoft.com/security/business/zero-trust" TargetMode="External"/><Relationship Id="rId283" Type="http://schemas.openxmlformats.org/officeDocument/2006/relationships/hyperlink" Target="https://learn.microsoft.com/azure/web-application-firewall/afds/waf-front-door-best-practices" TargetMode="External"/><Relationship Id="rId78" Type="http://schemas.openxmlformats.org/officeDocument/2006/relationships/hyperlink" Target="https://docs.microsoft.com/azure/app-service/networking-features" TargetMode="External"/><Relationship Id="rId99" Type="http://schemas.openxmlformats.org/officeDocument/2006/relationships/hyperlink" Target="https://docs.microsoft.com/learn/paths/architect-network-infrastructure/" TargetMode="External"/><Relationship Id="rId101" Type="http://schemas.openxmlformats.org/officeDocument/2006/relationships/hyperlink" Target="https://docs.microsoft.com/learn/paths/secure-networking-infrastructure/" TargetMode="External"/><Relationship Id="rId122" Type="http://schemas.openxmlformats.org/officeDocument/2006/relationships/hyperlink" Target="https://docs.microsoft.com/azure/active-directory/app-proxy/application-proxy" TargetMode="External"/><Relationship Id="rId143" Type="http://schemas.openxmlformats.org/officeDocument/2006/relationships/hyperlink" Target="https://docs.microsoft.com/azure/azure-monitor/logs/design-logs-deployment" TargetMode="External"/><Relationship Id="rId164" Type="http://schemas.openxmlformats.org/officeDocument/2006/relationships/hyperlink" Target="https://docs.microsoft.com/azure/key-vault/general/overview" TargetMode="External"/><Relationship Id="rId185" Type="http://schemas.openxmlformats.org/officeDocument/2006/relationships/hyperlink" Target="https://docs.microsoft.com/azure/governance/policy/concepts/guest-configuration" TargetMode="External"/><Relationship Id="rId9" Type="http://schemas.openxmlformats.org/officeDocument/2006/relationships/hyperlink" Target="https://docs.microsoft.com/azure/cloud-adoption-framework/ready/landing-zone/design-area/identity-access" TargetMode="External"/><Relationship Id="rId210" Type="http://schemas.openxmlformats.org/officeDocument/2006/relationships/hyperlink" Target="https://docs.microsoft.com/learn/paths/enterprise-scale-architecture/" TargetMode="External"/><Relationship Id="rId26" Type="http://schemas.openxmlformats.org/officeDocument/2006/relationships/hyperlink" Target="https://docs.microsoft.com/azure/cost-management-billing/reservations/save-compute-costs-reservations" TargetMode="External"/><Relationship Id="rId231" Type="http://schemas.openxmlformats.org/officeDocument/2006/relationships/hyperlink" Target="https://docs.microsoft.com/learn/paths/architect-network-infrastructure/" TargetMode="External"/><Relationship Id="rId252" Type="http://schemas.openxmlformats.org/officeDocument/2006/relationships/hyperlink" Target="https://docs.microsoft.com/learn/paths/implement-network-security/?source=learn" TargetMode="External"/><Relationship Id="rId273" Type="http://schemas.openxmlformats.org/officeDocument/2006/relationships/hyperlink" Target="https://learn.microsoft.com/azure/frontdoor/best-practices" TargetMode="External"/><Relationship Id="rId294" Type="http://schemas.openxmlformats.org/officeDocument/2006/relationships/ctrlProp" Target="../ctrlProps/ctrlProp5.xml"/><Relationship Id="rId47" Type="http://schemas.openxmlformats.org/officeDocument/2006/relationships/hyperlink" Target="https://docs.microsoft.com/azure/virtual-wan/virtual-wan-about" TargetMode="External"/><Relationship Id="rId68" Type="http://schemas.openxmlformats.org/officeDocument/2006/relationships/hyperlink" Target="https://docs.microsoft.com/azure/expressroute/expressroute-routing" TargetMode="External"/><Relationship Id="rId89" Type="http://schemas.openxmlformats.org/officeDocument/2006/relationships/hyperlink" Target="https://docs.microsoft.com/learn/paths/secure-networking-infrastructure/" TargetMode="External"/><Relationship Id="rId112" Type="http://schemas.openxmlformats.org/officeDocument/2006/relationships/hyperlink" Target="https://docs.microsoft.com/azure/web-application-firewall/ag/ag-overview" TargetMode="External"/><Relationship Id="rId133" Type="http://schemas.openxmlformats.org/officeDocument/2006/relationships/hyperlink" Target="https://docs.microsoft.com/azure/virtual-network/network-security-group-how-it-works" TargetMode="External"/><Relationship Id="rId154" Type="http://schemas.openxmlformats.org/officeDocument/2006/relationships/hyperlink" Target="https://docs.microsoft.com/azure/azure-monitor/alerts/action-groups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learn/paths/azure-administrator-manage-identities-governance/" TargetMode="External"/><Relationship Id="rId200" Type="http://schemas.openxmlformats.org/officeDocument/2006/relationships/hyperlink" Target="https://docs.microsoft.com/learn/modules/create-custom-azure-roles-with-rbac/" TargetMode="External"/><Relationship Id="rId16" Type="http://schemas.openxmlformats.org/officeDocument/2006/relationships/hyperlink" Target="https://docs.microsoft.com/azure/cloud-adoption-framework/ready/landing-zone/design-area/resource-org-management-groups" TargetMode="External"/><Relationship Id="rId221" Type="http://schemas.openxmlformats.org/officeDocument/2006/relationships/hyperlink" Target="https://docs.microsoft.com/learn/paths/architect-network-infrastructure/" TargetMode="External"/><Relationship Id="rId242" Type="http://schemas.openxmlformats.org/officeDocument/2006/relationships/hyperlink" Target="https://docs.microsoft.com/learn/modules/design-implement-azure-expressroute/" TargetMode="External"/><Relationship Id="rId263" Type="http://schemas.openxmlformats.org/officeDocument/2006/relationships/hyperlink" Target="https://docs.microsoft.com/security/benchmark/azure/security-control-incident-response" TargetMode="External"/><Relationship Id="rId284" Type="http://schemas.openxmlformats.org/officeDocument/2006/relationships/hyperlink" Target="https://learn.microsoft.com/azure/web-application-firewall/afds/waf-front-door-best-practices" TargetMode="External"/><Relationship Id="rId37" Type="http://schemas.openxmlformats.org/officeDocument/2006/relationships/hyperlink" Target="https://docs.microsoft.com/azure/virtual-network/virtual-networks-name-resolution-for-vms-and-role-instances" TargetMode="External"/><Relationship Id="rId58" Type="http://schemas.openxmlformats.org/officeDocument/2006/relationships/hyperlink" Target="https://docs.microsoft.com/azure/virtual-network/virtual-networks-faq" TargetMode="External"/><Relationship Id="rId79" Type="http://schemas.openxmlformats.org/officeDocument/2006/relationships/hyperlink" Target="https://docs.microsoft.com/azure/app-service/networking-features" TargetMode="External"/><Relationship Id="rId102" Type="http://schemas.openxmlformats.org/officeDocument/2006/relationships/hyperlink" Target="https://docs.microsoft.com/azure/cloud-adoption-framework/ready/landing-zone/design-area/resource-org-management-groups" TargetMode="External"/><Relationship Id="rId123" Type="http://schemas.openxmlformats.org/officeDocument/2006/relationships/hyperlink" Target="https://docs.microsoft.com/learn/paths/implement-applications-external-access-azure-ad/" TargetMode="External"/><Relationship Id="rId144" Type="http://schemas.openxmlformats.org/officeDocument/2006/relationships/hyperlink" Target="https://docs.microsoft.com/learn/paths/architect-infrastructure-operations/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-throttling" TargetMode="External"/><Relationship Id="rId186" Type="http://schemas.openxmlformats.org/officeDocument/2006/relationships/hyperlink" Target="https://docs.microsoft.com/azure/cloud-adoption-framework/ready/landing-zone/design-area/management-operational-compliance" TargetMode="External"/><Relationship Id="rId211" Type="http://schemas.openxmlformats.org/officeDocument/2006/relationships/hyperlink" Target="https://docs.microsoft.com/learn/paths/enterprise-scale-architecture/" TargetMode="External"/><Relationship Id="rId232" Type="http://schemas.openxmlformats.org/officeDocument/2006/relationships/hyperlink" Target="https://docs.microsoft.com/learn/paths/azure-administrator-manage-virtual-networks/" TargetMode="External"/><Relationship Id="rId253" Type="http://schemas.openxmlformats.org/officeDocument/2006/relationships/hyperlink" Target="https://docs.microsoft.com/learn/modules/design-implement-network-monitoring/" TargetMode="External"/><Relationship Id="rId274" Type="http://schemas.openxmlformats.org/officeDocument/2006/relationships/hyperlink" Target="https://learn.microsoft.com/azure/frontdoor/best-practices" TargetMode="External"/><Relationship Id="rId27" Type="http://schemas.openxmlformats.org/officeDocument/2006/relationships/hyperlink" Target="https://docs.microsoft.com/azure/architecture/framework/scalability/design-capacity" TargetMode="External"/><Relationship Id="rId48" Type="http://schemas.openxmlformats.org/officeDocument/2006/relationships/hyperlink" Target="https://docs.microsoft.com/azure/virtual-wan/virtual-wan-about" TargetMode="External"/><Relationship Id="rId69" Type="http://schemas.openxmlformats.org/officeDocument/2006/relationships/hyperlink" Target="https://docs.microsoft.com/azure/networking/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secure-networking-infrastructure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sentinel/quickstart-onboard" TargetMode="External"/><Relationship Id="rId176" Type="http://schemas.openxmlformats.org/officeDocument/2006/relationships/hyperlink" Target="https://docs.microsoft.com/azure/governance/policy/overview" TargetMode="External"/><Relationship Id="rId197" Type="http://schemas.openxmlformats.org/officeDocument/2006/relationships/hyperlink" Target="https://docs.microsoft.com/learn/modules/azure-ad-privileged-identity-management/" TargetMode="External"/><Relationship Id="rId201" Type="http://schemas.openxmlformats.org/officeDocument/2006/relationships/hyperlink" Target="https://docs.microsoft.com/learn/paths/secure-your-cloud-data/" TargetMode="External"/><Relationship Id="rId222" Type="http://schemas.openxmlformats.org/officeDocument/2006/relationships/hyperlink" Target="https://docs.microsoft.com/learn/paths/az-104-manage-virtual-networks/" TargetMode="External"/><Relationship Id="rId243" Type="http://schemas.openxmlformats.org/officeDocument/2006/relationships/hyperlink" Target="https://docs.microsoft.com/learn/modules/design-implement-azure-expressroute/" TargetMode="External"/><Relationship Id="rId264" Type="http://schemas.openxmlformats.org/officeDocument/2006/relationships/hyperlink" Target="https://docs.microsoft.com/security/benchmark/azure/security-control-incident-response" TargetMode="External"/><Relationship Id="rId285" Type="http://schemas.openxmlformats.org/officeDocument/2006/relationships/hyperlink" Target="https://learn.microsoft.com/azure/web-application-firewall/afds/waf-front-door-best-practices" TargetMode="External"/><Relationship Id="rId17" Type="http://schemas.openxmlformats.org/officeDocument/2006/relationships/hyperlink" Target="https://docs.microsoft.com/azure/cloud-adoption-framework/decision-guides/resource-tagging/?toc=/azure/azure-resource-manager/management/toc.json" TargetMode="External"/><Relationship Id="rId38" Type="http://schemas.openxmlformats.org/officeDocument/2006/relationships/hyperlink" Target="https://docs.microsoft.com/azure/virtual-network/virtual-networks-name-resolution-for-vms-and-role-instances" TargetMode="External"/><Relationship Id="rId59" Type="http://schemas.openxmlformats.org/officeDocument/2006/relationships/hyperlink" Target="https://docs.microsoft.com/azure/expressroute/expressroute-faqs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web-application-firewall/ag/ag-overview" TargetMode="External"/><Relationship Id="rId70" Type="http://schemas.openxmlformats.org/officeDocument/2006/relationships/hyperlink" Target="https://docs.microsoft.com/azure/architecture/framework/services/networking/expressroute/reliability" TargetMode="External"/><Relationship Id="rId91" Type="http://schemas.openxmlformats.org/officeDocument/2006/relationships/hyperlink" Target="https://docs.microsoft.com/learn/paths/secure-networking-infrastructure/" TargetMode="External"/><Relationship Id="rId145" Type="http://schemas.openxmlformats.org/officeDocument/2006/relationships/hyperlink" Target="https://docs.microsoft.com/azure/azure-monitor/logs/design-logs-deployment" TargetMode="External"/><Relationship Id="rId166" Type="http://schemas.openxmlformats.org/officeDocument/2006/relationships/hyperlink" Target="https://docs.microsoft.com/azure/key-vault/general/best-practices" TargetMode="External"/><Relationship Id="rId187" Type="http://schemas.openxmlformats.org/officeDocument/2006/relationships/hyperlink" Target="https://docs.microsoft.com/azure/active-directory/reports-monitoring/overview-reports" TargetMode="External"/><Relationship Id="rId1" Type="http://schemas.openxmlformats.org/officeDocument/2006/relationships/hyperlink" Target="https://docs.microsoft.com/azure/active-directory/roles/security-emergency-access" TargetMode="External"/><Relationship Id="rId212" Type="http://schemas.openxmlformats.org/officeDocument/2006/relationships/hyperlink" Target="https://docs.microsoft.com/learn/paths/improve-reliability-modern-operations/" TargetMode="External"/><Relationship Id="rId233" Type="http://schemas.openxmlformats.org/officeDocument/2006/relationships/hyperlink" Target="https://docs.microsoft.com/learn/modules/design-implement-azure-expressroute/" TargetMode="External"/><Relationship Id="rId254" Type="http://schemas.openxmlformats.org/officeDocument/2006/relationships/hyperlink" Target="https://docs.microsoft.com/learn/paths/implement-network-security/" TargetMode="External"/><Relationship Id="rId28" Type="http://schemas.openxmlformats.org/officeDocument/2006/relationships/hyperlink" Target="https://azure.microsoft.com/global-infrastructure/services/" TargetMode="External"/><Relationship Id="rId49" Type="http://schemas.openxmlformats.org/officeDocument/2006/relationships/hyperlink" Target="https://docs.microsoft.com/azure/virtual-wan/virtual-wan-about" TargetMode="External"/><Relationship Id="rId114" Type="http://schemas.openxmlformats.org/officeDocument/2006/relationships/hyperlink" Target="https://docs.microsoft.com/azure/ddos-protection/ddos-protection-overview" TargetMode="External"/><Relationship Id="rId275" Type="http://schemas.openxmlformats.org/officeDocument/2006/relationships/hyperlink" Target="https://learn.microsoft.com/azure/web-application-firewall/afds/waf-front-door-best-practices" TargetMode="External"/><Relationship Id="rId60" Type="http://schemas.openxmlformats.org/officeDocument/2006/relationships/hyperlink" Target="https://docs.microsoft.com/azure/azure-monitor/insights/network-insights-overview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network-security-group-how-it-works" TargetMode="External"/><Relationship Id="rId156" Type="http://schemas.openxmlformats.org/officeDocument/2006/relationships/hyperlink" Target="https://docs.microsoft.com/azure/azure-monitor/logs/design-logs-deployment" TargetMode="External"/><Relationship Id="rId177" Type="http://schemas.openxmlformats.org/officeDocument/2006/relationships/hyperlink" Target="https://docs.microsoft.com/azure/cloud-adoption-framework/ready/azure-best-practices/naming-and-tagging" TargetMode="External"/><Relationship Id="rId198" Type="http://schemas.openxmlformats.org/officeDocument/2006/relationships/hyperlink" Target="https://docs.microsoft.com/learn/modules/explore-basic-services-identity-types/" TargetMode="External"/><Relationship Id="rId202" Type="http://schemas.openxmlformats.org/officeDocument/2006/relationships/hyperlink" Target="https://docs.microsoft.com/learn/modules/azure-active-directory/" TargetMode="External"/><Relationship Id="rId223" Type="http://schemas.openxmlformats.org/officeDocument/2006/relationships/hyperlink" Target="https://docs.microsoft.com/learn/paths/az-104-manage-virtual-networks/" TargetMode="External"/><Relationship Id="rId244" Type="http://schemas.openxmlformats.org/officeDocument/2006/relationships/hyperlink" Target="https://docs.microsoft.com/learn/modules/design-implement-azure-expressroute/" TargetMode="External"/><Relationship Id="rId18" Type="http://schemas.openxmlformats.org/officeDocument/2006/relationships/hyperlink" Target="https://docs.microsoft.com/azure/cloud-adoption-framework/ready/landing-zone/design-area/resource-org-management-groups" TargetMode="External"/><Relationship Id="rId39" Type="http://schemas.openxmlformats.org/officeDocument/2006/relationships/hyperlink" Target="https://docs.microsoft.com/azure/virtual-network/virtual-networks-name-resolution-for-vms-and-role-instances" TargetMode="External"/><Relationship Id="rId265" Type="http://schemas.openxmlformats.org/officeDocument/2006/relationships/hyperlink" Target="https://learn.microsoft.com/azure/frontdoor/best-practices" TargetMode="External"/><Relationship Id="rId286" Type="http://schemas.openxmlformats.org/officeDocument/2006/relationships/hyperlink" Target="https://learn.microsoft.com/azure/web-application-firewall/afds/waf-front-door-best-practices" TargetMode="External"/><Relationship Id="rId50" Type="http://schemas.openxmlformats.org/officeDocument/2006/relationships/hyperlink" Target="https://docs.microsoft.com/azure/virtual-wan/virtual-wan-about" TargetMode="External"/><Relationship Id="rId104" Type="http://schemas.openxmlformats.org/officeDocument/2006/relationships/hyperlink" Target="https://docs.microsoft.com/azure/ddos-protection/ddos-protection-overview" TargetMode="External"/><Relationship Id="rId125" Type="http://schemas.openxmlformats.org/officeDocument/2006/relationships/hyperlink" Target="https://docs.microsoft.com/learn/paths/implement-network-security/" TargetMode="External"/><Relationship Id="rId146" Type="http://schemas.openxmlformats.org/officeDocument/2006/relationships/hyperlink" Target="https://docs.microsoft.com/learn/paths/architect-infrastructure-operations/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zure-monitor/logs/logs-data-export?tabs=portal" TargetMode="External"/><Relationship Id="rId71" Type="http://schemas.openxmlformats.org/officeDocument/2006/relationships/hyperlink" Target="https://docs.microsoft.com/azure/expressroute/expressroute-monitoring-metrics-alerts" TargetMode="External"/><Relationship Id="rId92" Type="http://schemas.openxmlformats.org/officeDocument/2006/relationships/hyperlink" Target="https://docs.microsoft.com/azure/firewall/" TargetMode="External"/><Relationship Id="rId213" Type="http://schemas.openxmlformats.org/officeDocument/2006/relationships/hyperlink" Target="https://docs.microsoft.com/learn/paths/monitor-usage-performance-availability-resources-azure-monitor/" TargetMode="External"/><Relationship Id="rId234" Type="http://schemas.openxmlformats.org/officeDocument/2006/relationships/hyperlink" Target="https://docs.microsoft.com/learn/modules/design-implement-network-monitoring/" TargetMode="External"/><Relationship Id="rId2" Type="http://schemas.openxmlformats.org/officeDocument/2006/relationships/hyperlink" Target="https://docs.microsoft.com/azure/role-based-access-control/overview" TargetMode="External"/><Relationship Id="rId29" Type="http://schemas.openxmlformats.org/officeDocument/2006/relationships/hyperlink" Target="https://docs.microsoft.com/azure/cost-management-billing/cost-management-billing-overview" TargetMode="External"/><Relationship Id="rId255" Type="http://schemas.openxmlformats.org/officeDocument/2006/relationships/hyperlink" Target="https://docs.microsoft.com/learn/paths/implement-network-security/" TargetMode="External"/><Relationship Id="rId276" Type="http://schemas.openxmlformats.org/officeDocument/2006/relationships/hyperlink" Target="https://learn.microsoft.com/azure/web-application-firewall/afds/waf-front-door-best-practices" TargetMode="External"/><Relationship Id="rId40" Type="http://schemas.openxmlformats.org/officeDocument/2006/relationships/hyperlink" Target="https://docs.microsoft.com/azure/dns/private-dns-autoregistration" TargetMode="External"/><Relationship Id="rId115" Type="http://schemas.openxmlformats.org/officeDocument/2006/relationships/hyperlink" Target="https://docs.microsoft.com/learn/paths/secure-networking-infrastructure/" TargetMode="External"/><Relationship Id="rId136" Type="http://schemas.openxmlformats.org/officeDocument/2006/relationships/hyperlink" Target="https://docs.microsoft.com/azure/firewall/" TargetMode="External"/><Relationship Id="rId157" Type="http://schemas.openxmlformats.org/officeDocument/2006/relationships/hyperlink" Target="https://docs.microsoft.com/azure/cloud-adoption-framework/ready/azure-setup-guide/monitoring-reporting?tabs=AzureMonitor" TargetMode="External"/><Relationship Id="rId178" Type="http://schemas.openxmlformats.org/officeDocument/2006/relationships/hyperlink" Target="https://docs.microsoft.com/azure/governance/policy/overview" TargetMode="External"/><Relationship Id="rId61" Type="http://schemas.openxmlformats.org/officeDocument/2006/relationships/hyperlink" Target="https://docs.microsoft.com/azure/azure-resource-manager/management/azure-subscription-service-limits?toc=/azure/virtual-network/toc.json" TargetMode="External"/><Relationship Id="rId82" Type="http://schemas.openxmlformats.org/officeDocument/2006/relationships/hyperlink" Target="https://docs.microsoft.com/azure/app-service/networking-features" TargetMode="External"/><Relationship Id="rId199" Type="http://schemas.openxmlformats.org/officeDocument/2006/relationships/hyperlink" Target="https://docs.microsoft.com/learn/paths/manage-identity-and-access/" TargetMode="External"/><Relationship Id="rId203" Type="http://schemas.openxmlformats.org/officeDocument/2006/relationships/hyperlink" Target="https://docs.microsoft.com/learn/modules/implement-hybrid-identity-windows-server/" TargetMode="External"/><Relationship Id="rId19" Type="http://schemas.openxmlformats.org/officeDocument/2006/relationships/hyperlink" Target="https://docs.microsoft.com/azure/cloud-adoption-framework/ready/landing-zone/design-area/resource-org-management-groups" TargetMode="External"/><Relationship Id="rId224" Type="http://schemas.openxmlformats.org/officeDocument/2006/relationships/hyperlink" Target="https://docs.microsoft.com/learn/paths/az-104-manage-virtual-networks/" TargetMode="External"/><Relationship Id="rId245" Type="http://schemas.openxmlformats.org/officeDocument/2006/relationships/hyperlink" Target="https://docs.microsoft.com/learn/modules/design-implement-azure-expressroute/" TargetMode="External"/><Relationship Id="rId266" Type="http://schemas.openxmlformats.org/officeDocument/2006/relationships/hyperlink" Target="https://learn.microsoft.com/azure/frontdoor/best-practices" TargetMode="External"/><Relationship Id="rId287" Type="http://schemas.openxmlformats.org/officeDocument/2006/relationships/printerSettings" Target="../printerSettings/printerSettings2.bin"/><Relationship Id="rId30" Type="http://schemas.openxmlformats.org/officeDocument/2006/relationships/hyperlink" Target="https://docs.microsoft.com/azure/governance/management-groups/overview" TargetMode="External"/><Relationship Id="rId105" Type="http://schemas.openxmlformats.org/officeDocument/2006/relationships/hyperlink" Target="https://docs.microsoft.com/learn/paths/secure-application-delivery/" TargetMode="External"/><Relationship Id="rId12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7" Type="http://schemas.openxmlformats.org/officeDocument/2006/relationships/hyperlink" Target="https://docs.microsoft.com/azure/governance/policy/how-to/guest-configuration-create" TargetMode="External"/><Relationship Id="rId168" Type="http://schemas.openxmlformats.org/officeDocument/2006/relationships/hyperlink" Target="https://docs.microsoft.com/azure/key-vault/general/best-practices" TargetMode="External"/><Relationship Id="rId51" Type="http://schemas.openxmlformats.org/officeDocument/2006/relationships/hyperlink" Target="https://docs.microsoft.com/azure/azure-resource-manager/management/azure-subscription-service-limits" TargetMode="External"/><Relationship Id="rId72" Type="http://schemas.openxmlformats.org/officeDocument/2006/relationships/hyperlink" Target="https://docs.microsoft.com/azure/expressroute/how-to-configure-connection-monitor" TargetMode="External"/><Relationship Id="rId93" Type="http://schemas.openxmlformats.org/officeDocument/2006/relationships/hyperlink" Target="https://docs.microsoft.com/learn/paths/secure-application-delivery/" TargetMode="External"/><Relationship Id="rId189" Type="http://schemas.openxmlformats.org/officeDocument/2006/relationships/hyperlink" Target="https://docs.microsoft.com/azure/security-center/" TargetMode="External"/><Relationship Id="rId3" Type="http://schemas.openxmlformats.org/officeDocument/2006/relationships/hyperlink" Target="https://docs.microsoft.com/azure/active-directory/conditional-access/overview" TargetMode="External"/><Relationship Id="rId214" Type="http://schemas.openxmlformats.org/officeDocument/2006/relationships/hyperlink" Target="https://docs.microsoft.com/learn/modules/azure-architecture-fundamentals/" TargetMode="External"/><Relationship Id="rId235" Type="http://schemas.openxmlformats.org/officeDocument/2006/relationships/hyperlink" Target="https://docs.microsoft.com/learn/modules/design-implement-azure-expressroute/" TargetMode="External"/><Relationship Id="rId256" Type="http://schemas.openxmlformats.org/officeDocument/2006/relationships/hyperlink" Target="https://docs.microsoft.com/learn/modules/design-implement-network-monitoring/" TargetMode="External"/><Relationship Id="rId277" Type="http://schemas.openxmlformats.org/officeDocument/2006/relationships/hyperlink" Target="https://learn.microsoft.com/azure/web-application-firewall/afds/waf-front-door-best-practices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expressroute/expressroute-erdirect-about" TargetMode="External"/><Relationship Id="rId158" Type="http://schemas.openxmlformats.org/officeDocument/2006/relationships/hyperlink" Target="https://docs.microsoft.com/azure/azure-monitor/agents/diagnostics-extension-overview" TargetMode="External"/><Relationship Id="rId20" Type="http://schemas.openxmlformats.org/officeDocument/2006/relationships/hyperlink" Target="https://docs.microsoft.com/azure/cloud-adoption-framework/ready/landing-zone/design-area/resource-org-management-groups" TargetMode="External"/><Relationship Id="rId41" Type="http://schemas.openxmlformats.org/officeDocument/2006/relationships/hyperlink" Target="https://docs.microsoft.com/azure/virtual-wan/scenario-any-to-any" TargetMode="External"/><Relationship Id="rId62" Type="http://schemas.openxmlformats.org/officeDocument/2006/relationships/hyperlink" Target="https://docs.microsoft.com/azure/architecture/reference-architectures/hybrid-networking/hub-spoke?tabs=cli" TargetMode="External"/><Relationship Id="rId83" Type="http://schemas.openxmlformats.org/officeDocument/2006/relationships/hyperlink" Target="https://docs.microsoft.com/learn/paths/implement-network-security/?source=learn" TargetMode="External"/><Relationship Id="rId179" Type="http://schemas.openxmlformats.org/officeDocument/2006/relationships/hyperlink" Target="https://docs.microsoft.com/azure/governance/policy/overview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hyperlink" Target="https://docs.microsoft.com/learn/paths/implement-windows-server-iaas-virtual-machine-identity/" TargetMode="External"/><Relationship Id="rId225" Type="http://schemas.openxmlformats.org/officeDocument/2006/relationships/hyperlink" Target="https://docs.microsoft.com/learn/paths/az-104-manage-virtual-networks/" TargetMode="External"/><Relationship Id="rId246" Type="http://schemas.openxmlformats.org/officeDocument/2006/relationships/hyperlink" Target="https://docs.microsoft.com/learn/modules/design-implement-azure-expressroute/" TargetMode="External"/><Relationship Id="rId267" Type="http://schemas.openxmlformats.org/officeDocument/2006/relationships/hyperlink" Target="https://learn.microsoft.com/azure/frontdoor/best-practices" TargetMode="External"/><Relationship Id="rId288" Type="http://schemas.openxmlformats.org/officeDocument/2006/relationships/drawing" Target="../drawings/drawing2.xml"/><Relationship Id="rId10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azure.microsoft.com/resources/achieving-compliant-data-residency-and-security-with-azure/" TargetMode="External"/><Relationship Id="rId31" Type="http://schemas.openxmlformats.org/officeDocument/2006/relationships/hyperlink" Target="https://docs.microsoft.com/azure/cloud-adoption-framework/ready/azure-best-practices/track-costs" TargetMode="External"/><Relationship Id="rId52" Type="http://schemas.openxmlformats.org/officeDocument/2006/relationships/hyperlink" Target="https://docs.microsoft.com/azure/virtual-wan/azure-monitor-insights" TargetMode="External"/><Relationship Id="rId73" Type="http://schemas.openxmlformats.org/officeDocument/2006/relationships/hyperlink" Target="https://docs.microsoft.com/azure/expressroute/designing-for-disaster-recovery-with-expressroute-privatepeering" TargetMode="External"/><Relationship Id="rId94" Type="http://schemas.openxmlformats.org/officeDocument/2006/relationships/hyperlink" Target="https://docs.microsoft.com/azure/web-application-firewall/afds/afds-overview" TargetMode="External"/><Relationship Id="rId148" Type="http://schemas.openxmlformats.org/officeDocument/2006/relationships/hyperlink" Target="https://docs.microsoft.com/learn/paths/implement-resource-mgmt-security/" TargetMode="External"/><Relationship Id="rId169" Type="http://schemas.openxmlformats.org/officeDocument/2006/relationships/hyperlink" Target="https://docs.microsoft.com/azure/key-vault/general/best-practices" TargetMode="External"/><Relationship Id="rId4" Type="http://schemas.openxmlformats.org/officeDocument/2006/relationships/hyperlink" Target="https://docs.microsoft.com/azure/active-directory/authentication/concept-mfa-howitworks" TargetMode="External"/><Relationship Id="rId180" Type="http://schemas.openxmlformats.org/officeDocument/2006/relationships/hyperlink" Target="https://docs.microsoft.com/azure/governance/policy/overview" TargetMode="External"/><Relationship Id="rId215" Type="http://schemas.openxmlformats.org/officeDocument/2006/relationships/hyperlink" Target="https://docs.microsoft.com/learn/paths/control-spending-manage-bills/" TargetMode="External"/><Relationship Id="rId236" Type="http://schemas.openxmlformats.org/officeDocument/2006/relationships/hyperlink" Target="https://docs.microsoft.com/learn/modules/design-implement-azure-expressroute/" TargetMode="External"/><Relationship Id="rId257" Type="http://schemas.openxmlformats.org/officeDocument/2006/relationships/hyperlink" Target="https://docs.microsoft.com/azure/network-watcher/network-watcher-monitoring-overview" TargetMode="External"/><Relationship Id="rId278" Type="http://schemas.openxmlformats.org/officeDocument/2006/relationships/hyperlink" Target="https://learn.microsoft.com/azure/web-application-firewall/afds/waf-front-door-best-practices" TargetMode="External"/><Relationship Id="rId42" Type="http://schemas.openxmlformats.org/officeDocument/2006/relationships/hyperlink" Target="https://docs.microsoft.com/azure/virtual-wan/virtual-wan-about" TargetMode="External"/><Relationship Id="rId84" Type="http://schemas.openxmlformats.org/officeDocument/2006/relationships/hyperlink" Target="https://docs.microsoft.com/azure/app-service/networking-features" TargetMode="External"/><Relationship Id="rId138" Type="http://schemas.openxmlformats.org/officeDocument/2006/relationships/hyperlink" Target="https://docs.microsoft.com/azure/virtual-network/virtual-network-peering-overview" TargetMode="External"/><Relationship Id="rId191" Type="http://schemas.openxmlformats.org/officeDocument/2006/relationships/hyperlink" Target="https://docs.microsoft.com/azure/azure-monitor/logs/design-logs-deployment" TargetMode="External"/><Relationship Id="rId205" Type="http://schemas.openxmlformats.org/officeDocument/2006/relationships/hyperlink" Target="https://docs.microsoft.com/learn/paths/implement-applications-external-access-azure-ad/" TargetMode="External"/><Relationship Id="rId247" Type="http://schemas.openxmlformats.org/officeDocument/2006/relationships/hyperlink" Target="https://docs.microsoft.com/learn/modules/design-implement-private-access-to-azure-services/" TargetMode="External"/><Relationship Id="rId107" Type="http://schemas.openxmlformats.org/officeDocument/2006/relationships/hyperlink" Target="https://docs.microsoft.com/learn/paths/architect-network-infrastructure/" TargetMode="External"/><Relationship Id="rId289" Type="http://schemas.openxmlformats.org/officeDocument/2006/relationships/vmlDrawing" Target="../drawings/vmlDrawing1.vml"/><Relationship Id="rId11" Type="http://schemas.openxmlformats.org/officeDocument/2006/relationships/hyperlink" Target="https://docs.microsoft.com/azure/active-directory-domain-services/overview" TargetMode="External"/><Relationship Id="rId53" Type="http://schemas.openxmlformats.org/officeDocument/2006/relationships/hyperlink" Target="https://docs.microsoft.com/azure/cloud-adoption-framework/ready/enterprise-scale/network-topology-and-connectivity" TargetMode="External"/><Relationship Id="rId149" Type="http://schemas.openxmlformats.org/officeDocument/2006/relationships/hyperlink" Target="https://docs.microsoft.com/azure/automation/update-management/overview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site-recovery/site-recovery-overview" TargetMode="External"/><Relationship Id="rId216" Type="http://schemas.openxmlformats.org/officeDocument/2006/relationships/hyperlink" Target="https://docs.microsoft.com/learn/paths/enterprise-scale-architecture/" TargetMode="External"/><Relationship Id="rId258" Type="http://schemas.openxmlformats.org/officeDocument/2006/relationships/hyperlink" Target="https://docs.microsoft.com/learn/paths/azure-administrator-manage-compute-resources/" TargetMode="External"/><Relationship Id="rId22" Type="http://schemas.openxmlformats.org/officeDocument/2006/relationships/hyperlink" Target="https://docs.microsoft.com/azure/governance/management-groups/how-to/protect-resource-hierarchy" TargetMode="External"/><Relationship Id="rId64" Type="http://schemas.openxmlformats.org/officeDocument/2006/relationships/hyperlink" Target="https://docs.microsoft.com/azure/expressroute/expressroute-routing" TargetMode="External"/><Relationship Id="rId118" Type="http://schemas.openxmlformats.org/officeDocument/2006/relationships/hyperlink" Target="https://docs.microsoft.com/azure/active-directory/app-proxy/application-proxy" TargetMode="External"/><Relationship Id="rId171" Type="http://schemas.openxmlformats.org/officeDocument/2006/relationships/hyperlink" Target="https://docs.microsoft.com/azure/key-vault/general/monitor-key-vault" TargetMode="External"/><Relationship Id="rId227" Type="http://schemas.openxmlformats.org/officeDocument/2006/relationships/hyperlink" Target="https://docs.microsoft.com/learn/modules/configure-expressroute-virtual-wan/" TargetMode="External"/><Relationship Id="rId269" Type="http://schemas.openxmlformats.org/officeDocument/2006/relationships/hyperlink" Target="https://learn.microsoft.com/azure/frontdoor/best-practic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23</v>
      </c>
      <c r="E1" s="20" t="s">
        <v>24</v>
      </c>
      <c r="F1" s="20"/>
    </row>
    <row r="2" spans="1:15" ht="31.5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/>
      </c>
      <c r="J6" t="str" cm="1">
        <f t="array" ref="J6">IF($I6="","",SUMPRODUCT(--(Checklist!$A$10:$A$487=$I6)*--(Checklist!$F$10:$F$487=J$5)))</f>
        <v/>
      </c>
      <c r="K6" t="str" cm="1">
        <f t="array" ref="K6">IF($I6="","",SUMPRODUCT(--(Checklist!$A$10:$A$487=$I6)*--(Checklist!$F$10:$F$487=K$5)))</f>
        <v/>
      </c>
      <c r="L6" t="str" cm="1">
        <f t="array" ref="L6">IF($I6="","",SUMPRODUCT(--(Checklist!$A$10:$A$487=$I6)*--(Checklist!$F$10:$F$487=L$5)))</f>
        <v/>
      </c>
      <c r="M6" t="str" cm="1">
        <f t="array" ref="M6">IF($I6="","",SUMPRODUCT(--(Checklist!$A$10:$A$487=$I6)*--(Checklist!$F$10:$F$487=M$5)))</f>
        <v/>
      </c>
      <c r="N6" t="str" cm="1">
        <f t="array" ref="N6">IF($I6="","",SUMPRODUCT(--(Checklist!$A$10:$A$487=$I6)*--(Checklist!$F$10:$F$487=N$5)))</f>
        <v/>
      </c>
      <c r="O6" t="str">
        <f>IF($I6="","",SUM(J6:N6))</f>
        <v/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/>
      </c>
      <c r="J7" t="str" cm="1">
        <f t="array" ref="J7">IF($I7="","",SUMPRODUCT(--(Checklist!$A$10:$A$487=$I7)*--(Checklist!$F$10:$F$487=J$5)))</f>
        <v/>
      </c>
      <c r="K7" t="str" cm="1">
        <f t="array" ref="K7">IF($I7="","",SUMPRODUCT(--(Checklist!$A$10:$A$487=$I7)*--(Checklist!$F$10:$F$487=K$5)))</f>
        <v/>
      </c>
      <c r="L7" t="str" cm="1">
        <f t="array" ref="L7">IF($I7="","",SUMPRODUCT(--(Checklist!$A$10:$A$487=$I7)*--(Checklist!$F$10:$F$487=L$5)))</f>
        <v/>
      </c>
      <c r="M7" t="str" cm="1">
        <f t="array" ref="M7">IF($I7="","",SUMPRODUCT(--(Checklist!$A$10:$A$487=$I7)*--(Checklist!$F$10:$F$487=M$5)))</f>
        <v/>
      </c>
      <c r="N7" t="str" cm="1">
        <f t="array" ref="N7">IF($I7="","",SUMPRODUCT(--(Checklist!$A$10:$A$487=$I7)*--(Checklist!$F$10:$F$487=N$5)))</f>
        <v/>
      </c>
      <c r="O7" t="str">
        <f t="shared" ref="O7:O13" si="0">IF($I7="","",SUM(J7:N7))</f>
        <v/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/>
      </c>
      <c r="J8" t="str" cm="1">
        <f t="array" ref="J8">IF($I8="","",SUMPRODUCT(--(Checklist!$A$10:$A$487=$I8)*--(Checklist!$F$10:$F$487=J$5)))</f>
        <v/>
      </c>
      <c r="K8" t="str" cm="1">
        <f t="array" ref="K8">IF($I8="","",SUMPRODUCT(--(Checklist!$A$10:$A$487=$I8)*--(Checklist!$F$10:$F$487=K$5)))</f>
        <v/>
      </c>
      <c r="L8" t="str" cm="1">
        <f t="array" ref="L8">IF($I8="","",SUMPRODUCT(--(Checklist!$A$10:$A$487=$I8)*--(Checklist!$F$10:$F$487=L$5)))</f>
        <v/>
      </c>
      <c r="M8" t="str" cm="1">
        <f t="array" ref="M8">IF($I8="","",SUMPRODUCT(--(Checklist!$A$10:$A$487=$I8)*--(Checklist!$F$10:$F$487=M$5)))</f>
        <v/>
      </c>
      <c r="N8" t="str" cm="1">
        <f t="array" ref="N8">IF($I8="","",SUMPRODUCT(--(Checklist!$A$10:$A$487=$I8)*--(Checklist!$F$10:$F$487=N$5)))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/>
      </c>
      <c r="J9" t="str" cm="1">
        <f t="array" ref="J9">IF($I9="","",SUMPRODUCT(--(Checklist!$A$10:$A$487=$I9)*--(Checklist!$F$10:$F$487=J$5)))</f>
        <v/>
      </c>
      <c r="K9" t="str" cm="1">
        <f t="array" ref="K9">IF($I9="","",SUMPRODUCT(--(Checklist!$A$10:$A$487=$I9)*--(Checklist!$F$10:$F$487=K$5)))</f>
        <v/>
      </c>
      <c r="L9" t="str" cm="1">
        <f t="array" ref="L9">IF($I9="","",SUMPRODUCT(--(Checklist!$A$10:$A$487=$I9)*--(Checklist!$F$10:$F$487=L$5)))</f>
        <v/>
      </c>
      <c r="M9" t="str" cm="1">
        <f t="array" ref="M9">IF($I9="","",SUMPRODUCT(--(Checklist!$A$10:$A$487=$I9)*--(Checklist!$F$10:$F$487=M$5)))</f>
        <v/>
      </c>
      <c r="N9" t="str" cm="1">
        <f t="array" ref="N9">IF($I9="","",SUMPRODUCT(--(Checklist!$A$10:$A$487=$I9)*--(Checklist!$F$10:$F$487=N$5)))</f>
        <v/>
      </c>
      <c r="O9" t="str">
        <f t="shared" si="0"/>
        <v/>
      </c>
    </row>
    <row r="10" spans="1:15">
      <c r="I10" s="13" t="str">
        <f>IF(Values!$C6="","",Values!$C6)</f>
        <v/>
      </c>
      <c r="J10" t="str" cm="1">
        <f t="array" ref="J10">IF($I10="","",SUMPRODUCT(--(Checklist!$A$10:$A$487=$I10)*--(Checklist!$F$10:$F$487=J$5)))</f>
        <v/>
      </c>
      <c r="K10" t="str" cm="1">
        <f t="array" ref="K10">IF($I10="","",SUMPRODUCT(--(Checklist!$A$10:$A$487=$I10)*--(Checklist!$F$10:$F$487=K$5)))</f>
        <v/>
      </c>
      <c r="L10" t="str" cm="1">
        <f t="array" ref="L10">IF($I10="","",SUMPRODUCT(--(Checklist!$A$10:$A$487=$I10)*--(Checklist!$F$10:$F$487=L$5)))</f>
        <v/>
      </c>
      <c r="M10" t="str" cm="1">
        <f t="array" ref="M10">IF($I10="","",SUMPRODUCT(--(Checklist!$A$10:$A$487=$I10)*--(Checklist!$F$10:$F$487=M$5)))</f>
        <v/>
      </c>
      <c r="N10" t="str" cm="1">
        <f t="array" ref="N10">IF($I10="","",SUMPRODUCT(--(Checklist!$A$10:$A$487=$I10)*--(Checklist!$F$10:$F$487=N$5)))</f>
        <v/>
      </c>
      <c r="O10" t="str">
        <f t="shared" si="0"/>
        <v/>
      </c>
    </row>
    <row r="11" spans="1:15">
      <c r="I11" s="13" t="str">
        <f>IF(Values!$C7="","",Values!$C7)</f>
        <v/>
      </c>
      <c r="J11" t="str" cm="1">
        <f t="array" ref="J11">IF($I11="","",SUMPRODUCT(--(Checklist!$A$10:$A$487=$I11)*--(Checklist!$F$10:$F$487=J$5)))</f>
        <v/>
      </c>
      <c r="K11" t="str" cm="1">
        <f t="array" ref="K11">IF($I11="","",SUMPRODUCT(--(Checklist!$A$10:$A$487=$I11)*--(Checklist!$F$10:$F$487=K$5)))</f>
        <v/>
      </c>
      <c r="L11" t="str" cm="1">
        <f t="array" ref="L11">IF($I11="","",SUMPRODUCT(--(Checklist!$A$10:$A$487=$I11)*--(Checklist!$F$10:$F$487=L$5)))</f>
        <v/>
      </c>
      <c r="M11" t="str" cm="1">
        <f t="array" ref="M11">IF($I11="","",SUMPRODUCT(--(Checklist!$A$10:$A$487=$I11)*--(Checklist!$F$10:$F$487=M$5)))</f>
        <v/>
      </c>
      <c r="N11" t="str" cm="1">
        <f t="array" ref="N11">IF($I11="","",SUMPRODUCT(--(Checklist!$A$10:$A$487=$I11)*--(Checklist!$F$10:$F$487=N$5)))</f>
        <v/>
      </c>
      <c r="O11" t="str">
        <f t="shared" si="0"/>
        <v/>
      </c>
    </row>
    <row r="12" spans="1:15">
      <c r="I12" s="13" t="str">
        <f>IF(Values!$C8="","",Values!$C8)</f>
        <v/>
      </c>
      <c r="J12" t="str" cm="1">
        <f t="array" ref="J12">IF($I12="","",SUMPRODUCT(--(Checklist!$A$10:$A$487=$I12)*--(Checklist!$F$10:$F$487=J$5)))</f>
        <v/>
      </c>
      <c r="K12" t="str" cm="1">
        <f t="array" ref="K12">IF($I12="","",SUMPRODUCT(--(Checklist!$A$10:$A$487=$I12)*--(Checklist!$F$10:$F$487=K$5)))</f>
        <v/>
      </c>
      <c r="L12" t="str" cm="1">
        <f t="array" ref="L12">IF($I12="","",SUMPRODUCT(--(Checklist!$A$10:$A$487=$I12)*--(Checklist!$F$10:$F$487=L$5)))</f>
        <v/>
      </c>
      <c r="M12" t="str" cm="1">
        <f t="array" ref="M12">IF($I12="","",SUMPRODUCT(--(Checklist!$A$10:$A$487=$I12)*--(Checklist!$F$10:$F$487=M$5)))</f>
        <v/>
      </c>
      <c r="N12" t="str" cm="1">
        <f t="array" ref="N12">IF($I12="","",SUMPRODUCT(--(Checklist!$A$10:$A$487=$I12)*--(Checklist!$F$10:$F$487=N$5)))</f>
        <v/>
      </c>
      <c r="O12" t="str">
        <f t="shared" si="0"/>
        <v/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/>
      </c>
      <c r="Q21" t="str" cm="1">
        <f t="array" ref="Q21">IF($P21="","",SUMPRODUCT(--(Checklist!$A$10:$A$487=$P21)*--(Checklist!$F$10:$F$487=Q$20)))</f>
        <v/>
      </c>
      <c r="R21" t="str" cm="1">
        <f t="array" ref="R21">IF($P21="","",SUMPRODUCT(--(Checklist!$A$10:$A$487=$P21)*--(Checklist!$F$10:$F$487=R$20)))</f>
        <v/>
      </c>
      <c r="S21" t="str" cm="1">
        <f t="array" ref="S21">IF($P21="","",SUMPRODUCT(--(Checklist!$A$10:$A$487=$P21)*(--(Checklist!$F$10:$F$487=Values!$B$4)+--(Checklist!$F$10:$F$487=Values!$B$5)+--(Checklist!$F$10:$F$487=Values!$B$6))))</f>
        <v/>
      </c>
      <c r="T21" t="str">
        <f>IF($P21="","",SUM(Q21:S21))</f>
        <v/>
      </c>
      <c r="U21" s="15" t="str">
        <f>IF($P21="","",S21/T21)</f>
        <v/>
      </c>
    </row>
    <row r="22" spans="16:21">
      <c r="P22" s="13" t="str">
        <f>IF(Values!$C3="","",Values!$C3)</f>
        <v/>
      </c>
      <c r="Q22" t="str" cm="1">
        <f t="array" ref="Q22">IF($P22="","",SUMPRODUCT(--(Checklist!$A$10:$A$487=$P22)*--(Checklist!$F$10:$F$487=Q$20)))</f>
        <v/>
      </c>
      <c r="R22" t="str" cm="1">
        <f t="array" ref="R22">IF($P22="","",SUMPRODUCT(--(Checklist!$A$10:$A$487=$P22)*--(Checklist!$F$10:$F$487=R$20)))</f>
        <v/>
      </c>
      <c r="S22" t="str" cm="1">
        <f t="array" ref="S22">IF($P22="","",SUMPRODUCT(--(Checklist!$A$10:$A$487=$P22)*(--(Checklist!$F$10:$F$487=Values!$B$4)+--(Checklist!$F$10:$F$487=Values!$B$5)+--(Checklist!$F$10:$F$487=Values!$B$6))))</f>
        <v/>
      </c>
      <c r="T22" t="str">
        <f t="shared" ref="T22:T27" si="2">IF($P22="","",SUM(Q22:S22))</f>
        <v/>
      </c>
      <c r="U22" s="15" t="str">
        <f t="shared" ref="U22:U27" si="3">IF($P22="","",S22/T22)</f>
        <v/>
      </c>
    </row>
    <row r="23" spans="16:21">
      <c r="P23" s="13" t="str">
        <f>IF(Values!$C4="","",Values!$C4)</f>
        <v/>
      </c>
      <c r="Q23" t="str" cm="1">
        <f t="array" ref="Q23">IF($P23="","",SUMPRODUCT(--(Checklist!$A$10:$A$487=$P23)*--(Checklist!$F$10:$F$487=Q$20)))</f>
        <v/>
      </c>
      <c r="R23" t="str" cm="1">
        <f t="array" ref="R23">IF($P23="","",SUMPRODUCT(--(Checklist!$A$10:$A$487=$P23)*--(Checklist!$F$10:$F$487=R$20)))</f>
        <v/>
      </c>
      <c r="S23" t="str" cm="1">
        <f t="array" ref="S23">IF($P23="","",SUMPRODUCT(--(Checklist!$A$10:$A$487=$P23)*(--(Checklist!$F$10:$F$487=Values!$B$4)+--(Checklist!$F$10:$F$487=Values!$B$5)+--(Checklist!$F$10:$F$487=Values!$B$6))))</f>
        <v/>
      </c>
      <c r="T23" t="str">
        <f t="shared" si="2"/>
        <v/>
      </c>
      <c r="U23" s="15" t="str">
        <f t="shared" si="3"/>
        <v/>
      </c>
    </row>
    <row r="24" spans="16:21">
      <c r="P24" s="13" t="str">
        <f>IF(Values!$C5="","",Values!$C5)</f>
        <v/>
      </c>
      <c r="Q24" t="str" cm="1">
        <f t="array" ref="Q24">IF($P24="","",SUMPRODUCT(--(Checklist!$A$10:$A$487=$P24)*--(Checklist!$F$10:$F$487=Q$20)))</f>
        <v/>
      </c>
      <c r="R24" t="str" cm="1">
        <f t="array" ref="R24">IF($P24="","",SUMPRODUCT(--(Checklist!$A$10:$A$487=$P24)*--(Checklist!$F$10:$F$487=R$20)))</f>
        <v/>
      </c>
      <c r="S24" t="str" cm="1">
        <f t="array" ref="S24">IF($P24="","",SUMPRODUCT(--(Checklist!$A$10:$A$487=$P24)*(--(Checklist!$F$10:$F$487=Values!$B$4)+--(Checklist!$F$10:$F$487=Values!$B$5)+--(Checklist!$F$10:$F$487=Values!$B$6))))</f>
        <v/>
      </c>
      <c r="T24" t="str">
        <f t="shared" si="2"/>
        <v/>
      </c>
      <c r="U24" s="15" t="str">
        <f t="shared" si="3"/>
        <v/>
      </c>
    </row>
    <row r="25" spans="16:21">
      <c r="P25" s="13" t="str">
        <f>IF(Values!$C6="","",Values!$C6)</f>
        <v/>
      </c>
      <c r="Q25" t="str" cm="1">
        <f t="array" ref="Q25">IF($P25="","",SUMPRODUCT(--(Checklist!$A$10:$A$487=$P25)*--(Checklist!$F$10:$F$487=Q$20)))</f>
        <v/>
      </c>
      <c r="R25" t="str" cm="1">
        <f t="array" ref="R25">IF($P25="","",SUMPRODUCT(--(Checklist!$A$10:$A$487=$P25)*--(Checklist!$F$10:$F$487=R$20)))</f>
        <v/>
      </c>
      <c r="S25" t="str" cm="1">
        <f t="array" ref="S25">IF($P25="","",SUMPRODUCT(--(Checklist!$A$10:$A$487=$P25)*(--(Checklist!$F$10:$F$487=Values!$B$4)+--(Checklist!$F$10:$F$487=Values!$B$5)+--(Checklist!$F$10:$F$487=Values!$B$6))))</f>
        <v/>
      </c>
      <c r="T25" t="str">
        <f t="shared" si="2"/>
        <v/>
      </c>
      <c r="U25" s="15" t="str">
        <f t="shared" si="3"/>
        <v/>
      </c>
    </row>
    <row r="26" spans="16:21">
      <c r="P26" s="13" t="str">
        <f>IF(Values!$C7="","",Values!$C7)</f>
        <v/>
      </c>
      <c r="Q26" t="str" cm="1">
        <f t="array" ref="Q26">IF($P26="","",SUMPRODUCT(--(Checklist!$A$10:$A$487=$P26)*--(Checklist!$F$10:$F$487=Q$20)))</f>
        <v/>
      </c>
      <c r="R26" t="str" cm="1">
        <f t="array" ref="R26">IF($P26="","",SUMPRODUCT(--(Checklist!$A$10:$A$487=$P26)*--(Checklist!$F$10:$F$487=R$20)))</f>
        <v/>
      </c>
      <c r="S26" t="str" cm="1">
        <f t="array" ref="S26">IF($P26="","",SUMPRODUCT(--(Checklist!$A$10:$A$487=$P26)*(--(Checklist!$F$10:$F$487=Values!$B$4)+--(Checklist!$F$10:$F$487=Values!$B$5)+--(Checklist!$F$10:$F$487=Values!$B$6))))</f>
        <v/>
      </c>
      <c r="T26" t="str">
        <f t="shared" si="2"/>
        <v/>
      </c>
      <c r="U26" s="15" t="str">
        <f t="shared" si="3"/>
        <v/>
      </c>
    </row>
    <row r="27" spans="16:21">
      <c r="P27" s="13" t="str">
        <f>IF(Values!$C8="","",Values!$C8)</f>
        <v/>
      </c>
      <c r="Q27" t="str" cm="1">
        <f t="array" ref="Q27">IF($P27="","",SUMPRODUCT(--(Checklist!$A$10:$A$487=$P27)*--(Checklist!$F$10:$F$487=Q$20)))</f>
        <v/>
      </c>
      <c r="R27" t="str" cm="1">
        <f t="array" ref="R27">IF($P27="","",SUMPRODUCT(--(Checklist!$A$10:$A$487=$P27)*--(Checklist!$F$10:$F$487=R$20)))</f>
        <v/>
      </c>
      <c r="S27" t="str" cm="1">
        <f t="array" ref="S27">IF($P27="","",SUMPRODUCT(--(Checklist!$A$10:$A$487=$P27)*(--(Checklist!$F$10:$F$487=Values!$B$4)+--(Checklist!$F$10:$F$487=Values!$B$5)+--(Checklist!$F$10:$F$487=Values!$B$6))))</f>
        <v/>
      </c>
      <c r="T27" t="str">
        <f t="shared" si="2"/>
        <v/>
      </c>
      <c r="U27" s="15" t="str">
        <f t="shared" si="3"/>
        <v/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80" zoomScaleNormal="80" workbookViewId="0">
      <selection activeCell="E2" sqref="E2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39"/>
      <c r="B2" s="39"/>
      <c r="C2" s="12" t="s">
        <v>12</v>
      </c>
      <c r="D2" s="22"/>
      <c r="E2" s="38" t="s">
        <v>30</v>
      </c>
      <c r="F2" s="23" t="s">
        <v>34</v>
      </c>
      <c r="G2" s="28" t="s">
        <v>41</v>
      </c>
    </row>
    <row r="3" spans="1:16" ht="17.25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39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/>
      <c r="B10" s="31"/>
      <c r="C10" s="31"/>
      <c r="D10" s="31"/>
      <c r="E10" s="31"/>
      <c r="G10" s="31"/>
      <c r="H10" s="21"/>
      <c r="I10" s="21"/>
      <c r="J10" s="32"/>
      <c r="K10" s="32"/>
      <c r="L10" s="35"/>
      <c r="M10" s="35"/>
      <c r="N10" s="35"/>
      <c r="O10" s="35"/>
      <c r="P10" s="35"/>
    </row>
    <row r="11" spans="1:16" ht="16.5" customHeight="1">
      <c r="A11" s="31"/>
      <c r="B11" s="31"/>
      <c r="C11" s="31"/>
      <c r="D11" s="31"/>
      <c r="E11" s="31"/>
      <c r="G11" s="31"/>
      <c r="H11" s="21"/>
      <c r="I11" s="21"/>
      <c r="J11" s="32"/>
      <c r="K11" s="32"/>
      <c r="L11" s="35"/>
      <c r="M11" s="35"/>
      <c r="N11" s="35"/>
      <c r="O11" s="35"/>
      <c r="P11" s="35"/>
    </row>
    <row r="12" spans="1:16" ht="16.5" customHeight="1">
      <c r="A12" s="31"/>
      <c r="B12" s="31"/>
      <c r="C12" s="31"/>
      <c r="D12" s="31"/>
      <c r="E12" s="31"/>
      <c r="G12" s="31"/>
      <c r="H12" s="21"/>
      <c r="I12" s="21"/>
      <c r="J12" s="32"/>
      <c r="K12" s="33"/>
      <c r="L12" s="35"/>
      <c r="M12" s="35"/>
      <c r="N12" s="35"/>
      <c r="O12" s="35"/>
      <c r="P12" s="35"/>
    </row>
    <row r="13" spans="1:16" ht="16.5" customHeight="1">
      <c r="A13" s="31"/>
      <c r="B13" s="31"/>
      <c r="C13" s="31"/>
      <c r="D13" s="31"/>
      <c r="E13" s="31"/>
      <c r="G13" s="31"/>
      <c r="H13" s="21"/>
      <c r="I13" s="21"/>
      <c r="J13" s="32"/>
      <c r="K13" s="32"/>
      <c r="L13" s="35"/>
      <c r="M13" s="35"/>
      <c r="N13" s="35"/>
      <c r="O13" s="35"/>
      <c r="P13" s="35"/>
    </row>
    <row r="14" spans="1:16" ht="16.5" customHeight="1">
      <c r="A14" s="31"/>
      <c r="B14" s="31"/>
      <c r="C14" s="31"/>
      <c r="D14" s="31"/>
      <c r="E14" s="31"/>
      <c r="G14" s="31"/>
      <c r="H14" s="21"/>
      <c r="I14" s="21"/>
      <c r="J14" s="32"/>
      <c r="K14" s="32"/>
      <c r="L14" s="35"/>
      <c r="M14" s="35"/>
      <c r="N14" s="35"/>
      <c r="O14" s="35"/>
      <c r="P14" s="35"/>
    </row>
    <row r="15" spans="1:16" ht="16.5" customHeight="1">
      <c r="A15" s="31"/>
      <c r="B15" s="31"/>
      <c r="C15" s="31"/>
      <c r="D15" s="31"/>
      <c r="E15" s="31"/>
      <c r="G15" s="31"/>
      <c r="H15" s="21"/>
      <c r="I15" s="21"/>
      <c r="J15" s="32"/>
      <c r="K15" s="32"/>
      <c r="L15" s="35"/>
      <c r="M15" s="35"/>
      <c r="N15" s="35"/>
      <c r="O15" s="35"/>
      <c r="P15" s="35"/>
    </row>
    <row r="16" spans="1:16" ht="16.5" customHeight="1">
      <c r="A16" s="31"/>
      <c r="B16" s="31"/>
      <c r="C16" s="31"/>
      <c r="D16" s="31"/>
      <c r="E16" s="31"/>
      <c r="G16" s="31"/>
      <c r="H16" s="21"/>
      <c r="I16" s="21"/>
      <c r="J16" s="32"/>
      <c r="K16" s="32"/>
      <c r="L16" s="35"/>
      <c r="M16" s="35"/>
      <c r="N16" s="35"/>
      <c r="O16" s="35"/>
      <c r="P16" s="35"/>
    </row>
    <row r="17" spans="1:16" ht="16.5" customHeight="1">
      <c r="A17" s="31"/>
      <c r="B17" s="31"/>
      <c r="C17" s="31"/>
      <c r="D17" s="31"/>
      <c r="E17" s="31"/>
      <c r="G17" s="31"/>
      <c r="H17" s="21"/>
      <c r="I17" s="21"/>
      <c r="J17" s="32"/>
      <c r="K17" s="32"/>
      <c r="L17" s="35"/>
      <c r="M17" s="35"/>
      <c r="N17" s="35"/>
      <c r="O17" s="35"/>
      <c r="P17" s="35"/>
    </row>
    <row r="18" spans="1:16" ht="16.5" customHeight="1">
      <c r="A18" s="31"/>
      <c r="B18" s="31"/>
      <c r="C18" s="31"/>
      <c r="D18" s="31"/>
      <c r="E18" s="31"/>
      <c r="G18" s="31"/>
      <c r="H18" s="21"/>
      <c r="I18" s="21"/>
      <c r="J18" s="32"/>
      <c r="K18" s="32"/>
      <c r="L18" s="35"/>
      <c r="M18" s="35"/>
      <c r="N18" s="35"/>
      <c r="O18" s="35"/>
      <c r="P18" s="35"/>
    </row>
    <row r="19" spans="1:16" ht="16.5" customHeight="1">
      <c r="A19" s="31"/>
      <c r="B19" s="31"/>
      <c r="C19" s="31"/>
      <c r="D19" s="31"/>
      <c r="E19" s="31"/>
      <c r="G19" s="31"/>
      <c r="H19" s="21"/>
      <c r="I19" s="21"/>
      <c r="J19" s="32"/>
      <c r="K19" s="32"/>
      <c r="L19" s="35"/>
      <c r="M19" s="35"/>
      <c r="N19" s="35"/>
      <c r="O19" s="35"/>
      <c r="P19" s="35"/>
    </row>
    <row r="20" spans="1:16" ht="16.5" customHeight="1">
      <c r="A20" s="31"/>
      <c r="B20" s="31"/>
      <c r="C20" s="31"/>
      <c r="D20" s="31"/>
      <c r="E20" s="31"/>
      <c r="G20" s="31"/>
      <c r="H20" s="21"/>
      <c r="I20" s="21"/>
      <c r="J20" s="32"/>
      <c r="K20" s="32"/>
      <c r="L20" s="35"/>
      <c r="M20" s="35"/>
      <c r="N20" s="35"/>
      <c r="O20" s="35"/>
      <c r="P20" s="35"/>
    </row>
    <row r="21" spans="1:16" ht="16.5" customHeight="1">
      <c r="A21" s="31"/>
      <c r="B21" s="31"/>
      <c r="C21" s="31"/>
      <c r="D21" s="31"/>
      <c r="E21" s="31"/>
      <c r="G21" s="31"/>
      <c r="H21" s="21"/>
      <c r="I21" s="21"/>
      <c r="J21" s="32"/>
      <c r="K21" s="32"/>
      <c r="L21" s="35"/>
      <c r="M21" s="35"/>
      <c r="N21" s="35"/>
      <c r="O21" s="35"/>
      <c r="P21" s="35"/>
    </row>
    <row r="22" spans="1:16" ht="16.5" customHeight="1">
      <c r="A22" s="31"/>
      <c r="B22" s="31"/>
      <c r="C22" s="31"/>
      <c r="D22" s="31"/>
      <c r="E22" s="31"/>
      <c r="G22" s="31"/>
      <c r="H22" s="21"/>
      <c r="I22" s="21"/>
      <c r="J22" s="32"/>
      <c r="K22" s="32"/>
      <c r="L22" s="35"/>
      <c r="M22" s="35"/>
      <c r="N22" s="35"/>
      <c r="O22" s="35"/>
      <c r="P22" s="35"/>
    </row>
    <row r="23" spans="1:16" ht="16.5" customHeight="1">
      <c r="A23" s="31"/>
      <c r="B23" s="31"/>
      <c r="C23" s="31"/>
      <c r="D23" s="31"/>
      <c r="E23" s="31"/>
      <c r="G23" s="31"/>
      <c r="H23" s="21"/>
      <c r="I23" s="21"/>
      <c r="J23" s="32"/>
      <c r="K23" s="32"/>
      <c r="L23" s="35"/>
      <c r="M23" s="35"/>
      <c r="N23" s="35"/>
      <c r="O23" s="35"/>
      <c r="P23" s="35"/>
    </row>
    <row r="24" spans="1:16" ht="16.5" customHeight="1">
      <c r="A24" s="31"/>
      <c r="B24" s="31"/>
      <c r="C24" s="31"/>
      <c r="D24" s="31"/>
      <c r="E24" s="31"/>
      <c r="G24" s="31"/>
      <c r="H24" s="21"/>
      <c r="I24" s="21"/>
      <c r="J24" s="32"/>
      <c r="K24" s="32"/>
      <c r="L24" s="35"/>
      <c r="M24" s="35"/>
      <c r="N24" s="35"/>
      <c r="O24" s="35"/>
      <c r="P24" s="35"/>
    </row>
    <row r="25" spans="1:16" ht="16.5" customHeight="1">
      <c r="A25" s="31"/>
      <c r="B25" s="31"/>
      <c r="C25" s="31"/>
      <c r="D25" s="31"/>
      <c r="E25" s="31"/>
      <c r="G25" s="31"/>
      <c r="H25" s="21"/>
      <c r="I25" s="21"/>
      <c r="J25" s="32"/>
      <c r="K25" s="32"/>
      <c r="L25" s="35"/>
      <c r="M25" s="35"/>
      <c r="N25" s="35"/>
      <c r="O25" s="35"/>
      <c r="P25" s="35"/>
    </row>
    <row r="26" spans="1:16" ht="16.5" customHeight="1">
      <c r="A26" s="31"/>
      <c r="B26" s="31"/>
      <c r="C26" s="31"/>
      <c r="D26" s="31"/>
      <c r="E26" s="31"/>
      <c r="G26" s="31"/>
      <c r="H26" s="21"/>
      <c r="I26" s="21"/>
      <c r="J26" s="32"/>
      <c r="K26" s="32"/>
      <c r="L26" s="35"/>
      <c r="M26" s="35"/>
      <c r="N26" s="35"/>
      <c r="O26" s="35"/>
      <c r="P26" s="35"/>
    </row>
    <row r="27" spans="1:16" ht="16.5" customHeight="1">
      <c r="A27" s="31"/>
      <c r="B27" s="31"/>
      <c r="C27" s="31"/>
      <c r="D27" s="31"/>
      <c r="E27" s="31"/>
      <c r="G27" s="31"/>
      <c r="H27" s="21"/>
      <c r="I27" s="21"/>
      <c r="J27" s="32"/>
      <c r="K27" s="32"/>
      <c r="L27" s="35"/>
      <c r="M27" s="35"/>
      <c r="N27" s="35"/>
      <c r="O27" s="35"/>
      <c r="P27" s="35"/>
    </row>
    <row r="28" spans="1:16" ht="16.5" customHeight="1">
      <c r="A28" s="31"/>
      <c r="B28" s="31"/>
      <c r="C28" s="31"/>
      <c r="D28" s="31"/>
      <c r="E28" s="31"/>
      <c r="G28" s="31"/>
      <c r="H28" s="21"/>
      <c r="I28" s="21"/>
      <c r="J28" s="32"/>
      <c r="K28" s="32"/>
      <c r="L28" s="35"/>
      <c r="M28" s="35"/>
      <c r="N28" s="35"/>
      <c r="O28" s="35"/>
      <c r="P28" s="35"/>
    </row>
    <row r="29" spans="1:16" ht="16.5" customHeight="1">
      <c r="A29" s="31"/>
      <c r="B29" s="31"/>
      <c r="C29" s="31"/>
      <c r="D29" s="31"/>
      <c r="E29" s="31"/>
      <c r="G29" s="31"/>
      <c r="H29" s="21"/>
      <c r="I29" s="21"/>
      <c r="J29" s="32"/>
      <c r="K29" s="32"/>
      <c r="L29" s="35"/>
      <c r="M29" s="35"/>
      <c r="N29" s="35"/>
      <c r="O29" s="35"/>
      <c r="P29" s="35"/>
    </row>
    <row r="30" spans="1:16" ht="16.5" customHeight="1">
      <c r="A30" s="31"/>
      <c r="B30" s="31"/>
      <c r="C30" s="31"/>
      <c r="D30" s="31"/>
      <c r="E30" s="31"/>
      <c r="G30" s="31"/>
      <c r="H30" s="21"/>
      <c r="J30" s="32"/>
      <c r="K30" s="32"/>
      <c r="L30" s="35"/>
      <c r="M30" s="35"/>
      <c r="N30" s="35"/>
      <c r="O30" s="35"/>
      <c r="P30" s="35"/>
    </row>
    <row r="31" spans="1:16" ht="16.5" customHeight="1">
      <c r="A31" s="31"/>
      <c r="B31" s="31"/>
      <c r="C31" s="31"/>
      <c r="D31" s="31"/>
      <c r="E31" s="31"/>
      <c r="G31" s="31"/>
      <c r="H31" s="21"/>
      <c r="J31" s="32"/>
      <c r="K31" s="32"/>
      <c r="L31" s="35"/>
      <c r="M31" s="35"/>
      <c r="N31" s="35"/>
      <c r="O31" s="35"/>
      <c r="P31" s="35"/>
    </row>
    <row r="32" spans="1:16" ht="16.5" customHeight="1">
      <c r="A32" s="31"/>
      <c r="B32" s="31"/>
      <c r="C32" s="31"/>
      <c r="D32" s="31"/>
      <c r="E32" s="31"/>
      <c r="G32" s="31"/>
      <c r="H32" s="21"/>
      <c r="J32" s="32"/>
      <c r="K32" s="32"/>
      <c r="L32" s="35"/>
      <c r="M32" s="35"/>
      <c r="N32" s="35"/>
      <c r="O32" s="35"/>
      <c r="P32" s="35"/>
    </row>
    <row r="33" spans="1:16" ht="16.5" customHeight="1">
      <c r="A33" s="31"/>
      <c r="B33" s="31"/>
      <c r="C33" s="31"/>
      <c r="D33" s="31"/>
      <c r="E33" s="31"/>
      <c r="G33" s="31"/>
      <c r="H33" s="21"/>
      <c r="J33" s="32"/>
      <c r="K33" s="32"/>
      <c r="L33" s="35"/>
      <c r="M33" s="35"/>
      <c r="N33" s="35"/>
      <c r="O33" s="35"/>
      <c r="P33" s="35"/>
    </row>
    <row r="34" spans="1:16" ht="16.5" customHeight="1">
      <c r="A34" s="31"/>
      <c r="B34" s="31"/>
      <c r="C34" s="31"/>
      <c r="D34" s="31"/>
      <c r="E34" s="31"/>
      <c r="G34" s="31"/>
      <c r="H34" s="21"/>
      <c r="I34" s="21"/>
      <c r="J34" s="32"/>
      <c r="K34" s="32"/>
      <c r="L34" s="35"/>
      <c r="M34" s="35"/>
      <c r="N34" s="35"/>
      <c r="O34" s="35"/>
      <c r="P34" s="35"/>
    </row>
    <row r="35" spans="1:16" ht="16.5" customHeight="1">
      <c r="A35" s="31"/>
      <c r="B35" s="31"/>
      <c r="C35" s="31"/>
      <c r="D35" s="31"/>
      <c r="E35" s="31"/>
      <c r="G35" s="31"/>
      <c r="H35" s="21"/>
      <c r="I35" s="21"/>
      <c r="J35" s="32"/>
      <c r="K35" s="33"/>
      <c r="L35" s="35"/>
      <c r="M35" s="35"/>
      <c r="N35" s="35"/>
      <c r="O35" s="35"/>
      <c r="P35" s="35"/>
    </row>
    <row r="36" spans="1:16" ht="16.5" customHeight="1">
      <c r="A36" s="31"/>
      <c r="B36" s="31"/>
      <c r="C36" s="31"/>
      <c r="D36" s="31"/>
      <c r="E36" s="31"/>
      <c r="G36" s="31"/>
      <c r="H36" s="21"/>
      <c r="I36" s="21"/>
      <c r="J36" s="32"/>
      <c r="K36" s="32"/>
      <c r="L36" s="35"/>
      <c r="M36" s="35"/>
      <c r="N36" s="35"/>
      <c r="O36" s="35"/>
      <c r="P36" s="35"/>
    </row>
    <row r="37" spans="1:16" ht="16.5" customHeight="1">
      <c r="A37" s="31"/>
      <c r="B37" s="31"/>
      <c r="C37" s="31"/>
      <c r="D37" s="31"/>
      <c r="E37" s="31"/>
      <c r="G37" s="31"/>
      <c r="H37" s="21"/>
      <c r="I37" s="21"/>
      <c r="J37" s="32"/>
      <c r="K37" s="32"/>
      <c r="L37" s="35"/>
      <c r="M37" s="35"/>
      <c r="N37" s="35"/>
      <c r="O37" s="35"/>
      <c r="P37" s="35"/>
    </row>
    <row r="38" spans="1:16" ht="16.5" customHeight="1">
      <c r="A38" s="31"/>
      <c r="B38" s="31"/>
      <c r="C38" s="31"/>
      <c r="D38" s="31"/>
      <c r="E38" s="31"/>
      <c r="G38" s="31"/>
      <c r="H38" s="21"/>
      <c r="I38" s="21"/>
      <c r="J38" s="32"/>
      <c r="K38" s="32"/>
      <c r="L38" s="35"/>
      <c r="M38" s="35"/>
      <c r="N38" s="35"/>
      <c r="O38" s="35"/>
      <c r="P38" s="35"/>
    </row>
    <row r="39" spans="1:16" ht="16.5" customHeight="1">
      <c r="A39" s="31"/>
      <c r="B39" s="31"/>
      <c r="C39" s="31"/>
      <c r="D39" s="31"/>
      <c r="E39" s="31"/>
      <c r="G39" s="31"/>
      <c r="H39" s="21"/>
      <c r="I39" s="21"/>
      <c r="J39" s="32"/>
      <c r="K39" s="32"/>
      <c r="L39" s="35"/>
      <c r="M39" s="35"/>
      <c r="N39" s="35"/>
      <c r="O39" s="35"/>
      <c r="P39" s="35"/>
    </row>
    <row r="40" spans="1:16" ht="16.5" customHeight="1">
      <c r="A40" s="31"/>
      <c r="B40" s="31"/>
      <c r="C40" s="31"/>
      <c r="D40" s="31"/>
      <c r="E40" s="31"/>
      <c r="G40" s="31"/>
      <c r="H40" s="21"/>
      <c r="I40" s="21"/>
      <c r="J40" s="32"/>
      <c r="K40" s="32"/>
      <c r="L40" s="35"/>
      <c r="M40" s="35"/>
      <c r="N40" s="35"/>
      <c r="O40" s="35"/>
      <c r="P40" s="35"/>
    </row>
    <row r="41" spans="1:16" ht="16.5" customHeight="1">
      <c r="A41" s="31"/>
      <c r="B41" s="31"/>
      <c r="C41" s="31"/>
      <c r="D41" s="31"/>
      <c r="E41" s="31"/>
      <c r="G41" s="31"/>
      <c r="H41" s="21"/>
      <c r="I41" s="21"/>
      <c r="J41" s="32"/>
      <c r="K41" s="32"/>
      <c r="L41" s="35"/>
      <c r="M41" s="35"/>
      <c r="N41" s="35"/>
      <c r="O41" s="35"/>
      <c r="P41" s="35"/>
    </row>
    <row r="42" spans="1:16" ht="16.5" customHeight="1">
      <c r="A42" s="31"/>
      <c r="B42" s="31"/>
      <c r="C42" s="31"/>
      <c r="D42" s="31"/>
      <c r="E42" s="31"/>
      <c r="G42" s="31"/>
      <c r="H42" s="21"/>
      <c r="I42" s="21"/>
      <c r="J42" s="32"/>
      <c r="K42" s="32"/>
      <c r="L42" s="35"/>
      <c r="M42" s="35"/>
      <c r="N42" s="35"/>
      <c r="O42" s="35"/>
      <c r="P42" s="35"/>
    </row>
    <row r="43" spans="1:16" ht="16.5" customHeight="1">
      <c r="A43" s="31"/>
      <c r="B43" s="31"/>
      <c r="C43" s="31"/>
      <c r="D43" s="31"/>
      <c r="E43" s="31"/>
      <c r="G43" s="31"/>
      <c r="H43" s="21"/>
      <c r="I43" s="21"/>
      <c r="J43" s="32"/>
      <c r="K43" s="32"/>
      <c r="L43" s="35"/>
      <c r="M43" s="35"/>
      <c r="N43" s="35"/>
      <c r="O43" s="35"/>
      <c r="P43" s="35"/>
    </row>
    <row r="44" spans="1:16" ht="16.5" customHeight="1">
      <c r="A44" s="31"/>
      <c r="B44" s="31"/>
      <c r="C44" s="31"/>
      <c r="D44" s="31"/>
      <c r="E44" s="31"/>
      <c r="G44" s="31"/>
      <c r="H44" s="21"/>
      <c r="I44" s="21"/>
      <c r="J44" s="32"/>
      <c r="K44" s="32"/>
      <c r="L44" s="35"/>
      <c r="M44" s="35"/>
      <c r="N44" s="35"/>
      <c r="O44" s="35"/>
      <c r="P44" s="35"/>
    </row>
    <row r="45" spans="1:16" ht="16.5" customHeight="1">
      <c r="A45" s="31"/>
      <c r="B45" s="31"/>
      <c r="C45" s="31"/>
      <c r="D45" s="31"/>
      <c r="E45" s="31"/>
      <c r="G45" s="31"/>
      <c r="H45" s="21"/>
      <c r="I45" s="21"/>
      <c r="J45" s="32"/>
      <c r="K45" s="33"/>
      <c r="L45" s="35"/>
      <c r="M45" s="35"/>
      <c r="N45" s="35"/>
      <c r="O45" s="35"/>
      <c r="P45" s="35"/>
    </row>
    <row r="46" spans="1:16" ht="16.5" customHeight="1">
      <c r="A46" s="31"/>
      <c r="B46" s="31"/>
      <c r="C46" s="31"/>
      <c r="D46" s="31"/>
      <c r="E46" s="31"/>
      <c r="G46" s="31"/>
      <c r="H46" s="21"/>
      <c r="I46" s="21"/>
      <c r="J46" s="32"/>
      <c r="K46" s="33"/>
      <c r="L46" s="35"/>
      <c r="M46" s="35"/>
      <c r="N46" s="35"/>
      <c r="O46" s="35"/>
      <c r="P46" s="35"/>
    </row>
    <row r="47" spans="1:16" ht="16.5" customHeight="1">
      <c r="A47" s="31"/>
      <c r="B47" s="31"/>
      <c r="C47" s="31"/>
      <c r="D47" s="31"/>
      <c r="E47" s="31"/>
      <c r="G47" s="31"/>
      <c r="H47" s="21"/>
      <c r="I47" s="21"/>
      <c r="J47" s="32"/>
      <c r="K47" s="32"/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I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I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I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I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2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2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2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2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2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2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I118" s="21"/>
      <c r="J118" s="32"/>
      <c r="K118" s="33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I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I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I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I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3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H172" s="2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H173" s="2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H174" s="2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H175" s="2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H176" s="2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H177" s="2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H178" s="2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H179" s="2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H180" s="2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H181" s="2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H182" s="2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H183" s="2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H184" s="2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H185" s="2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H186" s="2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H187" s="2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H188" s="2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H189" s="2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H190" s="21"/>
      <c r="J190" s="32"/>
      <c r="K190" s="32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H191" s="2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H192" s="2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H193" s="2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H194" s="2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H195" s="2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H196" s="2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H197" s="2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active-directory/roles/security-emergency-access" display="More info" xr:uid="{93CC6003-CC03-40D7-BA24-12F4BDDEDE73}"/>
    <hyperlink ref="H11" r:id="rId2" tooltip="https://docs.microsoft.com/azure/role-based-access-control/overview" display="More info" xr:uid="{6E96513F-7B8D-4B3B-8C8A-BA5E92684F95}"/>
    <hyperlink ref="H12" r:id="rId3" tooltip="https://docs.microsoft.com/azure/active-directory/conditional-access/overview" display="More info" xr:uid="{BA73BAF3-B8D4-477D-A628-B29D5A8B9FA6}"/>
    <hyperlink ref="H13" r:id="rId4" tooltip="https://docs.microsoft.com/azure/active-directory/authentication/concept-mfa-howitworks" display="More info" xr:uid="{228BBC77-BC8F-4679-8617-ABDF77B68354}"/>
    <hyperlink ref="H14" r:id="rId5" tooltip="https://docs.microsoft.com/azure/role-based-access-control/overview" display="More info" xr:uid="{A0442527-A2BA-47D2-8BF0-0B0F2F9E2B9B}"/>
    <hyperlink ref="H15" r:id="rId6" tooltip="https://docs.microsoft.com/azure/active-directory/privileged-identity-management/pim-configure" display="More info" xr:uid="{B36B70EC-0699-4D7D-85B5-CDD0C9B3EDB0}"/>
    <hyperlink ref="H16" r:id="rId7" location="identify-microsoft-accounts-in-administrative-roles-that-need-to-be-switched-to-work-or-school-accounts" tooltip="https://docs.microsoft.com/azure/active-directory/roles/security-planning#identify-microsoft-accounts-in-administrative-roles-that-need-to-be-switched-to-work-or-school-accounts" display="More info" xr:uid="{9D221A04-5526-414D-A6C5-DBCD7181DDD2}"/>
    <hyperlink ref="H17" r:id="rId8" tooltip="https://docs.microsoft.com/azure/active-directory/fundamentals/active-directory-groups-create-azure-portal" display="More info" xr:uid="{505E84A3-D449-4A6D-9918-DC887A6313F2}"/>
    <hyperlink ref="H18" r:id="rId9" location="prerequisites-for-a-landing-zone---design-recommendations" tooltip="https://docs.microsoft.com/azure/cloud-adoption-framework/ready/landing-zone/design-area/identity-access#prerequisites-for-a-landing-zone---design-recommendations" display="More info" xr:uid="{4A8AFEB5-D568-4D3E-9BDE-6512438FF7FD}"/>
    <hyperlink ref="H19" r:id="rId10" tooltip="https://azure.microsoft.com/resources/achieving-compliant-data-residency-and-security-with-azure/" display="More info" xr:uid="{E5FE702E-E08D-4718-989D-054531526EF2}"/>
    <hyperlink ref="H20" r:id="rId11" tooltip="https://docs.microsoft.com/azure/active-directory-domain-services/overview" display="More info" xr:uid="{78468198-E5CA-47EE-8F80-B4DA668D3438}"/>
    <hyperlink ref="H21" r:id="rId12" tooltip="https://docs.microsoft.com/azure/active-directory-domain-services/overview" display="More info" xr:uid="{E927A381-5BA2-4E6B-B9DD-77269C5A9CE5}"/>
    <hyperlink ref="H22" r:id="rId13" tooltip="https://docs.microsoft.com/azure/architecture/reference-architectures/identity/adds-extend-domain" display="More info" xr:uid="{422908ED-2285-48B1-A1E4-BDD2A974E0D5}"/>
    <hyperlink ref="H23" r:id="rId14" tooltip="https://docs.microsoft.com/azure/active-directory/app-proxy/application-proxy" display="More info" xr:uid="{C16C262F-ED25-4A33-9C64-AF7F6AD00880}"/>
    <hyperlink ref="H24" r:id="rId15" tooltip="https://docs.microsoft.com/azure/active-directory/roles/best-practices" display="More info" xr:uid="{0CEC9985-B462-4FAD-9EFF-C2DD63A1ADA3}"/>
    <hyperlink ref="H25" r:id="rId16" tooltip="https://docs.microsoft.com/azure/cloud-adoption-framework/ready/landing-zone/design-area/resource-org-management-groups" display="More info" xr:uid="{9D26BB3C-C3AA-45A2-985E-F3BD71AC6B31}"/>
    <hyperlink ref="H26" r:id="rId17" tooltip="https://docs.microsoft.com/azure/cloud-adoption-framework/decision-guides/resource-tagging/?toc=/azure/azure-resource-manager/management/toc.json" display="More info" xr:uid="{9116CF9B-39C8-4EDE-872C-2677A3EFFF20}"/>
    <hyperlink ref="H27" r:id="rId18" location="management-group-recommendations" tooltip="https://docs.microsoft.com/azure/cloud-adoption-framework/ready/landing-zone/design-area/resource-org-management-groups#management-group-recommendations" display="More info" xr:uid="{0DD7B89E-5EA0-46CD-A7C0-8264F97C827C}"/>
    <hyperlink ref="H28" r:id="rId19" location="management-group-recommendations" tooltip="https://docs.microsoft.com/azure/cloud-adoption-framework/ready/landing-zone/design-area/resource-org-management-groups#management-group-recommendations" display="More info" xr:uid="{088574A1-6062-47D3-B076-47B35B275C86}"/>
    <hyperlink ref="H29" r:id="rId20" location="management-group-recommendations" tooltip="https://docs.microsoft.com/azure/cloud-adoption-framework/ready/landing-zone/design-area/resource-org-management-groups#management-group-recommendations" display="More info" xr:uid="{B6F32F99-9E73-4556-A5E9-99A1D64854A3}"/>
    <hyperlink ref="H30" r:id="rId21" location="setting---default-management-group" tooltip="https://docs.microsoft.com/azure/governance/management-groups/how-to/protect-resource-hierarchy#setting---default-management-group" display="More info" xr:uid="{20DEBD46-0190-4849-A747-B8EB80FB851E}"/>
    <hyperlink ref="H31" r:id="rId22" location="setting---require-authorization" tooltip="https://docs.microsoft.com/azure/governance/management-groups/how-to/protect-resource-hierarchy#setting---require-authorization" display="More info" xr:uid="{C7DD5D78-59C5-462F-9620-6A75E795BC87}"/>
    <hyperlink ref="H32" r:id="rId23" tooltip="https://docs.microsoft.com/azure/governance/management-groups/overview" display="More info" xr:uid="{524FB041-7426-470B-A1F1-9826E448FBD6}"/>
    <hyperlink ref="H33" r:id="rId24" tooltip="https://docs.microsoft.com/azure/governance/management-groups/overview" display="More info" xr:uid="{D09A8AE1-27EB-40A5-AEE6-BF93C6194D8E}"/>
    <hyperlink ref="H34" r:id="rId25" tooltip="https://docs.microsoft.com/azure/azure-resource-manager/management/azure-subscription-service-limits" display="More info" xr:uid="{C79CCC2C-18B5-4AAB-A98E-158CEF1C7BC1}"/>
    <hyperlink ref="H35" r:id="rId26" tooltip="https://docs.microsoft.com/azure/cost-management-billing/reservations/save-compute-costs-reservations" display="More info" xr:uid="{39CA6667-2069-4BCA-AB63-120EA7A9FAE7}"/>
    <hyperlink ref="H36" r:id="rId27" tooltip="https://docs.microsoft.com/azure/architecture/framework/scalability/design-capacity" display="More info" xr:uid="{4CC033EB-600A-4BE3-8FCE-4F80B5F8B2A6}"/>
    <hyperlink ref="H37" r:id="rId28" tooltip="https://azure.microsoft.com/global-infrastructure/services/" display="More info" xr:uid="{5C5A5853-47E1-4A14-AF55-BE39546DC3A1}"/>
    <hyperlink ref="H38" r:id="rId29" tooltip="https://docs.microsoft.com/azure/cost-management-billing/cost-management-billing-overview" display="More info" xr:uid="{5B872E4D-F13C-46C3-AC87-4841AE724B5F}"/>
    <hyperlink ref="H39" r:id="rId30" tooltip="https://docs.microsoft.com/azure/governance/management-groups/overview" display="More info" xr:uid="{21990D78-00A5-4200-A26C-89DE295A705F}"/>
    <hyperlink ref="H40" r:id="rId31" tooltip="https://docs.microsoft.com/azure/cloud-adoption-framework/ready/azure-best-practices/track-costs" display="More info" xr:uid="{10EE2856-DC31-4AC9-ABDA-B7BEECC6D56B}"/>
    <hyperlink ref="H41" r:id="rId32" tooltip="https://docs.microsoft.com/azure/cloud-adoption-framework/ready/azure-best-practices/plan-for-ip-addressing" display="More info" xr:uid="{A46B8E96-4050-4A6A-8A21-C784C80847EE}"/>
    <hyperlink ref="H42" r:id="rId33" tooltip="https://docs.microsoft.com/azure/cloud-adoption-framework/ready/azure-best-practices/plan-for-ip-addressing" display="More info" xr:uid="{D04AE2C4-DF0B-43DD-B0BB-E94EDA7ABCAF}"/>
    <hyperlink ref="H43" r:id="rId34" tooltip="https://docs.microsoft.com/azure/cloud-adoption-framework/ready/azure-best-practices/plan-for-ip-addressing" display="More info" xr:uid="{04F42978-3D8F-42A9-A1CF-7CD66B0FA8FE}"/>
    <hyperlink ref="H44" r:id="rId35" tooltip="https://docs.microsoft.com/azure/cloud-adoption-framework/ready/azure-best-practices/plan-for-ip-addressing" display="More info" xr:uid="{7ADEC31E-1B29-4E09-A71D-FF94B66C84A4}"/>
    <hyperlink ref="H45" r:id="rId36" location="retain-ip-addresses" tooltip="https://docs.microsoft.com/azure/site-recovery/concepts-on-premises-to-azure-networking#retain-ip-addresses" display="More info" xr:uid="{56EA3634-79CE-4060-A4D2-4EF5EC8BD3CB}"/>
    <hyperlink ref="H46" r:id="rId37" tooltip="https://docs.microsoft.com/azure/virtual-network/virtual-networks-name-resolution-for-vms-and-role-instances" display="More info" xr:uid="{C3995497-EE6C-4A6F-B852-77100F208010}"/>
    <hyperlink ref="H47" r:id="rId38" tooltip="https://docs.microsoft.com/azure/virtual-network/virtual-networks-name-resolution-for-vms-and-role-instances" display="More info" xr:uid="{51A5DE3A-8C29-425A-93FD-D12A2FC1E474}"/>
    <hyperlink ref="H48" r:id="rId39" tooltip="https://docs.microsoft.com/azure/virtual-network/virtual-networks-name-resolution-for-vms-and-role-instances" display="More info" xr:uid="{1E894BA2-AB24-4E6F-83FB-52593C2C6BE7}"/>
    <hyperlink ref="H49" r:id="rId40" tooltip="https://docs.microsoft.com/azure/dns/private-dns-autoregistration" display="More info" xr:uid="{894B586B-B4FF-49A6-8B12-B366687B3C84}"/>
    <hyperlink ref="H50" r:id="rId41" tooltip="https://docs.microsoft.com/azure/virtual-wan/scenario-any-to-any" display="More info" xr:uid="{DEECECE9-7472-420E-8640-E61E6BB765E9}"/>
    <hyperlink ref="H51" r:id="rId42" tooltip="https://docs.microsoft.com/azure/virtual-wan/virtual-wan-about" display="More info" xr:uid="{D95E1334-0A17-493B-A144-1CB3FDBE45C3}"/>
    <hyperlink ref="H52" r:id="rId43" tooltip="https://docs.microsoft.com/azure/virtual-wan/virtual-wan-about" display="More info" xr:uid="{4DEEC8FA-53E2-4782-B584-8D112FB75BD2}"/>
    <hyperlink ref="H53" r:id="rId44" tooltip="https://docs.microsoft.com/azure/virtual-wan/virtual-wan-about" display="More info" xr:uid="{DB878023-47E8-480C-B663-50DB34F78813}"/>
    <hyperlink ref="H54" r:id="rId45" tooltip="https://docs.microsoft.com/azure/virtual-wan/virtual-wan-about" display="More info" xr:uid="{569D4067-FDCB-4437-95BF-074F3540FD13}"/>
    <hyperlink ref="H55" r:id="rId46" tooltip="https://docs.microsoft.com/azure/virtual-wan/virtual-wan-about" display="More info" xr:uid="{3BC4F1A9-56CE-4756-B006-552C2E6F6FD0}"/>
    <hyperlink ref="H56" r:id="rId47" tooltip="https://docs.microsoft.com/azure/virtual-wan/virtual-wan-about" display="More info" xr:uid="{CFB33C44-E6CB-4C48-B718-A9DF83C2FD35}"/>
    <hyperlink ref="H57" r:id="rId48" tooltip="https://docs.microsoft.com/azure/virtual-wan/virtual-wan-about" display="More info" xr:uid="{3615855A-123D-4DB3-9AA6-CCB0CDD287F1}"/>
    <hyperlink ref="H58" r:id="rId49" tooltip="https://docs.microsoft.com/azure/virtual-wan/virtual-wan-about" display="More info" xr:uid="{10F717C2-7DB2-42AA-B5A5-8F17AFA15AFA}"/>
    <hyperlink ref="H59" r:id="rId50" tooltip="https://docs.microsoft.com/azure/virtual-wan/virtual-wan-about" display="More info" xr:uid="{0CEEAF27-52D4-4575-A41A-19D6B31E367B}"/>
    <hyperlink ref="H60" r:id="rId51" tooltip="https://docs.microsoft.com/azure/azure-resource-manager/management/azure-subscription-service-limits" display="More info" xr:uid="{1BE2C3EA-03F5-439F-9E21-009049A2E2F9}"/>
    <hyperlink ref="H61" r:id="rId52" tooltip="https://docs.microsoft.com/azure/virtual-wan/azure-monitor-insights" display="More info" xr:uid="{0B50F5CC-6F6B-4F16-AD44-741298B75A5C}"/>
    <hyperlink ref="H62" r:id="rId53" tooltip="https://docs.microsoft.com/azure/cloud-adoption-framework/ready/enterprise-scale/network-topology-and-connectivity" display="More info" xr:uid="{C2DBB12D-F073-4AA8-A2E9-97E34F6F5764}"/>
    <hyperlink ref="H63" r:id="rId54" tooltip="https://docs.microsoft.com/azure/architecture/reference-architectures/hybrid-networking/expressroute" display="More info" xr:uid="{AEAE9BDC-37CB-42F4-8469-61BF7A4C5C54}"/>
    <hyperlink ref="H64" r:id="rId55" tooltip="https://docs.microsoft.com/azure/architecture/reference-architectures/dmz/nva-ha" display="More info" xr:uid="{A7D41C9A-09D1-43C8-A0E8-6A5979BE644F}"/>
    <hyperlink ref="H65" r:id="rId56" tooltip="https://azure.microsoft.com/solutions/network-appliances/" display="More info" xr:uid="{0DE1BA9B-7FC0-44BF-8C92-EF5093F11194}"/>
    <hyperlink ref="H66" r:id="rId57" location="to-enable-transit-routing-between-expressroute-and-azure-vpn" tooltip="https://docs.microsoft.com/azure/expressroute/expressroute-howto-coexist-resource-manager#to-enable-transit-routing-between-expressroute-and-azure-vpn" display="More info" xr:uid="{86B4788C-BEC9-4C52-87A6-F40F2480FE64}"/>
    <hyperlink ref="H67" r:id="rId58" location="can-i-create-a-peering-connection-to-a-vnet-in-a-different-region" tooltip="https://docs.microsoft.com/azure/virtual-network/virtual-networks-faq#can-i-create-a-peering-connection-to-a-vnet-in-a-different-region" display="More info" xr:uid="{2264687A-074A-4CD1-973E-B1201E4D7688}"/>
    <hyperlink ref="H68" r:id="rId59" tooltip="https://docs.microsoft.com/azure/expressroute/expressroute-faqs" display="More info" xr:uid="{D4C60639-0328-493D-9C90-CEC71F3AD5EA}"/>
    <hyperlink ref="H69" r:id="rId60" tooltip="https://docs.microsoft.com/azure/azure-monitor/insights/network-insights-overview" display="More info" xr:uid="{0328737D-D655-440D-B580-BC793A74D748}"/>
    <hyperlink ref="H70" r:id="rId61" location="azure-resource-manager-virtual-networking-limits" tooltip="https://docs.microsoft.com/azure/azure-resource-manager/management/azure-subscription-service-limits?toc=/azure/virtual-network/toc.json#azure-resource-manager-virtual-networking-limits" display="More info" xr:uid="{4391496B-69DF-4488-9145-FDBD10643C3F}"/>
    <hyperlink ref="H71" r:id="rId62" tooltip="https://docs.microsoft.com/azure/architecture/reference-architectures/hybrid-networking/hub-spoke?tabs=cli" display="More info" xr:uid="{D1AFBBE0-32E7-4ECC-9C8D-EC7AA459ADA1}"/>
    <hyperlink ref="H72" r:id="rId63" tooltip="https://docs.microsoft.com/azure/expressroute/expressroute-routing" display="More info" xr:uid="{145E6843-76F3-439D-89CE-C788F048768E}"/>
    <hyperlink ref="H73" r:id="rId64" tooltip="https://docs.microsoft.com/azure/expressroute/expressroute-routing" display="More info" xr:uid="{EE126A83-3989-4056-B38E-B6E33409554C}"/>
    <hyperlink ref="H74" r:id="rId65" tooltip="https://docs.microsoft.com/azure/expressroute/expressroute-about-virtual-network-gateways" display="More info" xr:uid="{1FE0F99B-DA46-49F0-8377-370C952313AC}"/>
    <hyperlink ref="H75" r:id="rId66" tooltip="https://docs.microsoft.com/azure/networking/" display="More info" xr:uid="{294C631B-498E-4F3B-82DF-13BC07F14329}"/>
    <hyperlink ref="H76" r:id="rId67" tooltip="https://learn.microsoft.com/azure/expressroute/about-fastpath" display="More info" xr:uid="{4304CA8E-C38B-414C-915C-4F17DD86FAF3}"/>
    <hyperlink ref="H77" r:id="rId68" tooltip="https://docs.microsoft.com/azure/expressroute/expressroute-routing" display="More info" xr:uid="{C56D497E-B726-4E2F-A1EA-D4EC977320FC}"/>
    <hyperlink ref="H78" r:id="rId69" tooltip="https://docs.microsoft.com/azure/networking/" display="More info" xr:uid="{76F65D1E-CA9D-4D48-AF49-C6C886F96FB4}"/>
    <hyperlink ref="H79" r:id="rId70" tooltip="https://docs.microsoft.com/azure/architecture/framework/services/networking/expressroute/reliability" display="More info" xr:uid="{8489267C-0EA7-4F47-A729-DB684A9196B9}"/>
    <hyperlink ref="H80" r:id="rId71" tooltip="https://docs.microsoft.com/azure/expressroute/expressroute-monitoring-metrics-alerts" display="More info" xr:uid="{901A0875-48C8-46AF-94BA-6EB8FA8BF1DC}"/>
    <hyperlink ref="H81" r:id="rId72" tooltip="https://docs.microsoft.com/azure/expressroute/how-to-configure-connection-monitor" display="More info" xr:uid="{C41F9E63-D4B2-43CF-A32A-543BB9C0C9DC}"/>
    <hyperlink ref="H82" r:id="rId73" location="challenges-of-using-multiple-expressroute-circuits" tooltip="https://docs.microsoft.com/azure/expressroute/designing-for-disaster-recovery-with-expressroute-privatepeering#challenges-of-using-multiple-expressroute-circuits" display="More info" xr:uid="{9C78880A-A122-408C-9862-7EF30E373137}"/>
    <hyperlink ref="H83" r:id="rId74" tooltip="https://docs.microsoft.com/azure/virtual-network/vnet-integration-for-azure-services" display="More info" xr:uid="{1042BBDE-97B7-4773-B731-C9CDDD74753D}"/>
    <hyperlink ref="H84" r:id="rId75" tooltip="https://docs.microsoft.com/azure/virtual-network/vnet-integration-for-azure-services" display="More info" xr:uid="{D534A4D2-6428-44AD-9B37-D498605DC14F}"/>
    <hyperlink ref="H85" r:id="rId76" tooltip="https://docs.microsoft.com/azure/app-service/networking-features" display="More info" xr:uid="{A4B96B9E-4529-4893-86A6-C5124A8AD2E0}"/>
    <hyperlink ref="H86" r:id="rId77" tooltip="https://docs.microsoft.com/azure/app-service/networking-features" display="More info" xr:uid="{3F3E807E-CB1F-42B5-983B-5AE37CB60350}"/>
    <hyperlink ref="H87" r:id="rId78" tooltip="https://docs.microsoft.com/azure/app-service/networking-features" display="More info" xr:uid="{7563A631-D0DE-41CA-9A5E-5A8D2BE94E45}"/>
    <hyperlink ref="H88" r:id="rId79" tooltip="https://docs.microsoft.com/azure/app-service/networking-features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learn/paths/implement-network-security/?source=learn" display="Training" xr:uid="{4C07CC6F-A185-4C70-80BE-6895D1956CC9}"/>
    <hyperlink ref="H91" r:id="rId84" tooltip="https://docs.microsoft.com/azure/app-service/networking-features" display="More info" xr:uid="{2D545258-6AAD-4E77-B4F9-211C6B179A5B}"/>
    <hyperlink ref="I91" r:id="rId85" tooltip="https://docs.microsoft.com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networking-infrastructure/" display="Training" xr:uid="{1FF256E1-282C-4D23-BE91-C048BF1E5A37}"/>
    <hyperlink ref="H95" r:id="rId92" tooltip="https://docs.microsoft.com/azure/firewall/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fds/afds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secure-application-delivery/" display="Training" xr:uid="{ACC0D168-38A8-4E12-831C-5A4BC62907E9}"/>
    <hyperlink ref="H98" r:id="rId98" tooltip="https://docs.microsoft.com/azure/web-application-firewall/ag/ag-overview" display="More info" xr:uid="{8B85C599-B9B3-4B21-A035-CCF97A2B47AB}"/>
    <hyperlink ref="I98" r:id="rId99" tooltip="https://docs.microsoft.com/learn/paths/architect-network-infrastructure/" display="Training" xr:uid="{205037BD-7FB7-4473-AAE5-84D2ECEF8DC8}"/>
    <hyperlink ref="H99" r:id="rId100" tooltip="https://docs.microsoft.com/azure/ddos-protection/ddos-protection-reference-architectures" display="More info" xr:uid="{65EC325F-9B75-4C68-8399-15F24C283888}"/>
    <hyperlink ref="I99" r:id="rId101" tooltip="https://docs.microsoft.com/learn/paths/secure-networking-infrastructure/" display="Training" xr:uid="{DC3075C4-0FE5-4D19-ACF7-38EEECCCFC91}"/>
    <hyperlink ref="H100" r:id="rId102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ddos-protection/ddos-protection-overview" display="More info" xr:uid="{39581A39-E689-44E7-80A2-5E4FE0B15F74}"/>
    <hyperlink ref="I101" r:id="rId105" tooltip="https://docs.microsoft.com/learn/paths/secure-application-delivery/" display="Training" xr:uid="{98E5371F-8066-44F6-B725-52D0B2AFA994}"/>
    <hyperlink ref="H102" r:id="rId106" tooltip="https://docs.microsoft.com/azure/cloud-adoption-framework/ready/azure-setup-guide/organize-resources?tabs=AzureManagementGroupsAndHierarchy" display="More info" xr:uid="{1ED1050B-466F-478A-89EB-8D7A480F021B}"/>
    <hyperlink ref="I102" r:id="rId107" tooltip="https://docs.microsoft.com/learn/paths/architect-network-infrastructure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application-delivery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web-application-firewall/ag/ag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ddos-protection/ddos-protection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secure-networking-infrastructure/" display="Training" xr:uid="{97D947A6-7DD0-452A-98B7-4F246FC6B957}"/>
    <hyperlink ref="H108" r:id="rId118" location="how-application-proxy-works" tooltip="https://docs.microsoft.com/azure/active-directory/app-proxy/application-proxy#how-application-proxy-works" display="More info" xr:uid="{0CB0BAC8-183D-4CB1-A6E7-634895DB86B6}"/>
    <hyperlink ref="I108" r:id="rId119" tooltip="https://docs.microsoft.com/learn/modules/configure-azure-ad-application-proxy/" display="Training" xr:uid="{DB8F39B6-0C81-43C2-B6DA-46F657CF4E18}"/>
    <hyperlink ref="H109" r:id="rId120" tooltip="https://docs.microsoft.com/azure/cloud-adoption-framework/ready/azure-best-practices/plan-for-landing-zone-network-segmentation" display="More info" xr:uid="{9E1C0901-AEC4-493B-8246-F11DD04373BB}"/>
    <hyperlink ref="I109" r:id="rId121" tooltip="https://docs.microsoft.com/learn/paths/implement-resource-mgmt-security/" display="Training" xr:uid="{69990435-BE0D-4AFE-8972-126F562AEC6E}"/>
    <hyperlink ref="H110" r:id="rId122" location="how-application-proxy-works" tooltip="https://docs.microsoft.com/azure/active-directory/app-proxy/application-proxy#how-application-proxy-works" display="More info" xr:uid="{B4F06970-95D0-459A-8C44-9672834CB5BC}"/>
    <hyperlink ref="I110" r:id="rId123" tooltip="https://docs.microsoft.com/learn/paths/implement-applications-external-access-azure-ad/" display="Training" xr:uid="{5DC776D9-B428-4637-9E3C-006600B25AC2}"/>
    <hyperlink ref="H111" r:id="rId124" tooltip="https://docs.microsoft.com/azure/web-application-firewall/ag/ag-overview" display="More info" xr:uid="{2F6F7462-EF6B-4F09-A26F-26AE9ADB9367}"/>
    <hyperlink ref="I111" r:id="rId125" tooltip="https://docs.microsoft.com/learn/paths/implement-network-security/" display="Training" xr:uid="{FC43A193-197E-4E67-B376-B1C27F12BEF7}"/>
    <hyperlink ref="H112" r:id="rId126" tooltip="https://docs.microsoft.com/azure/cloud-adoption-framework/ready/azure-setup-guide/organize-resources?tabs=AzureManagementGroupsAndHierarchy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implement-network-security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virtual-network/network-security-group-how-it-works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virtual-network/network-security-group-how-it-works" display="More info" xr:uid="{C341BD2F-788C-4169-8571-E81A5AAC2F83}"/>
    <hyperlink ref="I116" r:id="rId134" tooltip="https://docs.microsoft.com/learn/paths/secure-networking-infrastructure/" display="Training" xr:uid="{9A25B207-3DAB-495C-8A19-6FEFFEB82258}"/>
    <hyperlink ref="H117" r:id="rId135" tooltip="https://docs.microsoft.com/azure/virtual-network/network-security-group-how-it-works" display="More info" xr:uid="{D6A95BD1-60E5-46AE-880D-BD230FBB806D}"/>
    <hyperlink ref="H118" r:id="rId136" tooltip="https://docs.microsoft.com/azure/firewall/" display="More info" xr:uid="{B5E700A7-B974-45C0-865C-E113CD9ADFD5}"/>
    <hyperlink ref="H119" r:id="rId137" tooltip="https://docs.microsoft.com/azure/expressroute/expressroute-erdirect-about" display="More info" xr:uid="{4AE0A92A-9AA9-42A1-B1ED-C0F8BC4D4C70}"/>
    <hyperlink ref="H120" r:id="rId138" tooltip="https://docs.microsoft.com/azure/virtual-network/virtual-network-peering-overview" display="More info" xr:uid="{731358DC-1886-466E-8977-D45013BEFBA2}"/>
    <hyperlink ref="H121" r:id="rId139" tooltip="https://docs.microsoft.com/azure/virtual-wan/virtual-wan-about" display="More info" xr:uid="{74A290CA-AC1D-4235-A4A8-8544AFCE10E6}"/>
    <hyperlink ref="H123" r:id="rId140" tooltip="https://docs.microsoft.com/azure/cloud-adoption-framework/ready/azure-best-practices/plan-for-traffic-inspection" display="More info" xr:uid="{E82E5985-A8A8-4CD9-8182-03D6FDCCE8B8}"/>
    <hyperlink ref="H124" r:id="rId141" tooltip="https://docs.microsoft.com/azure/azure-monitor/logs/design-logs-deployment" display="More info" xr:uid="{3FDB59B2-7D21-4D3C-998F-7DD3D2D3307F}"/>
    <hyperlink ref="I124" r:id="rId142" tooltip="https://docs.microsoft.com/azure/azure-monitor/logs/design-logs-deployment" display="Training" xr:uid="{BACA691C-7FF5-43F2-86A3-BA7B461665AC}"/>
    <hyperlink ref="H126" r:id="rId143" tooltip="https://docs.microsoft.com/azure/azure-monitor/logs/design-logs-deployment" display="More info" xr:uid="{48C3CAC8-BB66-46DB-88E1-851D40974FD1}"/>
    <hyperlink ref="I126" r:id="rId144" tooltip="https://docs.microsoft.com/learn/paths/architect-infrastructure-operations/" display="Training" xr:uid="{704B7DB1-9378-4797-A626-DF7A74CC6417}"/>
    <hyperlink ref="H127" r:id="rId145" tooltip="https://docs.microsoft.com/azure/azure-monitor/logs/design-logs-deployment" display="More info" xr:uid="{2CA1E3AA-2A2C-40DF-B939-548922430DF2}"/>
    <hyperlink ref="I127" r:id="rId146" tooltip="https://docs.microsoft.com/learn/paths/architect-infrastructure-operations/" display="Training" xr:uid="{B5999DFE-F679-47A3-BBE8-144BBFBA3C67}"/>
    <hyperlink ref="H128" r:id="rId147" tooltip="https://docs.microsoft.com/azure/governance/policy/how-to/guest-configuration-create" display="More info" xr:uid="{773182B8-F0C4-437A-94DF-94AE919B9617}"/>
    <hyperlink ref="I128" r:id="rId148" tooltip="https://docs.microsoft.com/learn/paths/implement-resource-mgmt-security/" display="Training" xr:uid="{D1E16847-2D18-41CA-A6AE-5853827DD3BF}"/>
    <hyperlink ref="H129" r:id="rId149" tooltip="https://docs.microsoft.com/azure/automation/update-management/overview" display="More info" xr:uid="{AB5B699C-895F-42F4-B256-F78A4A3700C7}"/>
    <hyperlink ref="H130" r:id="rId150" tooltip="https://docs.microsoft.com/azure/network-watcher/network-watcher-monitoring-overview" display="More info" xr:uid="{1ABE1274-91C8-4A13-9CDE-45C0E19D4333}"/>
    <hyperlink ref="H131" r:id="rId151" tooltip="https://docs.microsoft.com/azure/azure-resource-manager/management/lock-resources?tabs=json" display="More info" xr:uid="{89D79754-61BB-4414-A40C-1A9AF9B1727A}"/>
    <hyperlink ref="H132" r:id="rId152" tooltip="https://docs.microsoft.com/azure/governance/policy/overview" display="More info" xr:uid="{243EEA8A-0D6B-4EDA-A13F-13CD7A9349A3}"/>
    <hyperlink ref="H133" r:id="rId153" tooltip="https://docs.microsoft.com/azure/service-health/alerts-activity-log-service-notifications-portal" display="More info" xr:uid="{07332235-484A-4063-89F6-BA10928FA450}"/>
    <hyperlink ref="H134" r:id="rId154" tooltip="https://docs.microsoft.com/azure/azure-monitor/alerts/action-groups" display="More info" xr:uid="{B43430C1-706D-4729-8676-E10C9F3BC837}"/>
    <hyperlink ref="H135" r:id="rId155" tooltip="https://docs.microsoft.com/azure/sentinel/quickstart-onboard" display="More info" xr:uid="{055B57A7-ED30-4FFA-B634-4140C307C7C9}"/>
    <hyperlink ref="H136" r:id="rId156" tooltip="https://docs.microsoft.com/azure/azure-monitor/logs/design-logs-deployment" display="More info" xr:uid="{34AEF588-DE8F-4633-A3CB-62D3E77C1EC3}"/>
    <hyperlink ref="H137" r:id="rId157" tooltip="https://docs.microsoft.com/azure/cloud-adoption-framework/ready/azure-setup-guide/monitoring-reporting?tabs=AzureMonitor" display="More info" xr:uid="{C37132DE-ECFD-4571-B0CF-09A264179D3F}"/>
    <hyperlink ref="H138" r:id="rId158" tooltip="https://docs.microsoft.com/azure/azure-monitor/agents/diagnostics-extension-overview" display="More info" xr:uid="{8690D5E8-D73A-4FE6-AD19-D1533F5A013D}"/>
    <hyperlink ref="H139" r:id="rId159" tooltip="https://docs.microsoft.com/azure/azure-monitor/alerts/alerts-overview" display="More info" xr:uid="{E42CE99E-FCE4-4140-81A0-46C5E0646411}"/>
    <hyperlink ref="H140" r:id="rId160" tooltip="https://docs.microsoft.com/azure/site-recovery/site-recovery-overview" display="More info" xr:uid="{09A1417C-7BED-4680-83E6-40D576229D4B}"/>
    <hyperlink ref="H141" r:id="rId161" tooltip="https://docs.microsoft.com/azure/architecture/framework/resiliency/backup-and-recovery" display="More info" xr:uid="{04D7C0EB-1534-4A30-8BAA-3E3954F2CC87}"/>
    <hyperlink ref="H142" r:id="rId162" tooltip="https://docs.microsoft.com/azure/backup/backup-center-overview" display="More info" xr:uid="{FC7CC2AD-FB86-4D86-B235-D98C675563DB}"/>
    <hyperlink ref="H143" r:id="rId163" tooltip="https://docs.microsoft.com/azure/architecture/best-practices/monitoring" display="More info" xr:uid="{6A6C73DA-A223-43FF-AB90-4D9B38668CDA}"/>
    <hyperlink ref="H144" r:id="rId164" tooltip="https://docs.microsoft.com/azure/key-vault/general/overview" display="More info" xr:uid="{BD49192A-6F88-4B88-9A3A-7E2A41EC0F3E}"/>
    <hyperlink ref="H145" r:id="rId165" tooltip="https://docs.microsoft.com/azure/key-vault/general/overview-throttling" display="More info" xr:uid="{FA5CDDB5-CF7F-4A88-B415-6F8FF5826914}"/>
    <hyperlink ref="H146" r:id="rId166" tooltip="https://docs.microsoft.com/azure/key-vault/general/best-practices" display="More info" xr:uid="{137ED3A6-2516-47C2-AD20-D44332522228}"/>
    <hyperlink ref="H147" r:id="rId167" tooltip="https://docs.microsoft.com/azure/key-vault/general/best-practices" display="More info" xr:uid="{5C804C04-E7B0-423C-B200-8EBBC1239B77}"/>
    <hyperlink ref="H148" r:id="rId168" tooltip="https://docs.microsoft.com/azure/key-vault/general/best-practices" display="More info" xr:uid="{45C8C640-6FD2-490A-ABD8-0245C239E63F}"/>
    <hyperlink ref="H149" r:id="rId169" tooltip="https://docs.microsoft.com/azure/key-vault/general/best-practices" display="More info" xr:uid="{2DF86B83-9325-4282-A5EA-377285E30E8D}"/>
    <hyperlink ref="H150" r:id="rId170" tooltip="https://docs.microsoft.com/azure/key-vault/general/best-practices" display="More info" xr:uid="{9BEC4B79-CB6B-4DA9-B012-F9A1985140A1}"/>
    <hyperlink ref="H151" r:id="rId171" tooltip="https://docs.microsoft.com/azure/key-vault/general/monitor-key-vault" display="More info" xr:uid="{41B4DE19-1C41-4308-86CD-2EAC7B9CD8B3}"/>
    <hyperlink ref="H152" r:id="rId172" tooltip="https://docs.microsoft.com/azure/key-vault/general/best-practices" display="More info" xr:uid="{413D4D33-1C24-4C3F-948D-D33EC99C67DE}"/>
    <hyperlink ref="H153" r:id="rId173" tooltip="https://docs.microsoft.com/azure/security/fundamentals/encryption-atrest" display="More info" xr:uid="{F17C408D-81D1-44A3-AFCE-E1F44F8B943B}"/>
    <hyperlink ref="H154" r:id="rId174" tooltip="https://docs.microsoft.com/azure/key-vault/general/best-practices" display="More info" xr:uid="{78F85B59-2DAF-4814-B20C-58680FB1B41A}"/>
    <hyperlink ref="H155" r:id="rId175" tooltip="https://docs.microsoft.com/azure/key-vault/general/best-practices" display="More info" xr:uid="{1F96B975-0FA8-4518-B85A-E07126A3D49F}"/>
    <hyperlink ref="H156" r:id="rId176" tooltip="https://docs.microsoft.com/azure/governance/policy/overview" display="More info" xr:uid="{4661FA51-40E0-4210-AA45-59775CF2F741}"/>
    <hyperlink ref="H157" r:id="rId177" tooltip="https://docs.microsoft.com/azure/cloud-adoption-framework/ready/azure-best-practices/naming-and-tagging" display="More info" xr:uid="{2A1CB488-6A67-4277-8CEA-99BFD4AA3B12}"/>
    <hyperlink ref="H158" r:id="rId178" tooltip="https://docs.microsoft.com/azure/governance/policy/overview" display="More info" xr:uid="{86A21461-9602-47F9-A2C7-E108544E59E1}"/>
    <hyperlink ref="H159" r:id="rId179" tooltip="https://docs.microsoft.com/azure/governance/policy/overview" display="More info" xr:uid="{83E17C8E-121E-4830-89F7-4AFB978383B4}"/>
    <hyperlink ref="H160" r:id="rId180" tooltip="https://docs.microsoft.com/azure/governance/policy/overview" display="More info" xr:uid="{23EA81CF-68EC-4AA8-9223-CFBE6C765FCD}"/>
    <hyperlink ref="H161" r:id="rId181" tooltip="https://docs.microsoft.com/azure/governance/policy/overview" display="More info" xr:uid="{04E0F366-F9CA-49FE-90F1-93060BD1487C}"/>
    <hyperlink ref="H162" r:id="rId182" tooltip="https://docs.microsoft.com/azure/governance/policy/overview" display="More info" xr:uid="{95D84548-C257-4800-A9DE-D758D03F497B}"/>
    <hyperlink ref="H163" r:id="rId183" tooltip="https://docs.microsoft.com/azure/governance/policy/overview" display="More info" xr:uid="{78F984C7-D58C-427D-A6CB-8132F2CCA0A7}"/>
    <hyperlink ref="H164" r:id="rId184" tooltip="https://docs.microsoft.com/azure/governance/policy/overview" display="More info" xr:uid="{9C0413E3-1C66-4DD3-922C-DC691A9E609E}"/>
    <hyperlink ref="H165" r:id="rId185" tooltip="https://docs.microsoft.com/azure/governance/policy/concepts/guest-configuration" display="More info" xr:uid="{579244A1-78EE-46EE-B88D-8B81638F942B}"/>
    <hyperlink ref="H166" r:id="rId186" location="monitoring-for-configuration-drift" tooltip="https://docs.microsoft.com/azure/cloud-adoption-framework/ready/landing-zone/design-area/management-operational-compliance#monitoring-for-configuration-drift" display="More info" xr:uid="{47C6DBE5-EF93-40E7-8B0A-494A64457433}"/>
    <hyperlink ref="H167" r:id="rId187" tooltip="https://docs.microsoft.com/azure/active-directory/reports-monitoring/overview-reports" display="More info" xr:uid="{F75FF7C3-00FA-4C7F-A95C-B34AA9BE2548}"/>
    <hyperlink ref="H168" r:id="rId188" tooltip="https://docs.microsoft.com/azure/azure-monitor/logs/logs-data-export?tabs=portal" display="More info" xr:uid="{0117D3C5-B491-4DF6-827C-A4BC2E472C24}"/>
    <hyperlink ref="H169" r:id="rId189" tooltip="https://docs.microsoft.com/azure/security-center/" display="More info" xr:uid="{A033F183-8745-450F-8ED1-CF83C82DB8B6}"/>
    <hyperlink ref="H170" r:id="rId190" tooltip="https://docs.microsoft.com/azure/security-center/" display="More info" xr:uid="{C5C3D5E4-7428-4734-9DB6-928E38B3D95D}"/>
    <hyperlink ref="H171" r:id="rId191" tooltip="https://docs.microsoft.com/azure/azure-monitor/logs/design-logs-deployment" display="More info" xr:uid="{442C9DFA-EEA0-4790-8EC3-007F37C360E3}"/>
    <hyperlink ref="I10" r:id="rId192" tooltip="https://docs.microsoft.com/learn/modules/azure-ad-privileged-identity-management/" display="Training" xr:uid="{43D90540-B3C5-4CC4-8F0E-1C4027A09088}"/>
    <hyperlink ref="I11" r:id="rId193" tooltip="https://docs.microsoft.com/learn/paths/implement-resource-mgmt-security/" display="Training" xr:uid="{585A5981-5989-4140-97A9-7E8D267BD52F}"/>
    <hyperlink ref="I12" r:id="rId194" tooltip="https://docs.microsoft.com/learn/modules/plan-implement-administer-conditional-access/" display="Training" xr:uid="{F1BE46BA-28A7-475D-B261-07D4B624F770}"/>
    <hyperlink ref="I13" r:id="rId195" tooltip="https://docs.microsoft.com/learn/modules/secure-aad-users-with-mfa/" display="Training" xr:uid="{C86DE1E5-81BF-4C04-9A8A-16436027D657}"/>
    <hyperlink ref="I14" r:id="rId196" tooltip="https://docs.microsoft.com/learn/paths/azure-administrator-manage-identities-governance/" display="Training" xr:uid="{7DAA61B4-376E-4DCA-AEF1-910EE62D4E21}"/>
    <hyperlink ref="I15" r:id="rId197" tooltip="https://docs.microsoft.com/learn/modules/azure-ad-privileged-identity-management/" display="Training" xr:uid="{00D19B5A-BEA8-42A6-BDD9-07B9E7B6966D}"/>
    <hyperlink ref="I16" r:id="rId198" tooltip="https://docs.microsoft.com/learn/modules/explore-basic-services-identity-types/" display="Training" xr:uid="{BDDDCBFD-F533-4220-9E23-44CB0C1EA521}"/>
    <hyperlink ref="I17" r:id="rId199" tooltip="https://docs.microsoft.com/learn/paths/manage-identity-and-access/" display="Training" xr:uid="{BC0FA2BE-CD95-4DDA-AFE4-7F8944871999}"/>
    <hyperlink ref="I18" r:id="rId200" tooltip="https://docs.microsoft.com/learn/modules/create-custom-azure-roles-with-rbac/" display="Training" xr:uid="{05CF177C-DB49-40E9-9E69-69C16B565915}"/>
    <hyperlink ref="I19" r:id="rId201" tooltip="https://docs.microsoft.com/learn/paths/secure-your-cloud-data/" display="Training" xr:uid="{02EA35BF-E322-46ED-9AE3-5FA4D6BA16D0}"/>
    <hyperlink ref="I20" r:id="rId202" tooltip="https://docs.microsoft.com/learn/modules/azure-active-directory/" display="Training" xr:uid="{EF92F056-4145-49F6-B6A8-A090304A5725}"/>
    <hyperlink ref="I21" r:id="rId203" tooltip="https://docs.microsoft.com/learn/modules/implement-hybrid-identity-windows-server/" display="Training" xr:uid="{8063F98A-78C0-4CEF-9500-E7FEC91BCE89}"/>
    <hyperlink ref="I22" r:id="rId204" tooltip="https://docs.microsoft.com/learn/paths/implement-windows-server-iaas-virtual-machine-identity/" display="Training" xr:uid="{BB18CEE0-A6D0-4D27-9C81-35981A85AD35}"/>
    <hyperlink ref="I23" r:id="rId205" tooltip="https://docs.microsoft.com/learn/paths/implement-applications-external-access-azure-ad/" display="Training" xr:uid="{43DC6E8C-5818-4D19-9A83-8464D64371F9}"/>
    <hyperlink ref="I24" r:id="rId206" tooltip="https://docs.microsoft.com/learn/modules/design-identity-security-strategy/" display="Training" xr:uid="{3A733501-8332-4C4E-8057-BDB0AFD28EB2}"/>
    <hyperlink ref="I25" r:id="rId207" tooltip="https://docs.microsoft.com/learn/modules/azure-architecture-fundamentals/" display="Training" xr:uid="{3046D9AF-DEC7-4506-B435-14AD95CDA64D}"/>
    <hyperlink ref="I26" r:id="rId208" tooltip="https://docs.microsoft.com/learn/paths/implement-resource-mgmt-security/" display="Training" xr:uid="{74EF31F9-A413-4099-AB51-106C0BB1BC4C}"/>
    <hyperlink ref="I27" r:id="rId209" tooltip="https://docs.microsoft.com/learn/paths/enterprise-scale-architecture/" display="Training" xr:uid="{21A085BA-44BC-49EC-8751-11492C836D7A}"/>
    <hyperlink ref="I28" r:id="rId210" tooltip="https://docs.microsoft.com/learn/paths/enterprise-scale-architecture/" display="Training" xr:uid="{0F24C3D5-ED9B-4281-958A-DF85D10A9246}"/>
    <hyperlink ref="I29" r:id="rId211" tooltip="https://docs.microsoft.com/learn/paths/enterprise-scale-architecture/" display="Training" xr:uid="{DD8ED9E7-14C4-48EE-9D83-541EA3F2A8C7}"/>
    <hyperlink ref="I35" r:id="rId212" tooltip="https://docs.microsoft.com/learn/paths/improve-reliability-modern-operations/" display="Training" xr:uid="{55FC7328-1A99-4835-A42D-888F09E817D3}"/>
    <hyperlink ref="I36" r:id="rId213" tooltip="https://docs.microsoft.com/learn/paths/monitor-usage-performance-availability-resources-azure-monitor/" display="Training" xr:uid="{7EFA79DE-E972-4577-9168-11BA329A59DC}"/>
    <hyperlink ref="I37" r:id="rId214" tooltip="https://docs.microsoft.com/learn/modules/azure-architecture-fundamentals/" display="Training" xr:uid="{4B6FD973-F378-42C7-B01F-17F8D5A965E5}"/>
    <hyperlink ref="I38" r:id="rId215" tooltip="https://docs.microsoft.com/learn/paths/control-spending-manage-bills/" display="Training" xr:uid="{2F97057A-BA54-4638-B4F6-69F12536ED35}"/>
    <hyperlink ref="I39" r:id="rId216" tooltip="https://docs.microsoft.com/learn/paths/enterprise-scale-architecture/" display="Training" xr:uid="{7DAD68BF-D213-45CA-B4A0-095E8910988D}"/>
    <hyperlink ref="I40" r:id="rId217" tooltip="https://docs.microsoft.com/learn/paths/implement-resource-mgmt-security/" display="Training" xr:uid="{289C140D-0FD7-4DD1-A84C-3C0FC0C75A0B}"/>
    <hyperlink ref="I41" r:id="rId218" tooltip="https://docs.microsoft.com/learn/paths/architect-network-infrastructure/" display="Training" xr:uid="{D0CD0513-7DAC-4506-9B4E-D06149733961}"/>
    <hyperlink ref="I42" r:id="rId219" tooltip="https://docs.microsoft.com/learn/paths/architect-network-infrastructure/" display="Training" xr:uid="{A7D289F8-1720-475F-AB5B-08E50EE1D6B4}"/>
    <hyperlink ref="I43" r:id="rId220" tooltip="https://docs.microsoft.com/learn/paths/architect-network-infrastructure/" display="Training" xr:uid="{EB2868E7-94A3-431F-AD72-5081520ADCB5}"/>
    <hyperlink ref="I44" r:id="rId221" tooltip="https://docs.microsoft.com/learn/paths/architect-network-infrastructure/" display="Training" xr:uid="{544CAB75-0148-42DC-B385-30EA546B98E5}"/>
    <hyperlink ref="I45" r:id="rId222" tooltip="https://docs.microsoft.com/learn/paths/az-104-manage-virtual-networks/" display="Training" xr:uid="{AF199EB9-A02B-49E1-90DD-B8A2E5B03CAD}"/>
    <hyperlink ref="I46" r:id="rId223" tooltip="https://docs.microsoft.com/learn/paths/az-104-manage-virtual-networks/" display="Training" xr:uid="{282E21DD-9B34-4F93-BF18-6B3A65D424D5}"/>
    <hyperlink ref="I47" r:id="rId224" tooltip="https://docs.microsoft.com/learn/paths/az-104-manage-virtual-networks/" display="Training" xr:uid="{61490442-411D-4AC5-A887-8F70CFDFE91B}"/>
    <hyperlink ref="I49" r:id="rId225" tooltip="https://docs.microsoft.com/learn/paths/az-104-manage-virtual-networks/" display="Training" xr:uid="{00695FE6-F01D-4D37-86AE-83E4DFA6BC3A}"/>
    <hyperlink ref="I50" r:id="rId226" tooltip="https://docs.microsoft.com/learn/modules/introduction-azure-virtual-wan/" display="Training" xr:uid="{78EFD562-5FC3-4D98-9C47-8D4518BF37C8}"/>
    <hyperlink ref="I53" r:id="rId227" tooltip="https://docs.microsoft.com/learn/modules/configure-expressroute-virtual-wan/" display="Training" xr:uid="{05EB7263-B151-47A8-866D-C9B3DD6E255C}"/>
    <hyperlink ref="I54" r:id="rId228" tooltip="https://docs.microsoft.com/learn/modules/design-implement-hybrid-networking/" display="Training" xr:uid="{78A9450B-82A4-4CBE-AFB1-390C3F4D0FD1}"/>
    <hyperlink ref="I55" r:id="rId229" tooltip="https://docs.microsoft.com/learn/modules/design-implement-hybrid-networking/" display="Training" xr:uid="{64B33AA8-158C-4D06-81F6-4C2143F48FF7}"/>
    <hyperlink ref="I57" r:id="rId230" tooltip="https://docs.microsoft.com/learn/paths/secure-networking-infrastructure/" display="Training" xr:uid="{0BC3EC10-9BD2-4515-979A-9294BFBF654F}"/>
    <hyperlink ref="I62" r:id="rId231" tooltip="https://docs.microsoft.com/learn/paths/architect-network-infrastructure/" display="Training" xr:uid="{10D64B31-9D93-4BAC-B510-E1ACB51716B3}"/>
    <hyperlink ref="I67" r:id="rId232" tooltip="https://docs.microsoft.com/learn/paths/azure-administrator-manage-virtual-networks/" display="Training" xr:uid="{8919EC6E-6124-4487-A33C-0F178B544D4E}"/>
    <hyperlink ref="I68" r:id="rId233" tooltip="https://docs.microsoft.com/learn/modules/design-implement-azure-expressroute/" display="Training" xr:uid="{5D5B1146-3CA3-4245-890C-18F2A42DE1FD}"/>
    <hyperlink ref="I69" r:id="rId234" tooltip="https://docs.microsoft.com/learn/modules/design-implement-network-monitoring/" display="Training" xr:uid="{05FC49AA-38C4-44A0-8722-9375BB91C646}"/>
    <hyperlink ref="I71" r:id="rId235" tooltip="https://docs.microsoft.com/learn/modules/design-implement-azure-expressroute/" display="Training" xr:uid="{0CC2A507-51F4-4148-A24F-AE0CC0C8054A}"/>
    <hyperlink ref="I72" r:id="rId236" tooltip="https://docs.microsoft.com/learn/modules/design-implement-azure-expressroute/" display="Training" xr:uid="{62C3E2CA-F218-4901-BCB3-D02061709DB1}"/>
    <hyperlink ref="I73" r:id="rId237" tooltip="https://docs.microsoft.com/learn/modules/design-implement-azure-expressroute/" display="Training" xr:uid="{0848D6FD-8034-4C04-AB5A-38B3E0AFD099}"/>
    <hyperlink ref="I74" r:id="rId238" tooltip="https://docs.microsoft.com/learn/modules/design-implement-azure-expressroute/" display="Training" xr:uid="{342680BA-4A43-45A8-9840-850B620F6C8B}"/>
    <hyperlink ref="I75" r:id="rId239" tooltip="https://docs.microsoft.com/learn/modules/design-implement-azure-expressroute/" display="Training" xr:uid="{8FEDFD3A-F19E-498A-8A82-8C546A72FB1C}"/>
    <hyperlink ref="I76" r:id="rId240" tooltip="https://docs.microsoft.com/learn/modules/design-implement-azure-expressroute/" display="Training" xr:uid="{42A357B3-1C5A-4CBE-A777-F6F1CA6608E5}"/>
    <hyperlink ref="I77" r:id="rId241" tooltip="https://docs.microsoft.com/learn/modules/design-implement-azure-expressroute/" display="Training" xr:uid="{28FA9C56-DAFE-407F-B37E-E83A24B7F4F9}"/>
    <hyperlink ref="I78" r:id="rId242" tooltip="https://docs.microsoft.com/learn/modules/design-implement-azure-expressroute/" display="Training" xr:uid="{7E93A091-4FD3-4AAB-AFF9-2091ACA601F1}"/>
    <hyperlink ref="I79" r:id="rId243" tooltip="https://docs.microsoft.com/learn/modules/design-implement-azure-expressroute/" display="Training" xr:uid="{939A4280-C4CB-4964-ACBA-259251ACA5E3}"/>
    <hyperlink ref="I80" r:id="rId244" tooltip="https://docs.microsoft.com/learn/modules/design-implement-azure-expressroute/" display="Training" xr:uid="{B9379661-5960-44FB-850F-0CA0F0C96F84}"/>
    <hyperlink ref="I81" r:id="rId245" tooltip="https://docs.microsoft.com/learn/modules/design-implement-azure-expressroute/" display="Training" xr:uid="{07DFE828-D0C4-4C51-BA86-0A91C2DA4021}"/>
    <hyperlink ref="I82" r:id="rId246" tooltip="https://docs.microsoft.com/learn/modules/design-implement-azure-expressroute/" display="Training" xr:uid="{362E207B-8CBD-43A2-9394-1164DAD7DD60}"/>
    <hyperlink ref="I83" r:id="rId247" tooltip="https://docs.microsoft.com/learn/modules/design-implement-private-access-to-azure-services/" display="Training" xr:uid="{DDBC136C-310E-472C-9DD0-EFBABA07D511}"/>
    <hyperlink ref="I84" r:id="rId248" tooltip="https://docs.microsoft.com/learn/paths/implement-network-security/?source=learn" display="Training" xr:uid="{5D809078-3D42-4F41-848D-3AF30F32D6E3}"/>
    <hyperlink ref="I85" r:id="rId249" tooltip="https://docs.microsoft.com/learn/paths/secure-application-delivery/" display="Training" xr:uid="{C0F5BC67-2034-417A-B405-5CD001235C66}"/>
    <hyperlink ref="I86" r:id="rId250" tooltip="https://docs.microsoft.com/learn/modules/design-implement-azure-expressroute/" display="Training" xr:uid="{BCD65C74-5B99-46E2-A635-F1126BB0FAF7}"/>
    <hyperlink ref="I87" r:id="rId251" tooltip="https://docs.microsoft.com/learn/paths/implement-network-security/?source=learn" display="Training" xr:uid="{8D6A37E7-F2A4-44C3-92A1-057608173587}"/>
    <hyperlink ref="I88" r:id="rId252" tooltip="https://docs.microsoft.com/learn/paths/implement-network-security/?source=learn" display="Training" xr:uid="{6F8C6042-86C3-43F3-96A1-EC30CBA5E3C2}"/>
    <hyperlink ref="I114" r:id="rId253" tooltip="https://docs.microsoft.com/learn/modules/design-implement-network-monitoring/" display="Training" xr:uid="{DC0E71A0-3B1E-4152-9DA8-D502A8897CC3}"/>
    <hyperlink ref="I118" r:id="rId254" tooltip="https://docs.microsoft.com/learn/paths/implement-network-security/" display="Training" xr:uid="{9585094C-C9FE-443F-B807-AD7017D762ED}"/>
    <hyperlink ref="I119" r:id="rId255" tooltip="https://docs.microsoft.com/learn/paths/implement-network-security/" display="Training" xr:uid="{46A4CEA9-C0A6-4609-A3F6-057701104512}"/>
    <hyperlink ref="I120" r:id="rId256" tooltip="https://docs.microsoft.com/learn/modules/design-implement-network-monitoring/" display="Training" xr:uid="{6690AA8F-AF22-47EB-A0CF-D4F3839C0FD9}"/>
    <hyperlink ref="H122" r:id="rId257" tooltip="https://docs.microsoft.com/azure/network-watcher/network-watcher-monitoring-overview" display="More info" xr:uid="{BE9772CF-1917-47FD-983A-C9ADCF68C8F5}"/>
    <hyperlink ref="I129" r:id="rId258" tooltip="https://docs.microsoft.com/learn/paths/azure-administrator-manage-compute-resources/" display="Training" xr:uid="{A6276280-0F45-4C90-91AE-33358F9EFBF7}"/>
    <hyperlink ref="I130" r:id="rId259" tooltip="https://docs.microsoft.com/learn/modules/configure-network-watcher/" display="Training" xr:uid="{704B4DB0-4DF8-4982-98E5-120DAD975B05}"/>
    <hyperlink ref="I131" r:id="rId260" tooltip="https://docs.microsoft.com/learn/paths/implement-resource-mgmt-security/" display="Training" xr:uid="{BEE6D1A8-7190-43F6-B02A-13D3F27ED96C}"/>
    <hyperlink ref="H172" r:id="rId261" tooltip="https://docs.microsoft.com/security/benchmark/azure/security-control-incident-response" display="More info" xr:uid="{060AA98F-6CF2-4DE0-8164-7F18C849274C}"/>
    <hyperlink ref="H173" r:id="rId262" tooltip="https://www.microsoft.com/security/business/zero-trust" display="More info" xr:uid="{6C7588FE-DD23-4D32-86A5-D37B538114D2}"/>
    <hyperlink ref="H174" r:id="rId263" tooltip="https://docs.microsoft.com/security/benchmark/azure/security-control-incident-response" display="More info" xr:uid="{3CBCD96C-6F3B-4040-9C12-81163165F2DE}"/>
    <hyperlink ref="H175" r:id="rId264" tooltip="https://docs.microsoft.com/security/benchmark/azure/security-control-incident-response" display="More info" xr:uid="{C17C2483-0E44-46EF-9A7C-A0876B9F94EB}"/>
    <hyperlink ref="H176" r:id="rId265" location="avoid-combining-traffic-manager-and-front-door" tooltip="https://learn.microsoft.com/azure/frontdoor/best-practices#avoid-combining-traffic-manager-and-front-door" display="More info" xr:uid="{93C6E7B3-59FB-4354-BB59-4284A8E8FFFE}"/>
    <hyperlink ref="H177" r:id="rId266" location="use-end-to-end-tls" tooltip="https://learn.microsoft.com/azure/frontdoor/best-practices#use-end-to-end-tls" display="More info" xr:uid="{875513FD-D68D-482A-AA8F-78266DAC5026}"/>
    <hyperlink ref="H178" r:id="rId267" location="use-http-to-https-redirection" tooltip="https://learn.microsoft.com/azure/frontdoor/best-practices#use-http-to-https-redirection" display="More info" xr:uid="{EA18C73D-E266-4FFD-84B1-D3D391771771}"/>
    <hyperlink ref="H179" r:id="rId268" location="use-managed-tls-certificates" tooltip="https://learn.microsoft.com/azure/frontdoor/best-practices#use-managed-tls-certificates" display="More info" xr:uid="{0EE52E27-AA23-43AD-A500-7A288C4258D7}"/>
    <hyperlink ref="H180" r:id="rId269" location="use-latest-version-for-customer-managed-certificates" tooltip="https://learn.microsoft.com/azure/frontdoor/best-practices#use-latest-version-for-customer-managed-certificates" display="More info" xr:uid="{55F3DA24-ACD8-4FEF-8BEC-EA729E756EB0}"/>
    <hyperlink ref="H181" r:id="rId270" location="use-the-same-domain-name-on-front-door-and-your-origin" tooltip="https://learn.microsoft.com/azure/frontdoor/best-practices#use-the-same-domain-name-on-front-door-and-your-origin" display="More info" xr:uid="{08E41A37-29E1-4881-B738-0CD99EFB3AC9}"/>
    <hyperlink ref="H182" r:id="rId271" location="enable-the-waf" tooltip="https://learn.microsoft.com/azure/frontdoor/best-practices#enable-the-waf" display="More info" xr:uid="{CC0A6C73-77FB-4548-B071-96F870DA3204}"/>
    <hyperlink ref="H183" r:id="rId272" location="disable-health-probes-when-theres-only-one-origin-in-an-origin-group" tooltip="https://learn.microsoft.com/azure/frontdoor/best-practices#disable-health-probes-when-theres-only-one-origin-in-an-origin-group" display="More info" xr:uid="{45AA01C5-DF09-43DB-BF37-CFBCAA5881C4}"/>
    <hyperlink ref="H184" r:id="rId273" location="select-good-health-probe-endpoints" tooltip="https://learn.microsoft.com/azure/frontdoor/best-practices#select-good-health-probe-endpoints" display="More info" xr:uid="{5FB98C0A-8DA3-4444-A2AD-6FB6784E0E1E}"/>
    <hyperlink ref="H185" r:id="rId274" location="use-head-health-probes" tooltip="https://learn.microsoft.com/azure/frontdoor/best-practices#use-head-health-probes" display="More info" xr:uid="{AC5A9131-04FD-4BA1-A745-B22A9175B14A}"/>
    <hyperlink ref="H186" r:id="rId275" location="tune-your-waf" tooltip="https://learn.microsoft.com/azure/web-application-firewall/afds/waf-front-door-best-practices#tune-your-waf" display="More info" xr:uid="{46871E82-144A-4D5A-AFED-BEE654EF6627}"/>
    <hyperlink ref="H187" r:id="rId276" location="use-prevention-mode" tooltip="https://learn.microsoft.com/azure/web-application-firewall/afds/waf-front-door-best-practices#use-prevention-mode" display="More info" xr:uid="{5462B972-682C-4828-849B-D31D33D59E1B}"/>
    <hyperlink ref="H188" r:id="rId277" location="define-your-waf-configuration-as-code" tooltip="https://learn.microsoft.com/azure/web-application-firewall/afds/waf-front-door-best-practices#define-your-waf-configuration-as-code" display="More info" xr:uid="{EFD23DAF-1C5D-47C7-B665-BC366FB27AF8}"/>
    <hyperlink ref="H189" r:id="rId278" location="enable-default-rule-sets" tooltip="https://learn.microsoft.com/azure/web-application-firewall/afds/waf-front-door-best-practices#enable-default-rule-sets" display="More info" xr:uid="{2E81F390-98B9-4023-9F8B-1D456ED12D73}"/>
    <hyperlink ref="H190" r:id="rId279" location="enable-bot-management-rules" tooltip="https://learn.microsoft.com/azure/web-application-firewall/afds/waf-front-door-best-practices#enable-bot-management-rules" display="More info" xr:uid="{C795DC17-90C2-4ED8-B2E1-5DD5910DE372}"/>
    <hyperlink ref="H191" r:id="rId280" location="use-the-latest-ruleset-versions" tooltip="https://learn.microsoft.com/azure/web-application-firewall/afds/waf-front-door-best-practices#use-the-latest-ruleset-versions" display="More info" xr:uid="{BE2744CC-AD3A-4720-A457-2BE70793F175}"/>
    <hyperlink ref="H192" r:id="rId281" location="add-rate-limiting" tooltip="https://learn.microsoft.com/azure/web-application-firewall/afds/waf-front-door-best-practices#add-rate-limiting" display="More info" xr:uid="{E5621AD2-313B-4B3D-AFF9-B8E4CE6C7979}"/>
    <hyperlink ref="H193" r:id="rId282" location="use-a-high-threshold-for-rate-limits" tooltip="https://learn.microsoft.com/azure/web-application-firewall/afds/waf-front-door-best-practices#use-a-high-threshold-for-rate-limits" display="More info" xr:uid="{063EE373-48EB-4AB7-8DB2-28F3B6D73EE0}"/>
    <hyperlink ref="H194" r:id="rId283" location="geo-filter-traffic" tooltip="https://learn.microsoft.com/azure/web-application-firewall/afds/waf-front-door-best-practices#geo-filter-traffic" display="More info" xr:uid="{62608695-AAC8-4F4E-97D4-2746A5441C0F}"/>
    <hyperlink ref="H195" r:id="rId284" location="specify-the-unknown-zz-location" tooltip="https://learn.microsoft.com/azure/web-application-firewall/afds/waf-front-door-best-practices#specify-the-unknown-zz-location" display="More info" xr:uid="{E82893A3-FA77-4671-A1A2-3545A52E6F8A}"/>
    <hyperlink ref="H196" r:id="rId285" location="add-diagnostic-settings-to-save-your-wafs-logs" tooltip="https://learn.microsoft.com/azure/web-application-firewall/afds/waf-front-door-best-practices#add-diagnostic-settings-to-save-your-wafs-logs" display="More info" xr:uid="{E44195E6-C983-43E5-8C5E-D92B3CCE823B}"/>
    <hyperlink ref="H197" r:id="rId286" location="send-logs-to-microsoft-sentinel" tooltip="https://learn.microsoft.com/azure/web-application-firewall/afds/waf-front-door-best-practices#send-logs-to-microsoft-sentinel" display="More info" xr:uid="{1FEAE3DB-0A36-45DC-A10A-ED154F2865D3}"/>
  </hyperlinks>
  <pageMargins left="0.7" right="0.7" top="0.75" bottom="0.75" header="0.3" footer="0.3"/>
  <pageSetup paperSize="9" orientation="portrait" horizontalDpi="4294967293" r:id="rId287"/>
  <drawing r:id="rId288"/>
  <legacyDrawing r:id="rId28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9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Values!$F$2:$F$11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11"/>
  <sheetViews>
    <sheetView workbookViewId="0">
      <selection activeCell="F11" sqref="F11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F7" t="s">
        <v>47</v>
      </c>
      <c r="J7" t="s">
        <v>60</v>
      </c>
    </row>
    <row r="8" spans="1:11">
      <c r="F8" t="s">
        <v>76</v>
      </c>
      <c r="J8" t="s">
        <v>77</v>
      </c>
    </row>
    <row r="9" spans="1:11">
      <c r="F9" t="s">
        <v>78</v>
      </c>
      <c r="J9" t="s">
        <v>79</v>
      </c>
    </row>
    <row r="10" spans="1:11">
      <c r="F10" t="s">
        <v>80</v>
      </c>
      <c r="J10" t="s">
        <v>81</v>
      </c>
    </row>
    <row r="11" spans="1:11">
      <c r="F11" t="s">
        <v>83</v>
      </c>
      <c r="J11" t="s">
        <v>82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2023-01-10T11:13:53Z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