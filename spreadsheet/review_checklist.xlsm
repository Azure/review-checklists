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F34212CF-FADC-4FE6-975D-DF2113D0D5E6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  <sheet name="ARG" sheetId="8" r:id="rId4"/>
  </sheets>
  <functionGroups builtInGroupCount="19"/>
  <definedNames>
    <definedName name="_xlnm._FilterDatabase" localSheetId="3" hidden="1">ARG!$A$7:$I$1235</definedName>
    <definedName name="_xlnm._FilterDatabase" localSheetId="1" hidden="1">Checklist!$A$9:$U$9</definedName>
    <definedName name="ChartWAFCost">OFFSET(INDEX(Dashboard!$H$51:$M$105,1,1),0, 3, COUNTA(Dashboard!$H$51:$H$105),1)</definedName>
    <definedName name="ChartWAFLabels">OFFSET(INDEX(Dashboard!$H$51:$M$105,1,1),0, 0, COUNTA(Dashboard!$H$51:$H$105),1)</definedName>
    <definedName name="ChartWAFOps">OFFSET(INDEX(Dashboard!$H$51:$M$105,1,1),0, 4, COUNTA(Dashboard!$H$51:$H$105),1)</definedName>
    <definedName name="ChartWAFPerf">OFFSET(INDEX(Dashboard!$H$51:$M$105,1,1),0, 5, COUNTA(Dashboard!$H$51:$H$105),1)</definedName>
    <definedName name="ChartWAFRel">OFFSET(INDEX(Dashboard!$H$51:$M$105,1,1),0, 1, COUNTA(Dashboard!$H$51:$H$105),1)</definedName>
    <definedName name="ChartWAFSec">OFFSET(INDEX(Dashboard!$H$51:$M$105,1,1),0, 2, COUNTA(Dashboard!$H$51:$H$105),1)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05" i="7" l="1"/>
  <c r="M105" i="7"/>
  <c r="M105" i="7" a="1"/>
  <c r="L105" i="7" a="1"/>
  <c r="L105" i="7" s="1"/>
  <c r="K105" i="7" a="1"/>
  <c r="K105" i="7" s="1"/>
  <c r="J105" i="7" a="1"/>
  <c r="J105" i="7" s="1"/>
  <c r="I105" i="7" a="1"/>
  <c r="I105" i="7" s="1"/>
  <c r="N104" i="7"/>
  <c r="M104" i="7" a="1"/>
  <c r="M104" i="7" s="1"/>
  <c r="L104" i="7" a="1"/>
  <c r="L104" i="7" s="1"/>
  <c r="K104" i="7" a="1"/>
  <c r="K104" i="7" s="1"/>
  <c r="J104" i="7"/>
  <c r="J104" i="7" a="1"/>
  <c r="I104" i="7"/>
  <c r="I104" i="7" a="1"/>
  <c r="N103" i="7"/>
  <c r="M103" i="7" a="1"/>
  <c r="M103" i="7" s="1"/>
  <c r="L103" i="7" a="1"/>
  <c r="L103" i="7" s="1"/>
  <c r="K103" i="7"/>
  <c r="K103" i="7" a="1"/>
  <c r="J103" i="7" a="1"/>
  <c r="J103" i="7" s="1"/>
  <c r="I103" i="7"/>
  <c r="I103" i="7" a="1"/>
  <c r="N102" i="7"/>
  <c r="M102" i="7" a="1"/>
  <c r="M102" i="7" s="1"/>
  <c r="L102" i="7"/>
  <c r="L102" i="7" a="1"/>
  <c r="K102" i="7" a="1"/>
  <c r="K102" i="7" s="1"/>
  <c r="J102" i="7" a="1"/>
  <c r="J102" i="7" s="1"/>
  <c r="I102" i="7" a="1"/>
  <c r="I102" i="7" s="1"/>
  <c r="N101" i="7"/>
  <c r="M101" i="7" a="1"/>
  <c r="M101" i="7" s="1"/>
  <c r="L101" i="7"/>
  <c r="L101" i="7" a="1"/>
  <c r="K101" i="7"/>
  <c r="K101" i="7" a="1"/>
  <c r="J101" i="7" a="1"/>
  <c r="J101" i="7" s="1"/>
  <c r="I101" i="7" a="1"/>
  <c r="I101" i="7" s="1"/>
  <c r="N100" i="7"/>
  <c r="M100" i="7" a="1"/>
  <c r="M100" i="7" s="1"/>
  <c r="L100" i="7" a="1"/>
  <c r="L100" i="7" s="1"/>
  <c r="K100" i="7" a="1"/>
  <c r="K100" i="7" s="1"/>
  <c r="J100" i="7" a="1"/>
  <c r="J100" i="7" s="1"/>
  <c r="I100" i="7" a="1"/>
  <c r="I100" i="7" s="1"/>
  <c r="N99" i="7"/>
  <c r="M99" i="7" a="1"/>
  <c r="M99" i="7" s="1"/>
  <c r="L99" i="7" a="1"/>
  <c r="L99" i="7" s="1"/>
  <c r="K99" i="7" a="1"/>
  <c r="K99" i="7" s="1"/>
  <c r="J99" i="7" a="1"/>
  <c r="J99" i="7" s="1"/>
  <c r="I99" i="7"/>
  <c r="I99" i="7" a="1"/>
  <c r="N98" i="7"/>
  <c r="M98" i="7" a="1"/>
  <c r="M98" i="7" s="1"/>
  <c r="L98" i="7" a="1"/>
  <c r="L98" i="7" s="1"/>
  <c r="K98" i="7"/>
  <c r="K98" i="7" a="1"/>
  <c r="J98" i="7"/>
  <c r="J98" i="7" a="1"/>
  <c r="I98" i="7" a="1"/>
  <c r="I98" i="7" s="1"/>
  <c r="N97" i="7"/>
  <c r="M97" i="7" a="1"/>
  <c r="M97" i="7" s="1"/>
  <c r="L97" i="7" a="1"/>
  <c r="L97" i="7" s="1"/>
  <c r="K97" i="7" a="1"/>
  <c r="K97" i="7" s="1"/>
  <c r="J97" i="7"/>
  <c r="J97" i="7" a="1"/>
  <c r="I97" i="7"/>
  <c r="I97" i="7" a="1"/>
  <c r="N96" i="7"/>
  <c r="M96" i="7"/>
  <c r="M96" i="7" a="1"/>
  <c r="L96" i="7" a="1"/>
  <c r="L96" i="7" s="1"/>
  <c r="K96" i="7" a="1"/>
  <c r="K96" i="7" s="1"/>
  <c r="J96" i="7" a="1"/>
  <c r="J96" i="7" s="1"/>
  <c r="I96" i="7" a="1"/>
  <c r="I96" i="7" s="1"/>
  <c r="M106" i="7"/>
  <c r="L106" i="7"/>
  <c r="K106" i="7"/>
  <c r="J106" i="7"/>
  <c r="I106" i="7"/>
  <c r="Y79" i="7"/>
  <c r="Z79" i="7" s="1"/>
  <c r="Y78" i="7"/>
  <c r="Z78" i="7" s="1"/>
  <c r="Y77" i="7"/>
  <c r="Z77" i="7" s="1"/>
  <c r="Y76" i="7"/>
  <c r="Z76" i="7" s="1"/>
  <c r="Y75" i="7"/>
  <c r="Z75" i="7" s="1"/>
  <c r="N95" i="7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N94" i="7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N93" i="7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N92" i="7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N91" i="7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O2" i="6"/>
  <c r="M50" i="7"/>
  <c r="L50" i="7"/>
  <c r="K50" i="7"/>
  <c r="J50" i="7"/>
  <c r="I50" i="7"/>
  <c r="H51" i="7" a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I11" i="7"/>
  <c r="I10" i="7"/>
  <c r="I9" i="7"/>
  <c r="I8" i="7"/>
  <c r="I7" i="7"/>
  <c r="I6" i="7"/>
  <c r="Z80" i="7" l="1"/>
  <c r="I90" i="7" a="1"/>
  <c r="I90" i="7" s="1"/>
  <c r="N90" i="7" s="1"/>
  <c r="J87" i="7" a="1"/>
  <c r="J87" i="7" s="1"/>
  <c r="M89" i="7" a="1"/>
  <c r="M89" i="7" s="1"/>
  <c r="I87" i="7" a="1"/>
  <c r="I87" i="7" s="1"/>
  <c r="L89" i="7" a="1"/>
  <c r="L89" i="7" s="1"/>
  <c r="K89" i="7" a="1"/>
  <c r="K89" i="7" s="1"/>
  <c r="M86" i="7" a="1"/>
  <c r="M86" i="7" s="1"/>
  <c r="J89" i="7" a="1"/>
  <c r="J89" i="7" s="1"/>
  <c r="L86" i="7" a="1"/>
  <c r="L86" i="7" s="1"/>
  <c r="I89" i="7" a="1"/>
  <c r="I89" i="7" s="1"/>
  <c r="N89" i="7" s="1"/>
  <c r="K86" i="7" a="1"/>
  <c r="K86" i="7" s="1"/>
  <c r="M88" i="7" a="1"/>
  <c r="M88" i="7" s="1"/>
  <c r="J86" i="7" a="1"/>
  <c r="J86" i="7" s="1"/>
  <c r="L88" i="7" a="1"/>
  <c r="L88" i="7" s="1"/>
  <c r="I86" i="7" a="1"/>
  <c r="I86" i="7" s="1"/>
  <c r="K88" i="7" a="1"/>
  <c r="K88" i="7" s="1"/>
  <c r="J88" i="7" a="1"/>
  <c r="J88" i="7" s="1"/>
  <c r="I88" i="7" a="1"/>
  <c r="I88" i="7" s="1"/>
  <c r="M87" i="7" a="1"/>
  <c r="M87" i="7" s="1"/>
  <c r="M90" i="7" a="1"/>
  <c r="M90" i="7" s="1"/>
  <c r="L87" i="7" a="1"/>
  <c r="L87" i="7" s="1"/>
  <c r="L90" i="7" a="1"/>
  <c r="L90" i="7" s="1"/>
  <c r="K90" i="7" a="1"/>
  <c r="K90" i="7" s="1"/>
  <c r="K87" i="7" a="1"/>
  <c r="K87" i="7" s="1"/>
  <c r="J90" i="7" a="1"/>
  <c r="J90" i="7" s="1"/>
  <c r="J85" i="7" a="1"/>
  <c r="J85" i="7" s="1"/>
  <c r="I85" i="7" a="1"/>
  <c r="I85" i="7" s="1"/>
  <c r="K85" i="7" a="1"/>
  <c r="K85" i="7" s="1"/>
  <c r="L85" i="7" a="1"/>
  <c r="L85" i="7" s="1"/>
  <c r="M85" i="7" a="1"/>
  <c r="M85" i="7" s="1"/>
  <c r="M81" i="7" a="1"/>
  <c r="M81" i="7" s="1"/>
  <c r="J84" i="7" a="1"/>
  <c r="J84" i="7" s="1"/>
  <c r="I84" i="7" a="1"/>
  <c r="I84" i="7" s="1"/>
  <c r="K84" i="7" a="1"/>
  <c r="K84" i="7" s="1"/>
  <c r="L84" i="7" a="1"/>
  <c r="L84" i="7" s="1"/>
  <c r="M84" i="7" a="1"/>
  <c r="M84" i="7" s="1"/>
  <c r="N12" i="7" a="1"/>
  <c r="N12" i="7" s="1"/>
  <c r="N11" i="7" a="1"/>
  <c r="N11" i="7" s="1"/>
  <c r="I83" i="7" a="1"/>
  <c r="I83" i="7" s="1"/>
  <c r="J83" i="7" a="1"/>
  <c r="J83" i="7" s="1"/>
  <c r="K83" i="7" a="1"/>
  <c r="K83" i="7" s="1"/>
  <c r="L83" i="7" a="1"/>
  <c r="L83" i="7" s="1"/>
  <c r="M83" i="7" a="1"/>
  <c r="M83" i="7" s="1"/>
  <c r="J82" i="7" a="1"/>
  <c r="J82" i="7" s="1"/>
  <c r="K82" i="7" a="1"/>
  <c r="K82" i="7" s="1"/>
  <c r="I82" i="7" a="1"/>
  <c r="I82" i="7" s="1"/>
  <c r="L82" i="7" a="1"/>
  <c r="L82" i="7" s="1"/>
  <c r="M82" i="7" a="1"/>
  <c r="M82" i="7" s="1"/>
  <c r="I80" i="7" a="1"/>
  <c r="I80" i="7" s="1"/>
  <c r="J80" i="7" a="1"/>
  <c r="J80" i="7" s="1"/>
  <c r="K80" i="7" a="1"/>
  <c r="K80" i="7" s="1"/>
  <c r="L80" i="7" a="1"/>
  <c r="L80" i="7" s="1"/>
  <c r="M80" i="7" a="1"/>
  <c r="M80" i="7" s="1"/>
  <c r="I81" i="7" a="1"/>
  <c r="I81" i="7" s="1"/>
  <c r="J81" i="7" a="1"/>
  <c r="J81" i="7" s="1"/>
  <c r="K81" i="7" a="1"/>
  <c r="K81" i="7" s="1"/>
  <c r="L81" i="7" a="1"/>
  <c r="L81" i="7" s="1"/>
  <c r="I79" i="7" a="1"/>
  <c r="I79" i="7" s="1"/>
  <c r="J79" i="7" a="1"/>
  <c r="J79" i="7" s="1"/>
  <c r="K79" i="7" a="1"/>
  <c r="K79" i="7" s="1"/>
  <c r="L79" i="7" a="1"/>
  <c r="L79" i="7" s="1"/>
  <c r="M79" i="7" a="1"/>
  <c r="M79" i="7" s="1"/>
  <c r="K76" i="7" a="1"/>
  <c r="K76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I75" i="7" a="1"/>
  <c r="I75" i="7" s="1"/>
  <c r="L76" i="7" a="1"/>
  <c r="L76" i="7" s="1"/>
  <c r="J75" i="7" a="1"/>
  <c r="J75" i="7" s="1"/>
  <c r="M76" i="7" a="1"/>
  <c r="M76" i="7" s="1"/>
  <c r="K75" i="7" a="1"/>
  <c r="K75" i="7" s="1"/>
  <c r="I77" i="7" a="1"/>
  <c r="I77" i="7" s="1"/>
  <c r="L75" i="7" a="1"/>
  <c r="L75" i="7" s="1"/>
  <c r="J77" i="7" a="1"/>
  <c r="J77" i="7" s="1"/>
  <c r="M75" i="7" a="1"/>
  <c r="M75" i="7" s="1"/>
  <c r="K77" i="7" a="1"/>
  <c r="K77" i="7" s="1"/>
  <c r="I76" i="7" a="1"/>
  <c r="I76" i="7" s="1"/>
  <c r="L77" i="7" a="1"/>
  <c r="L77" i="7" s="1"/>
  <c r="J76" i="7" a="1"/>
  <c r="J76" i="7" s="1"/>
  <c r="M77" i="7" a="1"/>
  <c r="M77" i="7" s="1"/>
  <c r="M65" i="7" a="1"/>
  <c r="M65" i="7" s="1"/>
  <c r="K67" i="7" a="1"/>
  <c r="K67" i="7" s="1"/>
  <c r="I69" i="7" a="1"/>
  <c r="I69" i="7" s="1"/>
  <c r="L70" i="7" a="1"/>
  <c r="L70" i="7" s="1"/>
  <c r="J72" i="7" a="1"/>
  <c r="J72" i="7" s="1"/>
  <c r="M73" i="7" a="1"/>
  <c r="M73" i="7" s="1"/>
  <c r="I66" i="7" a="1"/>
  <c r="I66" i="7" s="1"/>
  <c r="L67" i="7" a="1"/>
  <c r="L67" i="7" s="1"/>
  <c r="J69" i="7" a="1"/>
  <c r="J69" i="7" s="1"/>
  <c r="M70" i="7" a="1"/>
  <c r="M70" i="7" s="1"/>
  <c r="K72" i="7" a="1"/>
  <c r="K72" i="7" s="1"/>
  <c r="I74" i="7" a="1"/>
  <c r="I74" i="7" s="1"/>
  <c r="J66" i="7" a="1"/>
  <c r="J66" i="7" s="1"/>
  <c r="M67" i="7" a="1"/>
  <c r="M67" i="7" s="1"/>
  <c r="K69" i="7" a="1"/>
  <c r="K69" i="7" s="1"/>
  <c r="I71" i="7" a="1"/>
  <c r="I71" i="7" s="1"/>
  <c r="L72" i="7" a="1"/>
  <c r="L72" i="7" s="1"/>
  <c r="J74" i="7" a="1"/>
  <c r="J74" i="7" s="1"/>
  <c r="K66" i="7" a="1"/>
  <c r="K66" i="7" s="1"/>
  <c r="I68" i="7" a="1"/>
  <c r="I68" i="7" s="1"/>
  <c r="L69" i="7" a="1"/>
  <c r="L69" i="7" s="1"/>
  <c r="J71" i="7" a="1"/>
  <c r="J71" i="7" s="1"/>
  <c r="M72" i="7" a="1"/>
  <c r="M72" i="7" s="1"/>
  <c r="K74" i="7" a="1"/>
  <c r="K74" i="7" s="1"/>
  <c r="I65" i="7" a="1"/>
  <c r="I65" i="7" s="1"/>
  <c r="L66" i="7" a="1"/>
  <c r="L66" i="7" s="1"/>
  <c r="J68" i="7" a="1"/>
  <c r="J68" i="7" s="1"/>
  <c r="M69" i="7" a="1"/>
  <c r="M69" i="7" s="1"/>
  <c r="K71" i="7" a="1"/>
  <c r="K71" i="7" s="1"/>
  <c r="I73" i="7" a="1"/>
  <c r="I73" i="7" s="1"/>
  <c r="L74" i="7" a="1"/>
  <c r="L74" i="7" s="1"/>
  <c r="J65" i="7" a="1"/>
  <c r="J65" i="7" s="1"/>
  <c r="M66" i="7" a="1"/>
  <c r="M66" i="7" s="1"/>
  <c r="K68" i="7" a="1"/>
  <c r="K68" i="7" s="1"/>
  <c r="I70" i="7" a="1"/>
  <c r="I70" i="7" s="1"/>
  <c r="L71" i="7" a="1"/>
  <c r="L71" i="7" s="1"/>
  <c r="J73" i="7" a="1"/>
  <c r="J73" i="7" s="1"/>
  <c r="M74" i="7" a="1"/>
  <c r="M74" i="7" s="1"/>
  <c r="K65" i="7" a="1"/>
  <c r="K65" i="7" s="1"/>
  <c r="I67" i="7" a="1"/>
  <c r="I67" i="7" s="1"/>
  <c r="L68" i="7" a="1"/>
  <c r="L68" i="7" s="1"/>
  <c r="J70" i="7" a="1"/>
  <c r="J70" i="7" s="1"/>
  <c r="M71" i="7" a="1"/>
  <c r="M71" i="7" s="1"/>
  <c r="K73" i="7" a="1"/>
  <c r="K73" i="7" s="1"/>
  <c r="L65" i="7" a="1"/>
  <c r="L65" i="7" s="1"/>
  <c r="J67" i="7" a="1"/>
  <c r="J67" i="7" s="1"/>
  <c r="M68" i="7" a="1"/>
  <c r="M68" i="7" s="1"/>
  <c r="K70" i="7" a="1"/>
  <c r="K70" i="7" s="1"/>
  <c r="I72" i="7" a="1"/>
  <c r="I72" i="7" s="1"/>
  <c r="L73" i="7" a="1"/>
  <c r="L73" i="7" s="1"/>
  <c r="H51" i="7"/>
  <c r="L63" i="7" a="1"/>
  <c r="L63" i="7" s="1"/>
  <c r="I62" i="7" a="1"/>
  <c r="I62" i="7" s="1"/>
  <c r="K60" i="7" a="1"/>
  <c r="K60" i="7" s="1"/>
  <c r="M58" i="7" a="1"/>
  <c r="M58" i="7" s="1"/>
  <c r="J57" i="7" a="1"/>
  <c r="J57" i="7" s="1"/>
  <c r="L55" i="7" a="1"/>
  <c r="L55" i="7" s="1"/>
  <c r="I54" i="7" a="1"/>
  <c r="I54" i="7" s="1"/>
  <c r="K52" i="7" a="1"/>
  <c r="K52" i="7" s="1"/>
  <c r="K63" i="7" a="1"/>
  <c r="K63" i="7" s="1"/>
  <c r="M61" i="7" a="1"/>
  <c r="M61" i="7" s="1"/>
  <c r="J60" i="7" a="1"/>
  <c r="J60" i="7" s="1"/>
  <c r="L58" i="7" a="1"/>
  <c r="L58" i="7" s="1"/>
  <c r="I57" i="7" a="1"/>
  <c r="I57" i="7" s="1"/>
  <c r="K55" i="7" a="1"/>
  <c r="K55" i="7" s="1"/>
  <c r="M53" i="7" a="1"/>
  <c r="M53" i="7" s="1"/>
  <c r="J52" i="7" a="1"/>
  <c r="J52" i="7" s="1"/>
  <c r="M64" i="7" a="1"/>
  <c r="M64" i="7" s="1"/>
  <c r="J63" i="7" a="1"/>
  <c r="J63" i="7" s="1"/>
  <c r="L61" i="7" a="1"/>
  <c r="L61" i="7" s="1"/>
  <c r="I60" i="7" a="1"/>
  <c r="I60" i="7" s="1"/>
  <c r="K58" i="7" a="1"/>
  <c r="K58" i="7" s="1"/>
  <c r="M56" i="7" a="1"/>
  <c r="M56" i="7" s="1"/>
  <c r="J55" i="7" a="1"/>
  <c r="J55" i="7" s="1"/>
  <c r="L53" i="7" a="1"/>
  <c r="L53" i="7" s="1"/>
  <c r="I52" i="7" a="1"/>
  <c r="I52" i="7" s="1"/>
  <c r="L64" i="7" a="1"/>
  <c r="L64" i="7" s="1"/>
  <c r="I63" i="7" a="1"/>
  <c r="I63" i="7" s="1"/>
  <c r="K61" i="7" a="1"/>
  <c r="K61" i="7" s="1"/>
  <c r="M59" i="7" a="1"/>
  <c r="M59" i="7" s="1"/>
  <c r="J58" i="7" a="1"/>
  <c r="J58" i="7" s="1"/>
  <c r="L56" i="7" a="1"/>
  <c r="L56" i="7" s="1"/>
  <c r="I55" i="7" a="1"/>
  <c r="I55" i="7" s="1"/>
  <c r="K53" i="7" a="1"/>
  <c r="K53" i="7" s="1"/>
  <c r="K64" i="7" a="1"/>
  <c r="K64" i="7" s="1"/>
  <c r="M62" i="7" a="1"/>
  <c r="M62" i="7" s="1"/>
  <c r="J61" i="7" a="1"/>
  <c r="J61" i="7" s="1"/>
  <c r="L59" i="7" a="1"/>
  <c r="L59" i="7" s="1"/>
  <c r="I58" i="7" a="1"/>
  <c r="I58" i="7" s="1"/>
  <c r="K56" i="7" a="1"/>
  <c r="K56" i="7" s="1"/>
  <c r="M54" i="7" a="1"/>
  <c r="M54" i="7" s="1"/>
  <c r="J53" i="7" a="1"/>
  <c r="J53" i="7" s="1"/>
  <c r="J64" i="7" a="1"/>
  <c r="J64" i="7" s="1"/>
  <c r="L62" i="7" a="1"/>
  <c r="L62" i="7" s="1"/>
  <c r="I61" i="7" a="1"/>
  <c r="I61" i="7" s="1"/>
  <c r="K59" i="7" a="1"/>
  <c r="K59" i="7" s="1"/>
  <c r="M57" i="7" a="1"/>
  <c r="M57" i="7" s="1"/>
  <c r="J56" i="7" a="1"/>
  <c r="J56" i="7" s="1"/>
  <c r="L54" i="7" a="1"/>
  <c r="L54" i="7" s="1"/>
  <c r="I53" i="7" a="1"/>
  <c r="I53" i="7" s="1"/>
  <c r="I64" i="7" a="1"/>
  <c r="I64" i="7" s="1"/>
  <c r="K62" i="7" a="1"/>
  <c r="K62" i="7" s="1"/>
  <c r="M60" i="7" a="1"/>
  <c r="M60" i="7" s="1"/>
  <c r="J59" i="7" a="1"/>
  <c r="J59" i="7" s="1"/>
  <c r="L57" i="7" a="1"/>
  <c r="L57" i="7" s="1"/>
  <c r="I56" i="7" a="1"/>
  <c r="I56" i="7" s="1"/>
  <c r="K54" i="7" a="1"/>
  <c r="K54" i="7" s="1"/>
  <c r="M52" i="7" a="1"/>
  <c r="M52" i="7" s="1"/>
  <c r="L52" i="7" a="1"/>
  <c r="L52" i="7" s="1"/>
  <c r="J54" i="7" a="1"/>
  <c r="J54" i="7" s="1"/>
  <c r="M55" i="7" a="1"/>
  <c r="M55" i="7" s="1"/>
  <c r="K57" i="7" a="1"/>
  <c r="K57" i="7" s="1"/>
  <c r="I59" i="7" a="1"/>
  <c r="I59" i="7" s="1"/>
  <c r="L60" i="7" a="1"/>
  <c r="L60" i="7" s="1"/>
  <c r="J62" i="7" a="1"/>
  <c r="J62" i="7" s="1"/>
  <c r="M63" i="7" a="1"/>
  <c r="M63" i="7" s="1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86" i="7" l="1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M51" i="7" a="1"/>
  <c r="M51" i="7" s="1"/>
  <c r="L51" i="7" a="1"/>
  <c r="L51" i="7" s="1"/>
  <c r="K51" i="7" a="1"/>
  <c r="K51" i="7" s="1"/>
  <c r="J51" i="7" a="1"/>
  <c r="J51" i="7" s="1"/>
  <c r="I51" i="7" a="1"/>
  <c r="I51" i="7" s="1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106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<sst xmlns="http://schemas.openxmlformats.org/spreadsheetml/2006/main" count="208" uniqueCount="165">
  <si>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</si>
  <si>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</si>
  <si>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</si>
  <si>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</si>
  <si>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</si>
  <si>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</si>
  <si>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</si>
  <si>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</si>
  <si>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</si>
  <si>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</si>
  <si>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</si>
  <si>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</si>
  <si>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</si>
  <si>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</si>
  <si>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</si>
  <si>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</si>
  <si>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</si>
  <si>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</si>
  <si>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</si>
  <si>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</si>
  <si>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</si>
  <si>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</si>
  <si>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</si>
  <si>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</si>
  <si>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</si>
  <si>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</si>
  <si>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</si>
  <si>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</si>
  <si>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</si>
  <si>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</si>
  <si>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</si>
  <si>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</si>
  <si>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</si>
  <si>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</si>
  <si>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</si>
  <si>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</si>
  <si>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</si>
  <si>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</si>
  <si>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</si>
  <si>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</si>
  <si>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</si>
  <si>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</si>
  <si>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</si>
  <si>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</si>
  <si>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</si>
  <si>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</si>
  <si>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</si>
  <si>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</si>
  <si>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</si>
  <si>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</si>
  <si>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</si>
  <si>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</si>
  <si>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</si>
  <si>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</si>
  <si>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</si>
  <si>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</si>
  <si>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</si>
  <si>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</si>
  <si>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</si>
  <si>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</si>
  <si>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</si>
  <si>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</si>
  <si>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</si>
  <si>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</si>
  <si>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</si>
  <si>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</si>
  <si>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</si>
  <si>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</si>
  <si>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</si>
  <si>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</si>
  <si>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</si>
  <si>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</si>
  <si>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</si>
  <si>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</si>
  <si>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</si>
  <si>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</si>
  <si>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</si>
  <si>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</si>
  <si>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</si>
  <si>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</si>
  <si>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</si>
  <si>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</si>
  <si>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</si>
  <si>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</si>
  <si>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</si>
  <si>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</si>
  <si>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</si>
  <si>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</si>
  <si>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</si>
  <si>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</si>
  <si>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</si>
  <si>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</si>
  <si>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</si>
  <si>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</si>
  <si>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</si>
  <si>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</si>
  <si>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</si>
  <si>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</si>
  <si>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</si>
  <si>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</si>
  <si>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</si>
  <si>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</si>
  <si>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</si>
  <si>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</si>
  <si>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</si>
  <si>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</si>
  <si>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</si>
  <si>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</si>
  <si>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</si>
  <si>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</si>
  <si>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</si>
  <si>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</si>
  <si>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</si>
  <si>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</si>
  <si>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</si>
  <si>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</si>
  <si>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</si>
  <si>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</si>
  <si>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</si>
  <si>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</si>
  <si>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</si>
  <si>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</si>
  <si>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</si>
  <si>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</si>
  <si>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</si>
  <si>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</si>
  <si>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</si>
  <si>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</si>
  <si>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</si>
  <si>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</si>
  <si>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</si>
  <si>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</si>
  <si>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</si>
  <si>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</si>
  <si>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</si>
  <si>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</si>
  <si>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</si>
  <si>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</si>
  <si>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</si>
  <si>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</si>
  <si>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</si>
  <si>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</si>
  <si>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</si>
  <si>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</si>
  <si>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</si>
  <si>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</si>
  <si>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</si>
  <si>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</si>
  <si>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</si>
  <si>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</si>
  <si>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</si>
  <si>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</si>
  <si>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</si>
  <si>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</si>
  <si>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</si>
  <si>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</si>
  <si>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</si>
  <si>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</si>
  <si>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</si>
  <si>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</si>
  <si>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</si>
  <si>
    <t>Checks with ARG query</t>
  </si>
  <si>
    <t>WAF</t>
  </si>
  <si>
    <t>waf</t>
  </si>
  <si>
    <t>v1.5.1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</si>
</sst>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1" fillId="0" borderId="0" xfId="1" applyAlignment="1">
      <alignment horizontal="righ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3D-4159-A36B-7DE5099E9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Dashboard!$I$106:$M$106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1</xdr:row>
          <xdr:rowOff>619125</xdr:rowOff>
        </xdr:from>
        <xdr:to>
          <xdr:col>11</xdr:col>
          <xdr:colOff>600075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1</xdr:row>
          <xdr:rowOff>314325</xdr:rowOff>
        </xdr:from>
        <xdr:to>
          <xdr:col>11</xdr:col>
          <xdr:colOff>600075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4257675</xdr:colOff>
          <xdr:row>1</xdr:row>
          <xdr:rowOff>123825</xdr:rowOff>
        </xdr:from>
        <xdr:to>
          <xdr:col>14</xdr:col>
          <xdr:colOff>133350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3</xdr:row>
          <xdr:rowOff>0</xdr:rowOff>
        </xdr:from>
        <xdr:to>
          <xdr:col>11</xdr:col>
          <xdr:colOff>600075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1</xdr:row>
          <xdr:rowOff>323850</xdr:rowOff>
        </xdr:from>
        <xdr:to>
          <xdr:col>13</xdr:col>
          <xdr:colOff>676275</xdr:colOff>
          <xdr:row>1</xdr:row>
          <xdr:rowOff>590550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1</xdr:row>
          <xdr:rowOff>609600</xdr:rowOff>
        </xdr:from>
        <xdr:to>
          <xdr:col>13</xdr:col>
          <xdr:colOff>676275</xdr:colOff>
          <xdr:row>2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learn/modules/secure-aad-users-with-mfa/" TargetMode="External"/><Relationship Id="rId2875" Type="http://schemas.openxmlformats.org/officeDocument/2006/relationships/hyperlink" Target="https://learn.microsoft.com/azure/aks/use-ultra-disk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api-management/policy-fragments" TargetMode="External"/><Relationship Id="rId2735" Type="http://schemas.openxmlformats.org/officeDocument/2006/relationships/hyperlink" Target="https://learn.microsoft.com/azure/virtual-machines/managed-disks-overview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azure/aks/workload-identity-migration-sidecar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virtual-wan/about-virtual-hub-routing-preference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app-service/configure-custom-container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key-vault/general/best-practice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cloud-adoption-framework/ready/enterprise-scale/business-continuity-and-disaster-recovery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azure/storage/blobs/soft-delete-container-overview" TargetMode="External"/><Relationship Id="rId2846" Type="http://schemas.openxmlformats.org/officeDocument/2006/relationships/hyperlink" Target="https://learn.microsoft.com/azure/aks/cluster-configuration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azure/web-application-firewall/afds/waf-front-door-policy-setting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anagement-operational-compliance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github.com/Azure/review-checklists/issues/new" TargetMode="External"/><Relationship Id="rId2563" Type="http://schemas.openxmlformats.org/officeDocument/2006/relationships/hyperlink" Target="https://learn.microsoft.com/azure/api-management/mitigate-owasp-api-threats" TargetMode="External"/><Relationship Id="rId2770" Type="http://schemas.openxmlformats.org/officeDocument/2006/relationships/hyperlink" Target="https://dapr.io/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azure-monitor/alerts/action-groups" TargetMode="External"/><Relationship Id="rId2630" Type="http://schemas.openxmlformats.org/officeDocument/2006/relationships/hyperlink" Target="https://learn.microsoft.com/azure/spring-apps/how-to-configure-enterprise-spring-cloud-gateway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aks/configure-azure-cni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storage/blobs/data-protection-overview" TargetMode="External"/><Relationship Id="rId2674" Type="http://schemas.openxmlformats.org/officeDocument/2006/relationships/hyperlink" Target="https://learn.microsoft.com/learn/modules/explore-basic-services-identity-types/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2881" Type="http://schemas.openxmlformats.org/officeDocument/2006/relationships/vmlDrawing" Target="../drawings/vmlDrawing1.vm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1" Type="http://schemas.openxmlformats.org/officeDocument/2006/relationships/hyperlink" Target="https://learn.microsoft.com/azure/quotas/per-vm-quota-request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learn/paths/azure-administrator-manage-identities-governance/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governance/policy/overview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app-service/configure-custom-container" TargetMode="External"/><Relationship Id="rId2785" Type="http://schemas.openxmlformats.org/officeDocument/2006/relationships/hyperlink" Target="https://learn.microsoft.com/azure/aks/use-system-pools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reliability/availability-zones-overview" TargetMode="External"/><Relationship Id="rId2645" Type="http://schemas.openxmlformats.org/officeDocument/2006/relationships/hyperlink" Target="https://learn.microsoft.com/azure/storage/common/storage-sas-overview" TargetMode="External"/><Relationship Id="rId2852" Type="http://schemas.openxmlformats.org/officeDocument/2006/relationships/hyperlink" Target="https://learn.microsoft.com/azure/aks/spot-node-pool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key-vault/general/best-practices" TargetMode="External"/><Relationship Id="rId2712" Type="http://schemas.openxmlformats.org/officeDocument/2006/relationships/hyperlink" Target="https://learn.microsoft.com/azure/nat-gateway/nat-overview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app-service/networking-feature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learn/paths/secure-application-delivery/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pi-management/api-management-howto-autoscale" TargetMode="External"/><Relationship Id="rId2756" Type="http://schemas.openxmlformats.org/officeDocument/2006/relationships/hyperlink" Target="https://learn.microsoft.com/learn/paths/secure-application-delivery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azure-monitor/logs/design-logs-deployment" TargetMode="External"/><Relationship Id="rId2616" Type="http://schemas.openxmlformats.org/officeDocument/2006/relationships/hyperlink" Target="https://learn.microsoft.com/learn/paths/implement-applications-external-access-azure-ad/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azure/aks/concepts-network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considerations/devops-teams-topologies" TargetMode="External"/><Relationship Id="rId2680" Type="http://schemas.openxmlformats.org/officeDocument/2006/relationships/hyperlink" Target="https://learn.microsoft.com/learn/paths/implement-resource-mgmt-security/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api-management/upgrade-and-scale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en-us/industry/sovereignty/policy-portfolio-baseline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2867" Type="http://schemas.openxmlformats.org/officeDocument/2006/relationships/hyperlink" Target="https://learn.microsoft.com/azure/aks/concepts-scale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azure-cache-for-redis/cache-how-to-zone-redundancy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learn/modules/introduction-azure-virtual-wan/" TargetMode="External"/><Relationship Id="rId2584" Type="http://schemas.openxmlformats.org/officeDocument/2006/relationships/hyperlink" Target="https://learn.microsoft.com/azure/app-service/networking/app-gateway-with-service-endpoints" TargetMode="External"/><Relationship Id="rId2791" Type="http://schemas.openxmlformats.org/officeDocument/2006/relationships/hyperlink" Target="https://learn.microsoft.com/azure/aks/operator-best-practices-cluster-isolation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key-vault/general/overview-throttling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storage/common/sas-expiration-policy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key-vault/general/best-practice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azure/aks/certificate-rotation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update-manager/overview?tabs=azure-vm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learn/paths/secure-application-delivery/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2" Type="http://schemas.openxmlformats.org/officeDocument/2006/relationships/hyperlink" Target="https://learn.microsoft.com/learn/paths/implement-resource-mgmt-security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anagement-operational-compliance" TargetMode="External"/><Relationship Id="rId2622" Type="http://schemas.openxmlformats.org/officeDocument/2006/relationships/hyperlink" Target="https://learn.microsoft.com/azure/frontdoor/best-practices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azure.github.io/application-gateway-kubernetes-ingress/setup/install-existing/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learn/modules/secure-aad-users-with-mfa/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www.microsoft.com/en-gb/security/business/solutions/cloud-workload-protection" TargetMode="External"/><Relationship Id="rId2666" Type="http://schemas.openxmlformats.org/officeDocument/2006/relationships/hyperlink" Target="https://learn.microsoft.com/learn/modules/plan-implement-administer-conditional-access/" TargetMode="External"/><Relationship Id="rId2873" Type="http://schemas.openxmlformats.org/officeDocument/2006/relationships/hyperlink" Target="https://learn.microsoft.com/azure/aks/cluster-configuration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api-management/api-management-error-handling-policies" TargetMode="External"/><Relationship Id="rId2733" Type="http://schemas.openxmlformats.org/officeDocument/2006/relationships/hyperlink" Target="https://learn.microsoft.com/azure/virtual-machines/disks-types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learn.microsoft.com/azure/aks/manage-azure-rbac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virtual-wan/azure-monitor-insights" TargetMode="External"/><Relationship Id="rId2590" Type="http://schemas.openxmlformats.org/officeDocument/2006/relationships/hyperlink" Target="https://learn.microsoft.com/azure/defender-for-cloud/defender-for-app-service-introduction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key-vault/general/monitor-key-vault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container-registry/container-registry-geo-replication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azure/storage/blobs/soft-delete-blob-overview" TargetMode="External"/><Relationship Id="rId2844" Type="http://schemas.openxmlformats.org/officeDocument/2006/relationships/hyperlink" Target="https://learn.microsoft.com/azure/aks/node-auto-repair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azure/active-directory/app-proxy/application-proxy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automation/how-to/region-mapping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api-management/api-management-howto-mutual-certificates-for-client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governance/policy/overview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2888" Type="http://schemas.openxmlformats.org/officeDocument/2006/relationships/ctrlProp" Target="../ctrlProps/ctrlProp7.xm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backup/multi-user-authorization-concept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azure/service-bus-messaging/private-link-service" TargetMode="External"/><Relationship Id="rId2815" Type="http://schemas.openxmlformats.org/officeDocument/2006/relationships/hyperlink" Target="https://learn.microsoft.com/azure/expressroute/designing-for-disaster-recovery-with-expressroute-privatepeering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learn/paths/secure-your-cloud-data/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security" TargetMode="External"/><Relationship Id="rId2672" Type="http://schemas.openxmlformats.org/officeDocument/2006/relationships/hyperlink" Target="https://learn.microsoft.com/learn/modules/azure-ad-privileged-identity-management/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api-management/api-management-howto-use-azure-monitor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2859" Type="http://schemas.openxmlformats.org/officeDocument/2006/relationships/hyperlink" Target="https://learn.microsoft.com/azure/aks/load-balancer-standard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web-application-firewall/afds/waf-front-door-best-practice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learn/paths/implement-network-security/" TargetMode="External"/><Relationship Id="rId2576" Type="http://schemas.openxmlformats.org/officeDocument/2006/relationships/hyperlink" Target="https://learn.microsoft.com/azure/app-service/deploy-configure-credentials" TargetMode="External"/><Relationship Id="rId2783" Type="http://schemas.openxmlformats.org/officeDocument/2006/relationships/hyperlink" Target="https://learn.microsoft.com/azure/aks/start-stop-nodepools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architecture/framework/resiliency/backup-and-recovery" TargetMode="External"/><Relationship Id="rId2643" Type="http://schemas.openxmlformats.org/officeDocument/2006/relationships/hyperlink" Target="https://learn.microsoft.com/azure/storage/common/storage-require-secure-transfer" TargetMode="External"/><Relationship Id="rId2850" Type="http://schemas.openxmlformats.org/officeDocument/2006/relationships/hyperlink" Target="https://learn.microsoft.com/azure/aks/monitor-ak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key-vault/general/overview-throttling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azure/frontdoor/best-practices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app-service/networking-features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learn/paths/secure-application-delivery/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api-management/api-management-sample-flexible-throttling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learn/paths/secure-networking-infrastructure/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storage/common/storage-redundancy" TargetMode="External"/><Relationship Id="rId2614" Type="http://schemas.openxmlformats.org/officeDocument/2006/relationships/hyperlink" Target="https://learn.microsoft.com/learn/modules/configure-azure-ad-application-proxy/" TargetMode="External"/><Relationship Id="rId2821" Type="http://schemas.openxmlformats.org/officeDocument/2006/relationships/hyperlink" Target="https://learn.microsoft.com/azure/aks/use-byo-cni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platform-automation-devop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azure/aks/managed-aad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storage/blobs/secure-file-transfer-protocol-support" TargetMode="External"/><Relationship Id="rId2865" Type="http://schemas.openxmlformats.org/officeDocument/2006/relationships/hyperlink" Target="https://learn.microsoft.com/azure/aks/concepts-scale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mem/configmgr/protect/deploy-use/endpoint-protection" TargetMode="External"/><Relationship Id="rId2725" Type="http://schemas.openxmlformats.org/officeDocument/2006/relationships/hyperlink" Target="https://learn.microsoft.com/azure/web-application-firewall/afds/waf-front-door-best-practice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en-us/azure/virtual-network/network-security-group-how-it-works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app-service/networking/nat-gateway-integration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www.microsoft.com/security/business/zero-trust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azure.microsoft.com/resources/achieving-compliant-data-residency-and-security-with-azure/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en-us/azure/security/fundamentals/customer-lockbox-overview" TargetMode="External"/><Relationship Id="rId2671" Type="http://schemas.openxmlformats.org/officeDocument/2006/relationships/hyperlink" Target="https://learn.microsoft.com/azure/event-hubs/authenticate-managed-identity?tabs=latest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learn.microsoft.com/azure/azure-functions/functions-kubernetes-keda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api-management/api-management-howto-app-insights" TargetMode="External"/><Relationship Id="rId2629" Type="http://schemas.openxmlformats.org/officeDocument/2006/relationships/hyperlink" Target="https://learn.microsoft.com/azure/spring-apps/diagnostic-services" TargetMode="External"/><Relationship Id="rId2836" Type="http://schemas.openxmlformats.org/officeDocument/2006/relationships/hyperlink" Target="https://learn.microsoft.com/azure/azure-monitor/insights/container-insights-metric-alerts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update-manager/overview?tabs=azure-vms" TargetMode="External"/><Relationship Id="rId2693" Type="http://schemas.openxmlformats.org/officeDocument/2006/relationships/hyperlink" Target="https://learn.microsoft.com/learn/paths/secure-application-delivery/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0" Type="http://schemas.openxmlformats.org/officeDocument/2006/relationships/hyperlink" Target="https://learn.microsoft.com/learn/paths/implement-resource-mgmt-security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en-us/azure/governance/policy/concepts/effects" TargetMode="External"/><Relationship Id="rId2620" Type="http://schemas.openxmlformats.org/officeDocument/2006/relationships/hyperlink" Target="https://learn.microsoft.com/azure/frontdoor/best-practices" TargetMode="External"/><Relationship Id="rId2858" Type="http://schemas.openxmlformats.org/officeDocument/2006/relationships/hyperlink" Target="https://learn.microsoft.com/azure/virtual-machines/premium-storage-performance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azure/web-application-firewall/afds/waf-front-door-best-practice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web-application-firewall/ag/ag-overview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app-service/deploy-best-practices" TargetMode="External"/><Relationship Id="rId2782" Type="http://schemas.openxmlformats.org/officeDocument/2006/relationships/hyperlink" Target="https://learn.microsoft.com/azure/aks/gpu-multi-instance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site-recovery/site-recovery-overview" TargetMode="External"/><Relationship Id="rId2642" Type="http://schemas.openxmlformats.org/officeDocument/2006/relationships/hyperlink" Target="https://learn.microsoft.com/azure/storage/blobs/immutable-storage-overview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key-vault/general/overview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azure/aks/use-group-managed-service-accounts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learn/modules/plan-implement-administer-conditional-access/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defender-for-cloud/concept-cloud-security-posture-management" TargetMode="External"/><Relationship Id="rId2664" Type="http://schemas.openxmlformats.org/officeDocument/2006/relationships/hyperlink" Target="https://learn.microsoft.com/azure/storage/blobs/anonymous-read-access-configure?tabs=portal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2871" Type="http://schemas.openxmlformats.org/officeDocument/2006/relationships/hyperlink" Target="https://learn.microsoft.com/azure/aks/manage-abort-oper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storage/blobs/data-protection-overview" TargetMode="External"/><Relationship Id="rId2731" Type="http://schemas.openxmlformats.org/officeDocument/2006/relationships/hyperlink" Target="https://learn.microsoft.com/azure/virtual-machine-scale-sets/virtual-machine-scale-sets-automatic-instance-repairs" TargetMode="External"/><Relationship Id="rId2829" Type="http://schemas.openxmlformats.org/officeDocument/2006/relationships/hyperlink" Target="https://learn.microsoft.com/azure/aks/use-network-policies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learn/paths/secure-networking-infrastructure/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considerations/development-strategy-development-lifecycle" TargetMode="External"/><Relationship Id="rId2686" Type="http://schemas.openxmlformats.org/officeDocument/2006/relationships/hyperlink" Target="https://learn.microsoft.com/azure/application-gateway/configuration-infrastructure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api-management/api-management-howto-log-event-hubs" TargetMode="External"/><Relationship Id="rId2753" Type="http://schemas.openxmlformats.org/officeDocument/2006/relationships/hyperlink" Target="https://learn.microsoft.com/learn/paths/secure-networking-infrastructure/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reliability/cross-region-replication-azure" TargetMode="External"/><Relationship Id="rId2613" Type="http://schemas.openxmlformats.org/officeDocument/2006/relationships/hyperlink" Target="https://learn.microsoft.com/azure/active-directory/app-proxy/application-proxy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aks/configure-azure-cni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service-enablement-framework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5" Type="http://schemas.openxmlformats.org/officeDocument/2006/relationships/hyperlink" Target="https://learn.microsoft.com/azure/aks/uptime-sla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azure-monitor/alerts/alerts-overview" TargetMode="External"/><Relationship Id="rId2635" Type="http://schemas.openxmlformats.org/officeDocument/2006/relationships/hyperlink" Target="https://learn.microsoft.com/azure/virtual-machines/migration-classic-resource-manager-overview" TargetMode="External"/><Relationship Id="rId2842" Type="http://schemas.openxmlformats.org/officeDocument/2006/relationships/hyperlink" Target="https://learn.microsoft.com/azure/architecture/example-scenario/bedrock/bedrock-automated-deployments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azure/active-directory/app-proxy/application-proxy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azure-setup-guide/monitoring-reporting?tabs=AzureMonitor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2797" Type="http://schemas.openxmlformats.org/officeDocument/2006/relationships/hyperlink" Target="https://learn.microsoft.com/azure/aks/use-managed-identity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rest/api/storageservices/create-account-sa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2864" Type="http://schemas.openxmlformats.org/officeDocument/2006/relationships/hyperlink" Target="https://kubernetes.io/docs/tasks/configure-pod-container/configure-liveness-readiness-startup-probes/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www.microsoft.com/en-gb/security/business/solutions/cloud-workload-protection" TargetMode="External"/><Relationship Id="rId2724" Type="http://schemas.openxmlformats.org/officeDocument/2006/relationships/hyperlink" Target="https://learn.microsoft.com/azure/web-application-firewall/afds/waf-front-door-best-practice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en-us/azure/azure-resource-manager/management/azure-subscription-service-limits" TargetMode="External"/><Relationship Id="rId2581" Type="http://schemas.openxmlformats.org/officeDocument/2006/relationships/hyperlink" Target="https://learn.microsoft.com/azure/app-service/overview-vnet-integration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security/benchmark/azure/security-control-incident-response" TargetMode="External"/><Relationship Id="rId2679" Type="http://schemas.openxmlformats.org/officeDocument/2006/relationships/hyperlink" Target="https://learn.microsoft.com/azure/event-hubs/event-hubs-ip-filtering" TargetMode="External"/><Relationship Id="rId2886" Type="http://schemas.openxmlformats.org/officeDocument/2006/relationships/ctrlProp" Target="../ctrlProps/ctrlProp5.xm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pi-management/api-management-howto-properties?tabs=azure-portal" TargetMode="External"/><Relationship Id="rId2746" Type="http://schemas.openxmlformats.org/officeDocument/2006/relationships/hyperlink" Target="https://learn.microsoft.com/azure/storage/blobs/soft-delete-blob-enable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service-bus-messaging/monitor-service-bus-reference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aks/use-multiple-node-pool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governance/policy/overview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en-us/industry/sovereignty/transparency-logs" TargetMode="External"/><Relationship Id="rId2670" Type="http://schemas.openxmlformats.org/officeDocument/2006/relationships/hyperlink" Target="https://learn.microsoft.com/learn/paths/azure-administrator-manage-identities-governance/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api-management/api-management-howto-use-azure-monitor" TargetMode="External"/><Relationship Id="rId2768" Type="http://schemas.openxmlformats.org/officeDocument/2006/relationships/hyperlink" Target="https://learn.microsoft.com/azure/aks/use-windows-hpc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azure/spring-apps/concept-understand-app-and-deployment" TargetMode="External"/><Relationship Id="rId2835" Type="http://schemas.openxmlformats.org/officeDocument/2006/relationships/hyperlink" Target="https://learn.microsoft.com/azure/aks/servicemesh-about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anagement-operational-compliance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application-gateway/application-gateway-autoscaling-zone-redundant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api-management/front-door-api-management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en-us/azure/cloud-adoption-framework/govern/policy-compliance/regulatory-compliance" TargetMode="External"/><Relationship Id="rId2857" Type="http://schemas.openxmlformats.org/officeDocument/2006/relationships/hyperlink" Target="https://learn.microsoft.com/azure/aks/configure-azure-cni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frontdoor/best-practice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azure-best-practices/plan-for-landing-zone-network-segmentation" TargetMode="External"/><Relationship Id="rId2574" Type="http://schemas.openxmlformats.org/officeDocument/2006/relationships/hyperlink" Target="https://learn.microsoft.com/azure/app-service/overview-authentication-authorization" TargetMode="External"/><Relationship Id="rId2781" Type="http://schemas.openxmlformats.org/officeDocument/2006/relationships/hyperlink" Target="https://learn.microsoft.com/azure/aks/scale-down-mode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anagement-operational-compliance" TargetMode="External"/><Relationship Id="rId2879" Type="http://schemas.openxmlformats.org/officeDocument/2006/relationships/printerSettings" Target="../printerSettings/printerSettings2.bin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storage/common/lock-account-resource" TargetMode="External"/><Relationship Id="rId2739" Type="http://schemas.openxmlformats.org/officeDocument/2006/relationships/hyperlink" Target="https://learn.microsoft.com/azure/site-recovery/site-recovery-overview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load-balancer/load-balancer-overview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azure/aks/managed-aad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azure-best-practices/naming-and-tagging" TargetMode="External"/><Relationship Id="rId2596" Type="http://schemas.openxmlformats.org/officeDocument/2006/relationships/hyperlink" Target="https://learn.microsoft.com/azure/service-bus-messaging/configure-customer-managed-key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azure-monitor/logs/logs-data-export?tabs=portal" TargetMode="External"/><Relationship Id="rId2663" Type="http://schemas.openxmlformats.org/officeDocument/2006/relationships/hyperlink" Target="https://learn.microsoft.com/azure/storage/blobs/encryption-customer-provided-keys" TargetMode="External"/><Relationship Id="rId2870" Type="http://schemas.openxmlformats.org/officeDocument/2006/relationships/hyperlink" Target="https://learn.microsoft.com/azure/event-grid/event-schema-ak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storage/common/storage-require-secure-transfer" TargetMode="External"/><Relationship Id="rId2730" Type="http://schemas.openxmlformats.org/officeDocument/2006/relationships/hyperlink" Target="https://learn.microsoft.com/azure/azure-cache-for-redis/cache-how-to-geo-replication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azure/aks/private-cluster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virtual-wan/virtual-wan-about" TargetMode="External"/><Relationship Id="rId2478" Type="http://schemas.openxmlformats.org/officeDocument/2006/relationships/hyperlink" Target="https://learn.microsoft.com/azure/cloud-adoption-framework/ready/considerations/development-strategy-development-lifecycle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load-balancer/load-balancer-standard-availability-zones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52" Type="http://schemas.openxmlformats.org/officeDocument/2006/relationships/hyperlink" Target="https://learn.microsoft.com/azure/architecture/reference-architectures/dmz/nva-ha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web-application-firewall/afds/waf-front-door-best-practices" TargetMode="External"/><Relationship Id="rId2612" Type="http://schemas.openxmlformats.org/officeDocument/2006/relationships/hyperlink" Target="https://github.com/Azure/AzureCAT-AVS/tree/main/networking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4" Type="http://schemas.openxmlformats.org/officeDocument/2006/relationships/hyperlink" Target="https://learn.microsoft.com/azure/aks/availability-zones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azure-monitor/agents/diagnostics-extension-overview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storage/common/storage-private-endpoints" TargetMode="External"/><Relationship Id="rId2841" Type="http://schemas.openxmlformats.org/officeDocument/2006/relationships/hyperlink" Target="https://learn.microsoft.com/azure/aks/node-image-upgrade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learn/paths/secure-networking-infrastructure/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azure-monitor/logs/design-logs-deployment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app-service/configure-common" TargetMode="External"/><Relationship Id="rId2796" Type="http://schemas.openxmlformats.org/officeDocument/2006/relationships/hyperlink" Target="https://learn.microsoft.com/azure/defender-for-cloud/defender-for-containers-enable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key-vault/general/best-practices" TargetMode="External"/><Relationship Id="rId2656" Type="http://schemas.openxmlformats.org/officeDocument/2006/relationships/hyperlink" Target="https://learn.microsoft.com/rest/api/storageservices/delegate-access-with-shared-access-signature" TargetMode="External"/><Relationship Id="rId2863" Type="http://schemas.openxmlformats.org/officeDocument/2006/relationships/hyperlink" Target="https://learn.microsoft.com/azure/azure-resource-manager/management/azure-subscription-service-limit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defender-for-cloud/plan-defender-for-servers-select-plan" TargetMode="External"/><Relationship Id="rId2723" Type="http://schemas.openxmlformats.org/officeDocument/2006/relationships/hyperlink" Target="https://learn.microsoft.com/azure/web-application-firewall/afds/waf-front-door-best-practice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learn/modules/design-implement-network-monitoring/" TargetMode="External"/><Relationship Id="rId2580" Type="http://schemas.openxmlformats.org/officeDocument/2006/relationships/hyperlink" Target="https://learn.microsoft.com/azure/azure-monitor/essentials/activity-log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load-balancer/load-balancer-overview" TargetMode="External"/><Relationship Id="rId2678" Type="http://schemas.openxmlformats.org/officeDocument/2006/relationships/hyperlink" Target="https://learn.microsoft.com/learn/modules/azure-ad-privileged-identity-management/" TargetMode="External"/><Relationship Id="rId2885" Type="http://schemas.openxmlformats.org/officeDocument/2006/relationships/ctrlProp" Target="../ctrlProps/ctrlProp4.xm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api-management/backends" TargetMode="External"/><Relationship Id="rId2745" Type="http://schemas.openxmlformats.org/officeDocument/2006/relationships/hyperlink" Target="https://learn.microsoft.com/azure/storage/blobs/soft-delete-container-enable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learn/modules/explore-basic-services-identity-types/" TargetMode="External"/><Relationship Id="rId2812" Type="http://schemas.openxmlformats.org/officeDocument/2006/relationships/hyperlink" Target="https://learn.microsoft.com/azure/aks/load-balancer-standard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governance/policy/overview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azure-monitor/logs/design-logs-deployment" TargetMode="External"/><Relationship Id="rId2767" Type="http://schemas.openxmlformats.org/officeDocument/2006/relationships/hyperlink" Target="https://learn.microsoft.com/azure/architecture/reference-architectures/containers/aks/secure-baseline-aks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reliability/reliability-spring-apps" TargetMode="External"/><Relationship Id="rId2834" Type="http://schemas.openxmlformats.org/officeDocument/2006/relationships/hyperlink" Target="https://learn.microsoft.com/azure/aks/http-proxy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learn/paths/implement-resource-mgmt-security/" TargetMode="External"/><Relationship Id="rId2691" Type="http://schemas.openxmlformats.org/officeDocument/2006/relationships/hyperlink" Target="https://learn.microsoft.com/learn/paths/secure-networking-infrastructure/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api-management/retry-policy" TargetMode="External"/><Relationship Id="rId2789" Type="http://schemas.openxmlformats.org/officeDocument/2006/relationships/hyperlink" Target="https://learn.microsoft.com/azure/security-center/container-security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storage/blobs/blob-storage-monitoring-scenarios" TargetMode="External"/><Relationship Id="rId2856" Type="http://schemas.openxmlformats.org/officeDocument/2006/relationships/hyperlink" Target="https://learn.microsoft.com/azure/azure-monitor/containers/container-insights-analyze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learn/paths/architect-infrastructure-operations/" TargetMode="External"/><Relationship Id="rId2509" Type="http://schemas.openxmlformats.org/officeDocument/2006/relationships/hyperlink" Target="https://learn.microsoft.com/azure/key-vault/general/monitor-key-vault" TargetMode="External"/><Relationship Id="rId2716" Type="http://schemas.openxmlformats.org/officeDocument/2006/relationships/hyperlink" Target="https://learn.microsoft.com/azure/frontdoor/best-practice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virtual-network/service-tags-overview" TargetMode="External"/><Relationship Id="rId2573" Type="http://schemas.openxmlformats.org/officeDocument/2006/relationships/hyperlink" Target="https://learn.microsoft.com/azure/app-service/operating-system-functionality" TargetMode="External"/><Relationship Id="rId2780" Type="http://schemas.openxmlformats.org/officeDocument/2006/relationships/hyperlink" Target="https://learn.microsoft.com/azure/cloud-adoption-framework/scenarios/aks/eslz-cost-governance-with-kubecost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governance/policy/concepts/guest-configuration" TargetMode="External"/><Relationship Id="rId2640" Type="http://schemas.openxmlformats.org/officeDocument/2006/relationships/hyperlink" Target="https://learn.microsoft.com/azure/storage/blobs/soft-delete-container-enable" TargetMode="External"/><Relationship Id="rId2878" Type="http://schemas.openxmlformats.org/officeDocument/2006/relationships/hyperlink" Target="https://learn.microsoft.com/azure/aks/availability-zone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virtual-machines/availability" TargetMode="External"/><Relationship Id="rId2738" Type="http://schemas.openxmlformats.org/officeDocument/2006/relationships/hyperlink" Target="https://learn.microsoft.com/azure/virtual-machines/availability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azure/aks/managed-aad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governance/policy/overview" TargetMode="External"/><Relationship Id="rId2595" Type="http://schemas.openxmlformats.org/officeDocument/2006/relationships/hyperlink" Target="https://learn.microsoft.com/azure/app-service/overview-patch-os-runtime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active-directory/reports-monitoring/overview-reports" TargetMode="External"/><Relationship Id="rId2662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en-us/azure/security/fundamentals/customer-lockbox-overview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azure/aks/api-server-authorized-ip-range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considerations/infrastructure-as-code" TargetMode="External"/><Relationship Id="rId2684" Type="http://schemas.openxmlformats.org/officeDocument/2006/relationships/hyperlink" Target="https://learn.microsoft.com/azure/load-balancer/load-balancer-overview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en-us/azure/api-management/self-hosted-gateway-overview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data-integration/gateway/service-gateway-high-availability-clusters" TargetMode="External"/><Relationship Id="rId2849" Type="http://schemas.openxmlformats.org/officeDocument/2006/relationships/hyperlink" Target="https://learn.microsoft.com/virtualization/windowscontainers/deploy-containers/version-compatibility?tabs=windows-server-20H2%2Cwindows-10-20H2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web-application-firewall/afds/waf-front-door-best-practices" TargetMode="External"/><Relationship Id="rId2611" Type="http://schemas.openxmlformats.org/officeDocument/2006/relationships/hyperlink" Target="https://learn.microsoft.com/learn/paths/implement-resource-mgmt-security/" TargetMode="External"/><Relationship Id="rId2709" Type="http://schemas.openxmlformats.org/officeDocument/2006/relationships/hyperlink" Target="https://learn.microsoft.com/azure/frontdoor/best-practices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reliability/availability-zones-overview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virtual-network/vnet-integration-for-azure-services" TargetMode="External"/><Relationship Id="rId256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3" Type="http://schemas.openxmlformats.org/officeDocument/2006/relationships/hyperlink" Target="https://learn.microsoft.com/azure/aks/operator-best-practices-multi-region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azure-setup-guide/monitoring-reporting?tabs=AzureMonitor" TargetMode="External"/><Relationship Id="rId2633" Type="http://schemas.openxmlformats.org/officeDocument/2006/relationships/hyperlink" Target="https://learn.microsoft.com/security/benchmark/azure/baselines/storage-security-baseline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hyperlink" Target="https://learn.microsoft.com/azure/aks/node-updates-kured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azure/web-application-firewall/ag/ag-overview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learn/modules/configure-network-watcher/" TargetMode="External"/><Relationship Id="rId2588" Type="http://schemas.openxmlformats.org/officeDocument/2006/relationships/hyperlink" Target="https://learn.microsoft.com/azure/app-service/app-service-web-tutorial-rest-api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azure/confidential-computing/confidential-nodes-aks-overview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key-vault/general/best-practices" TargetMode="External"/><Relationship Id="rId2655" Type="http://schemas.openxmlformats.org/officeDocument/2006/relationships/hyperlink" Target="https://learn.microsoft.com/rest/api/storageservices/delegate-access-with-shared-access-signature" TargetMode="External"/><Relationship Id="rId2862" Type="http://schemas.openxmlformats.org/officeDocument/2006/relationships/hyperlink" Target="https://learn.microsoft.com/azure/aks/operator-best-practices-scheduler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defender-for-cloud/concept-cloud-security-posture-management" TargetMode="External"/><Relationship Id="rId2722" Type="http://schemas.openxmlformats.org/officeDocument/2006/relationships/hyperlink" Target="https://learn.microsoft.com/azure/web-application-firewall/afds/waf-front-door-best-practices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virtual-network/network-security-group-how-it-works" TargetMode="External"/><Relationship Id="rId2677" Type="http://schemas.openxmlformats.org/officeDocument/2006/relationships/hyperlink" Target="https://learn.microsoft.com/azure/event-hubs/private-link-service" TargetMode="External"/><Relationship Id="rId2884" Type="http://schemas.openxmlformats.org/officeDocument/2006/relationships/ctrlProp" Target="../ctrlProps/ctrlProp3.xm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api-management/api-management-howto-create-group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storage/common/lock-account-resource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service-bus-messaging/authenticate-application" TargetMode="External"/><Relationship Id="rId2811" Type="http://schemas.openxmlformats.org/officeDocument/2006/relationships/hyperlink" Target="https://learn.microsoft.com/azure/virtual-network/accelerated-networking-overview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governance/policy/overview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security-center/" TargetMode="External"/><Relationship Id="rId2699" Type="http://schemas.openxmlformats.org/officeDocument/2006/relationships/hyperlink" Target="https://learn.microsoft.com/learn/paths/secure-networking-infrastructure/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api-management/visual-studio-code-tutorial" TargetMode="External"/><Relationship Id="rId2766" Type="http://schemas.openxmlformats.org/officeDocument/2006/relationships/hyperlink" Target="https://learn.microsoft.com/azure/cloud-adoption-framework/ready/considerations/development-strategy-development-lifecycle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azure-resource-manager/management/lock-resources?tabs=json" TargetMode="External"/><Relationship Id="rId2626" Type="http://schemas.openxmlformats.org/officeDocument/2006/relationships/hyperlink" Target="https://learn.microsoft.com/azure/architecture/web-apps/spring-apps/architectures/spring-apps-multi-region" TargetMode="External"/><Relationship Id="rId2833" Type="http://schemas.openxmlformats.org/officeDocument/2006/relationships/hyperlink" Target="https://learn.microsoft.com/azure/virtual-network/ddos-protection-overview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governance/policy/how-to/guest-configuration-create" TargetMode="External"/><Relationship Id="rId2690" Type="http://schemas.openxmlformats.org/officeDocument/2006/relationships/hyperlink" Target="https://learn.microsoft.com/azure/web-application-firewall/ag/ag-overview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api-management/api-management-howto-provision-self-hosted-gateway" TargetMode="External"/><Relationship Id="rId2788" Type="http://schemas.openxmlformats.org/officeDocument/2006/relationships/hyperlink" Target="https://learn.microsoft.com/azure/security-center/container-security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azure-monitor/logs/data-retention-archive?tabs=portal-1%2Cportal-2" TargetMode="External"/><Relationship Id="rId2648" Type="http://schemas.openxmlformats.org/officeDocument/2006/relationships/hyperlink" Target="https://learn.microsoft.com/rest/api/storageservices/authorize-with-shared-key" TargetMode="External"/><Relationship Id="rId2855" Type="http://schemas.openxmlformats.org/officeDocument/2006/relationships/hyperlink" Target="https://learn.microsoft.com/azure/azure-monitor/insights/container-insights-overview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key-vault/general/best-practices" TargetMode="External"/><Relationship Id="rId2715" Type="http://schemas.openxmlformats.org/officeDocument/2006/relationships/hyperlink" Target="https://learn.microsoft.com/azure/frontdoor/best-practice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expressroute/expressroute-howto-add-gateway-resource-manager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app-service/overview-hosting-plans" TargetMode="External"/><Relationship Id="rId2877" Type="http://schemas.openxmlformats.org/officeDocument/2006/relationships/hyperlink" Target="https://learn.microsoft.com/azure/aks/operator-best-practices-storage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azure.github.io/azure-monitor-baseline-alerts/patterns/alz/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virtual-machines/availability-set-overview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azure/aks/managed-aad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virtual-wan/virtual-wan-faq" TargetMode="External"/><Relationship Id="rId2594" Type="http://schemas.openxmlformats.org/officeDocument/2006/relationships/hyperlink" Target="https://learn.microsoft.com/azure/architecture/solution-ideas/articles/devsecops-in-azure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en-us/industry/sovereignty/key-management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azure/storage/common/storage-service-encryption" TargetMode="External"/><Relationship Id="rId2759" Type="http://schemas.openxmlformats.org/officeDocument/2006/relationships/hyperlink" Target="https://learn.microsoft.com/learn/paths/implement-network-security/?source=learn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en-us/industry/sovereignty/transparency-logs" TargetMode="External"/><Relationship Id="rId2619" Type="http://schemas.openxmlformats.org/officeDocument/2006/relationships/hyperlink" Target="https://learn.microsoft.com/azure/frontdoor/best-practices" TargetMode="External"/><Relationship Id="rId2826" Type="http://schemas.openxmlformats.org/officeDocument/2006/relationships/hyperlink" Target="https://learn.microsoft.com/azure/aks/limit-egress-traffic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subscription-vending" TargetMode="External"/><Relationship Id="rId2683" Type="http://schemas.openxmlformats.org/officeDocument/2006/relationships/hyperlink" Target="https://learn.microsoft.com/learn/paths/secure-application-delivery/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pi-management/high-availability" TargetMode="External"/><Relationship Id="rId2750" Type="http://schemas.openxmlformats.org/officeDocument/2006/relationships/hyperlink" Target="https://learn.microsoft.com/azure/dns/tutorial-dns-private-resolver-failover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2848" Type="http://schemas.openxmlformats.org/officeDocument/2006/relationships/hyperlink" Target="https://learn.microsoft.com/azure-stack/aks-hci/adapt-apps-mixed-os-cluster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azure/service-bus-messaging/service-bus-ip-filtering" TargetMode="External"/><Relationship Id="rId2708" Type="http://schemas.openxmlformats.org/officeDocument/2006/relationships/hyperlink" Target="https://learn.microsoft.com/azure/frontdoor/best-practices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backup/backup-center-overview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en-us/azure/firewall-manager/migrate-to-policy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api-management/api-management-howto-manage-protocols-ciphers" TargetMode="External"/><Relationship Id="rId2772" Type="http://schemas.openxmlformats.org/officeDocument/2006/relationships/hyperlink" Target="https://learn.microsoft.com/azure/cloud-adoption-framework/ready/enterprise-scale/business-continuity-and-disaster-recovery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azure-monitor/logs/design-logs-deployment" TargetMode="External"/><Relationship Id="rId2632" Type="http://schemas.openxmlformats.org/officeDocument/2006/relationships/hyperlink" Target="https://learn.microsoft.com/azure/spring-apps/overview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pp-service/configure-ssl-bindings" TargetMode="External"/><Relationship Id="rId2794" Type="http://schemas.openxmlformats.org/officeDocument/2006/relationships/hyperlink" Target="https://learn.microsoft.com/azure/aks/use-kms-etcd-encryption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key-vault/general/best-practice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azure/architecture/framework/security/design-storage-keys" TargetMode="External"/><Relationship Id="rId2861" Type="http://schemas.openxmlformats.org/officeDocument/2006/relationships/hyperlink" Target="https://learn.microsoft.com/azure/aks/operator-best-practices-scheduler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active-directory/reports-monitoring/overview-reports" TargetMode="External"/><Relationship Id="rId2721" Type="http://schemas.openxmlformats.org/officeDocument/2006/relationships/hyperlink" Target="https://learn.microsoft.com/azure/web-application-firewall/afds/waf-front-door-best-practices" TargetMode="External"/><Relationship Id="rId2819" Type="http://schemas.openxmlformats.org/officeDocument/2006/relationships/hyperlink" Target="https://learn.microsoft.com/azure/aks/internal-lb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learn/paths/implement-network-security/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service-enablement-framework" TargetMode="External"/><Relationship Id="rId2676" Type="http://schemas.openxmlformats.org/officeDocument/2006/relationships/hyperlink" Target="https://learn.microsoft.com/learn/paths/manage-identity-and-access/" TargetMode="External"/><Relationship Id="rId2883" Type="http://schemas.openxmlformats.org/officeDocument/2006/relationships/ctrlProp" Target="../ctrlProps/ctrlProp2.xm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api-management/api-management-howto-aad" TargetMode="External"/><Relationship Id="rId2743" Type="http://schemas.openxmlformats.org/officeDocument/2006/relationships/hyperlink" Target="https://learn.microsoft.com/azure/storage/common/storage-redundancy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learn/modules/azure-ad-privileged-identity-management/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azure/aks/http-application-routing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security/benchmark/azure/mcsb-asset-management" TargetMode="External"/><Relationship Id="rId2698" Type="http://schemas.openxmlformats.org/officeDocument/2006/relationships/hyperlink" Target="https://learn.microsoft.com/azure/ddos-protection/ddos-protection-overview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mem/configmgr/protect/deploy-use/endpoint-protection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azure/cloud-adoption-framework/scenarios/app-platform/api-management/platform-automation-and-devops" TargetMode="External"/><Relationship Id="rId2765" Type="http://schemas.openxmlformats.org/officeDocument/2006/relationships/hyperlink" Target="https://learn.microsoft.com/azure/key-vault/general/best-practices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learn/modules/configure-network-watcher/" TargetMode="External"/><Relationship Id="rId2625" Type="http://schemas.openxmlformats.org/officeDocument/2006/relationships/hyperlink" Target="https://learn.microsoft.com/azure/spring-apps/concepts-blue-green-deployment-strategies" TargetMode="External"/><Relationship Id="rId2832" Type="http://schemas.openxmlformats.org/officeDocument/2006/relationships/hyperlink" Target="https://learn.microsoft.com/azure/aks/operator-best-practices-network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considerations/landing-zone-security" TargetMode="External"/><Relationship Id="rId2787" Type="http://schemas.openxmlformats.org/officeDocument/2006/relationships/hyperlink" Target="https://learn.microsoft.com/azure/container-registry/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storage/common/storage-sas-overview?toc=%2Fazure%2Fstorage%2Fblobs%2Ftoc.json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2854" Type="http://schemas.openxmlformats.org/officeDocument/2006/relationships/hyperlink" Target="https://learn.microsoft.com/azure/azure-monitor/insights/container-insights-overview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key-vault/general/best-practices" TargetMode="External"/><Relationship Id="rId2714" Type="http://schemas.openxmlformats.org/officeDocument/2006/relationships/hyperlink" Target="https://learn.microsoft.com/azure/web-application-firewall/afds/waf-front-door-best-practices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firewall/firewall-faq" TargetMode="External"/><Relationship Id="rId2571" Type="http://schemas.openxmlformats.org/officeDocument/2006/relationships/hyperlink" Target="https://learn.microsoft.com/azure/app-service/configure-ssl-certificate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azure/event-hubs/authorize-access-shared-access-signature" TargetMode="External"/><Relationship Id="rId2876" Type="http://schemas.openxmlformats.org/officeDocument/2006/relationships/hyperlink" Target="https://learn.microsoft.com/azure/aks/operator-best-practices-multi-region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en-us/azure/cloud-adoption-framework/ready/landing-zone/design-area/management-monitor" TargetMode="External"/><Relationship Id="rId2529" Type="http://schemas.openxmlformats.org/officeDocument/2006/relationships/hyperlink" Target="https://learn.microsoft.com/azure/api-management/monetization-support" TargetMode="External"/><Relationship Id="rId2736" Type="http://schemas.openxmlformats.org/officeDocument/2006/relationships/hyperlink" Target="https://learn.microsoft.com/azure/reliability/availability-zones-overview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azure/aks/managed-aad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virtual-wan/about-virtual-hub-routing" TargetMode="External"/><Relationship Id="rId2593" Type="http://schemas.openxmlformats.org/officeDocument/2006/relationships/hyperlink" Target="https://learn.microsoft.com/azure/security/fundamentals/pen-testing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key-vault/general/best-practices" TargetMode="External"/><Relationship Id="rId2660" Type="http://schemas.openxmlformats.org/officeDocument/2006/relationships/hyperlink" Target="https://learn.microsoft.com/rest/api/storageservices/cross-origin-resource-sharing--cors--support-for-the-azure-storage-services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azure-monitor/logs/design-logs-deployment" TargetMode="External"/><Relationship Id="rId2758" Type="http://schemas.openxmlformats.org/officeDocument/2006/relationships/hyperlink" Target="https://learn.microsoft.com/learn/paths/implement-network-security/?source=learn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frontdoor/best-practices" TargetMode="External"/><Relationship Id="rId2825" Type="http://schemas.openxmlformats.org/officeDocument/2006/relationships/hyperlink" Target="https://learn.microsoft.com/azure/aks/configure-azure-cni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considerations/development-strategy-development-lifecycle" TargetMode="External"/><Relationship Id="rId2682" Type="http://schemas.openxmlformats.org/officeDocument/2006/relationships/hyperlink" Target="https://learn.microsoft.com/azure/application-gateway/overview-v2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api-management/api-management-howto-deploy-multi-region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virtual-machine-scale-sets/overview" TargetMode="External"/><Relationship Id="rId2847" Type="http://schemas.openxmlformats.org/officeDocument/2006/relationships/hyperlink" Target="https://kubernetes.io/docs/setup/release/notes/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frontdoor/best-practice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site-recovery/site-recovery-overview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en-us/azure/firewall/firewall-structured-logs" TargetMode="External"/><Relationship Id="rId2564" Type="http://schemas.openxmlformats.org/officeDocument/2006/relationships/hyperlink" Target="https://learn.microsoft.com/azure/api-management/authorizations-overview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azure/developer/terraform/create-k8s-cluster-with-tf-and-aks" TargetMode="External"/><Relationship Id="rId2869" Type="http://schemas.openxmlformats.org/officeDocument/2006/relationships/hyperlink" Target="https://learn.microsoft.com/azure/aks/quotas-skus-reg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sentinel/quickstart-onboard" TargetMode="External"/><Relationship Id="rId2631" Type="http://schemas.openxmlformats.org/officeDocument/2006/relationships/hyperlink" Target="https://learn.microsoft.com/azure/spring-apps/how-to-setup-autoscale" TargetMode="External"/><Relationship Id="rId2729" Type="http://schemas.openxmlformats.org/officeDocument/2006/relationships/hyperlink" Target="https://learn.microsoft.com/azure/azure-cache-for-redis/cache-how-to-premium-persistence?tabs=premium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virtual-wan/virtual-wan-about" TargetMode="External"/><Relationship Id="rId2586" Type="http://schemas.openxmlformats.org/officeDocument/2006/relationships/hyperlink" Target="https://learn.microsoft.com/azure/app-service/configure-ssl-bindings" TargetMode="External"/><Relationship Id="rId2793" Type="http://schemas.openxmlformats.org/officeDocument/2006/relationships/hyperlink" Target="https://learn.microsoft.com/azure/aks/update-credentials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key-vault/general/best-practices" TargetMode="External"/><Relationship Id="rId2653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2860" Type="http://schemas.openxmlformats.org/officeDocument/2006/relationships/hyperlink" Target="https://learn.microsoft.com/azure/aks/aks-resource-health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en-us/industry/sovereignty/key-management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azure/web-application-firewall/afds/waf-front-door-best-practices" TargetMode="External"/><Relationship Id="rId2818" Type="http://schemas.openxmlformats.org/officeDocument/2006/relationships/hyperlink" Target="https://learn.microsoft.com/azure/aks/configure-azure-cni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virtual-network/network-security-group-how-it-work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active-directory/roles/security-planning" TargetMode="External"/><Relationship Id="rId2675" Type="http://schemas.openxmlformats.org/officeDocument/2006/relationships/hyperlink" Target="https://learn.microsoft.com/azure/event-hubs/monitor-event-hubs-reference" TargetMode="External"/><Relationship Id="rId2882" Type="http://schemas.openxmlformats.org/officeDocument/2006/relationships/ctrlProp" Target="../ctrlProps/ctrlProp1.xm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2" Type="http://schemas.openxmlformats.org/officeDocument/2006/relationships/hyperlink" Target="https://learn.microsoft.com/azure/virtual-machines/windows/scheduled-event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service-bus-messaging/service-bus-managed-service-identity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governance/policy/overview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learn/paths/secure-networking-infrastructure/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api-management/automation-manage-api-management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network-watcher/network-watcher-monitoring-overview" TargetMode="External"/><Relationship Id="rId2764" Type="http://schemas.openxmlformats.org/officeDocument/2006/relationships/hyperlink" Target="https://learn.microsoft.com/azure/update-manager/overview?tabs=azure-vms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azure/frontdoor/best-practices" TargetMode="External"/><Relationship Id="rId2831" Type="http://schemas.openxmlformats.org/officeDocument/2006/relationships/hyperlink" Target="https://learn.microsoft.com/azure/aks/operator-best-practices-network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considerations/infrastructure-as-code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app-service/troubleshoot-diagnostic-logs" TargetMode="External"/><Relationship Id="rId2786" Type="http://schemas.openxmlformats.org/officeDocument/2006/relationships/hyperlink" Target="https://learn.microsoft.com/azure/aks/use-system-pools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virtual-machines/availability" TargetMode="External"/><Relationship Id="rId2646" Type="http://schemas.openxmlformats.org/officeDocument/2006/relationships/hyperlink" Target="https://learn.microsoft.com/azure/storage/common/authorize-data-access" TargetMode="External"/><Relationship Id="rId2853" Type="http://schemas.openxmlformats.org/officeDocument/2006/relationships/hyperlink" Target="https://learn.microsoft.com/azure/aks/concepts-scale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key-vault/general/best-practice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frontdoor/best-practice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app-service/networking-features" TargetMode="External"/><Relationship Id="rId2570" Type="http://schemas.openxmlformats.org/officeDocument/2006/relationships/hyperlink" Target="https://learn.microsoft.com/azure/app-service/app-service-key-vault-references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automation/how-to/region-mapping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learn/modules/design-implement-azure-expressroute/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web-application-firewall/afds/waf-front-door-policy-settings" TargetMode="External"/><Relationship Id="rId2824" Type="http://schemas.openxmlformats.org/officeDocument/2006/relationships/hyperlink" Target="https://learn.microsoft.com/azure/aks/nat-gateway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considerations/infrastructure-as-code" TargetMode="External"/><Relationship Id="rId2681" Type="http://schemas.openxmlformats.org/officeDocument/2006/relationships/hyperlink" Target="https://learn.microsoft.com/azure/frontdoor/best-practice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api-management/api-management-howto-deploy-multi-region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automation/automation-solution-vm-management-config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2868" Type="http://schemas.openxmlformats.org/officeDocument/2006/relationships/hyperlink" Target="https://blog.cloudtrooper.net/2020/10/23/which-vm-size-should-i-choose-as-aks-node/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azure-cache-for-redis/cache-how-to-premium-persistence?tabs=premium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virtual-wan/virtual-wan-about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app-service/networking-features" TargetMode="External"/><Relationship Id="rId2792" Type="http://schemas.openxmlformats.org/officeDocument/2006/relationships/hyperlink" Target="https://github.com/Azure/secrets-store-csi-driver-provider-azure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key-vault/general/best-practices" TargetMode="External"/><Relationship Id="rId2652" Type="http://schemas.openxmlformats.org/officeDocument/2006/relationships/hyperlink" Target="https://learn.microsoft.com/rest/api/storageservices/define-stored-access-policy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key-vault/general/best-practice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aks/supported-kubernetes-vers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network-watcher/network-watcher-monitoring-overview" TargetMode="External"/><Relationship Id="rId2696" Type="http://schemas.openxmlformats.org/officeDocument/2006/relationships/hyperlink" Target="https://learn.microsoft.com/azure/web-application-firewall/ag/ag-overview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3" Type="http://schemas.openxmlformats.org/officeDocument/2006/relationships/hyperlink" Target="https://learn.microsoft.com/azure/update-manager/overview?tabs=azure-vms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anagement-operational-compliance" TargetMode="External"/><Relationship Id="rId2623" Type="http://schemas.openxmlformats.org/officeDocument/2006/relationships/hyperlink" Target="https://learn.microsoft.com/azure/nat-gateway/nat-overview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azure/aks/use-network-policie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anagement-platform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azure/event-hubs/transport-layer-security-configure-minimum-version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2874" Type="http://schemas.openxmlformats.org/officeDocument/2006/relationships/hyperlink" Target="https://learn.microsoft.com/azure/virtual-machines/disks-type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api-management/set-edit-policies?tabs=form" TargetMode="External"/><Relationship Id="rId2734" Type="http://schemas.openxmlformats.org/officeDocument/2006/relationships/hyperlink" Target="https://learn.microsoft.com/azure/virtual-machines/managed-disks-overview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azure/aks/operator-best-practices-identity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virtual-wan/virtual-wan-faq" TargetMode="External"/><Relationship Id="rId2591" Type="http://schemas.openxmlformats.org/officeDocument/2006/relationships/hyperlink" Target="https://learn.microsoft.com/azure/ddos-protection/ddos-protection-overview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security/fundamentals/encryption-atrest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en-us/azure/aks/availability-zone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azure/storage/blobs/soft-delete-blob-enable" TargetMode="External"/><Relationship Id="rId2845" Type="http://schemas.openxmlformats.org/officeDocument/2006/relationships/hyperlink" Target="https://learn.microsoft.com/azure/aks/faq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learn/paths/implement-applications-external-access-azure-ad/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governance/policy/concepts/guest-configuration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api-management/api-management-howto-mutual-certificates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service-health/alerts-activity-log-service-notifications-portal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backup/backup-azure-immutable-vault-concept?source=recommendations&amp;tabs=recovery-services-vault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learn/modules/azure-ad-privileged-identity-management/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aks/operator-best-practices-network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github.com/Azure/sovereign-landing-zone/blob/main/docs/scenarios/Sovereignty-Policy-Baseline.md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storage/common/storage-require-secure-transfer" TargetMode="External"/><Relationship Id="rId2673" Type="http://schemas.openxmlformats.org/officeDocument/2006/relationships/hyperlink" Target="https://learn.microsoft.com/azure/event-hubs/authorize-access-azure-active-directory" TargetMode="External"/><Relationship Id="rId2880" Type="http://schemas.openxmlformats.org/officeDocument/2006/relationships/drawing" Target="../drawings/drawing2.xm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azure-resource-manager/management/azure-subscription-service-limits" TargetMode="External"/><Relationship Id="rId2740" Type="http://schemas.openxmlformats.org/officeDocument/2006/relationships/hyperlink" Target="https://learn.microsoft.com/azure/virtual-machines/capacity-reservation-overview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service-bus-messaging/service-bus-sas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governance/policy/overview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app-service/overview-managed-identity?tabs=portal%2Chttp" TargetMode="External"/><Relationship Id="rId2784" Type="http://schemas.openxmlformats.org/officeDocument/2006/relationships/hyperlink" Target="https://learn.microsoft.com/azure/governance/policy/concepts/policy-for-kubernete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backup/backup-center-overview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azure/storage/blobs/storage-custom-domain-name" TargetMode="External"/><Relationship Id="rId2851" Type="http://schemas.openxmlformats.org/officeDocument/2006/relationships/hyperlink" Target="https://learn.microsoft.com/azure/aks/node-pool-snapshot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key-vault/general/best-practices" TargetMode="External"/><Relationship Id="rId2711" Type="http://schemas.openxmlformats.org/officeDocument/2006/relationships/hyperlink" Target="https://learn.microsoft.com/azure/frontdoor/best-practices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app-service/networking-feature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azure/web-application-firewall/ag/ag-overview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training/modules/protect-apis-on-api-management/" TargetMode="External"/><Relationship Id="rId2755" Type="http://schemas.openxmlformats.org/officeDocument/2006/relationships/hyperlink" Target="https://learn.microsoft.com/learn/paths/implement-network-security/?source=learn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azure-monitor/logs/design-logs-deployment" TargetMode="External"/><Relationship Id="rId2615" Type="http://schemas.openxmlformats.org/officeDocument/2006/relationships/hyperlink" Target="https://learn.microsoft.com/azure/active-directory/app-proxy/application-proxy" TargetMode="External"/><Relationship Id="rId2822" Type="http://schemas.openxmlformats.org/officeDocument/2006/relationships/hyperlink" Target="https://learn.microsoft.com/azure/aks/use-multiple-node-pools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considerations/devops-teams-topologie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aks/control-kubeconfig-acces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azure/storage/blobs/secure-file-transfer-protocol-known-issues" TargetMode="External"/><Relationship Id="rId2866" Type="http://schemas.openxmlformats.org/officeDocument/2006/relationships/hyperlink" Target="https://learn.microsoft.com/azure/aks/custom-node-configuration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security-center/" TargetMode="External"/><Relationship Id="rId2726" Type="http://schemas.openxmlformats.org/officeDocument/2006/relationships/hyperlink" Target="https://learn.microsoft.com/azure/web-application-firewall/afds/waf-front-door-best-practice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virtual-wan/scenario-any-to-any" TargetMode="External"/><Relationship Id="rId2583" Type="http://schemas.openxmlformats.org/officeDocument/2006/relationships/hyperlink" Target="https://learn.microsoft.com/azure/app-service/networking-features" TargetMode="External"/><Relationship Id="rId2790" Type="http://schemas.openxmlformats.org/officeDocument/2006/relationships/hyperlink" Target="https://learn.microsoft.com/azure/aks/use-multiple-node-pool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key-vault/general/overview" TargetMode="External"/><Relationship Id="rId2650" Type="http://schemas.openxmlformats.org/officeDocument/2006/relationships/hyperlink" Target="https://learn.microsoft.com/azure/storage/common/storage-account-keys-manage?tabs=azure-portal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key-vault/general/best-practice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azure/advisor/advisor-get-started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anagement-operational-compliance" TargetMode="External"/><Relationship Id="rId2694" Type="http://schemas.openxmlformats.org/officeDocument/2006/relationships/hyperlink" Target="https://learn.microsoft.com/azure/reliability/migrate-app-gateway-v2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learn/paths/implement-network-security/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governance/policy/how-to/guest-configuration-create" TargetMode="External"/><Relationship Id="rId2621" Type="http://schemas.openxmlformats.org/officeDocument/2006/relationships/hyperlink" Target="https://learn.microsoft.com/azure/frontdoor/best-practices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learn.microsoft.com/azure/aks/use-managed-identity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service-bus-messaging/transport-layer-security-enforce-minimum-version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defender-for-cloud/plan-defender-for-servers-select-plan" TargetMode="External"/><Relationship Id="rId2665" Type="http://schemas.openxmlformats.org/officeDocument/2006/relationships/hyperlink" Target="https://learn.microsoft.com/azure/event-hubs/configure-customer-managed-key" TargetMode="External"/><Relationship Id="rId2872" Type="http://schemas.openxmlformats.org/officeDocument/2006/relationships/hyperlink" Target="https://learn.microsoft.com/azure/aks/use-azure-dedicated-host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considerations/development-strategy-development-lifecycle" TargetMode="External"/><Relationship Id="rId2732" Type="http://schemas.openxmlformats.org/officeDocument/2006/relationships/hyperlink" Target="https://learn.microsoft.com/azure/backup/backup-azure-vms-introduction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azure-resource-manager/management/azure-subscription-service-limit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app-service/app-service-key-vault-references" TargetMode="External"/><Relationship Id="rId2776" Type="http://schemas.openxmlformats.org/officeDocument/2006/relationships/hyperlink" Target="https://learn.microsoft.com/azure/aks/operator-best-practices-scheduler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architecture/best-practices/monitoring" TargetMode="External"/><Relationship Id="rId2636" Type="http://schemas.openxmlformats.org/officeDocument/2006/relationships/hyperlink" Target="https://learn.microsoft.com/azure/storage/common/azure-defender-storage-configure" TargetMode="External"/><Relationship Id="rId2843" Type="http://schemas.openxmlformats.org/officeDocument/2006/relationships/hyperlink" Target="https://learn.microsoft.com/azure/aks/command-invoke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learn/modules/configure-azure-ad-application-proxy/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azure-monitor/alerts/alerts-overview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api-management/devops-api-development-templates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learn/paths/implement-resource-mgmt-security/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2887" Type="http://schemas.openxmlformats.org/officeDocument/2006/relationships/ctrlProp" Target="../ctrlProps/ctrlProp6.xm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backup/backup-azure-enhanced-soft-delete-about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learn/paths/manage-identity-and-access/" TargetMode="External"/><Relationship Id="rId2814" Type="http://schemas.openxmlformats.org/officeDocument/2006/relationships/hyperlink" Target="https://learn.microsoft.com/azure/private-link/private-link-overview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Z246"/>
  <sheetViews>
    <sheetView topLeftCell="A51" zoomScale="80" zoomScaleNormal="80" workbookViewId="0">
      <selection activeCell="M100" sqref="M100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1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1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1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1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1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1"/>
    </row>
    <row r="16" spans="1:15">
      <c r="K16" s="41"/>
    </row>
    <row r="17" spans="11:21">
      <c r="K17" s="41"/>
    </row>
    <row r="18" spans="11:21">
      <c r="K18" s="41"/>
    </row>
    <row r="19" spans="11:21">
      <c r="K19" s="41"/>
    </row>
    <row r="20" spans="11:21">
      <c r="K20" s="41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1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1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1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1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1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1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1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1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1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1"/>
    </row>
    <row r="31" spans="11:21">
      <c r="K31" s="41"/>
    </row>
    <row r="32" spans="11:21">
      <c r="K32" s="41"/>
    </row>
    <row r="33" spans="11:12">
      <c r="K33" s="41"/>
    </row>
    <row r="34" spans="11:12">
      <c r="K34" s="41"/>
    </row>
    <row r="35" spans="11:12">
      <c r="K35" s="41"/>
    </row>
    <row r="36" spans="11:12">
      <c r="K36" s="41"/>
    </row>
    <row r="37" spans="11:12">
      <c r="K37" s="41"/>
      <c r="L37" s="41"/>
    </row>
    <row r="38" spans="11:12">
      <c r="K38" s="41"/>
    </row>
    <row r="39" spans="11:12">
      <c r="K39" s="41"/>
      <c r="L39" s="41"/>
    </row>
    <row r="40" spans="11:12">
      <c r="K40" s="41"/>
    </row>
    <row r="41" spans="11:12">
      <c r="K41" s="41"/>
      <c r="L41" s="41"/>
    </row>
    <row r="42" spans="11:12">
      <c r="K42" s="41"/>
      <c r="L42" s="41"/>
    </row>
    <row r="43" spans="11:12">
      <c r="K43" s="41"/>
      <c r="L43" s="41"/>
    </row>
    <row r="44" spans="11:12">
      <c r="K44" s="41"/>
      <c r="L44" s="41"/>
    </row>
    <row r="45" spans="11:12">
      <c r="K45" s="41"/>
      <c r="L45" s="41"/>
    </row>
    <row r="46" spans="11:12">
      <c r="K46" s="41"/>
      <c r="L46" s="41"/>
    </row>
    <row r="47" spans="11:12">
      <c r="K47" s="41"/>
      <c r="L47" s="41"/>
    </row>
    <row r="48" spans="11:12">
      <c r="K48" s="41"/>
      <c r="L48" s="41"/>
    </row>
    <row r="49" spans="1:15">
      <c r="A49" s="12" t="s">
        <v>68</v>
      </c>
      <c r="K49" s="41"/>
      <c r="L49" s="41"/>
    </row>
    <row r="50" spans="1:15">
      <c r="B50" t="s">
        <v>65</v>
      </c>
      <c r="C50" t="s">
        <v>66</v>
      </c>
      <c r="D50" s="33" t="s">
        <v>67</v>
      </c>
      <c r="E50" t="s">
        <v>15</v>
      </c>
      <c r="H50" s="12" t="s">
        <v>118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58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IF($H51="","",SUMPRODUCT(--(Checklist!$E$10:$E$487=$H51)*--(Checklist!$D$10:$D$487=I$50)))</f>
        <v>#VALUE!</v>
      </c>
      <c r="J51" t="e" cm="1" vm="2">
        <f t="array" ref="J51">IF($H51="","",SUMPRODUCT(--(Checklist!$E$10:$E$487=$H51)*--(Checklist!$D$10:$D$487=J$50)))</f>
        <v>#VALUE!</v>
      </c>
      <c r="K51" t="e" cm="1" vm="2">
        <f t="array" ref="K51">IF($H51="","",SUMPRODUCT(--(Checklist!$E$10:$E$487=$H51)*--(Checklist!$D$10:$D$487=K$50)))</f>
        <v>#VALUE!</v>
      </c>
      <c r="L51" t="e" cm="1" vm="2">
        <f t="array" ref="L51">IF($H51="","",SUMPRODUCT(--(Checklist!$E$10:$E$487=$H51)*--(Checklist!$D$10:$D$487=L$50)))</f>
        <v>#VALUE!</v>
      </c>
      <c r="M51" t="e" cm="1" vm="2">
        <f t="array" ref="M51">IF($H51="","",SUMPRODUCT(--(Checklist!$E$10:$E$487=$H51)*--(Checklist!$D$10:$D$487=M$50)))</f>
        <v>#VALUE!</v>
      </c>
      <c r="N51" s="12" t="e" vm="2">
        <f>IF($H51="","",SUM(I51:M51))</f>
        <v>#VALUE!</v>
      </c>
      <c r="O51" s="12"/>
    </row>
    <row r="52" spans="1:15">
      <c r="A52" t="s">
        <v>61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IF($H52="","",SUMPRODUCT(--(Checklist!$E$10:$E$487=$H52)*--(Checklist!$D$10:$D$487=I$50)))</f>
        <v/>
      </c>
      <c r="J52" t="str" cm="1">
        <f t="array" ref="J52">IF($H52="","",SUMPRODUCT(--(Checklist!$E$10:$E$487=$H52)*--(Checklist!$D$10:$D$487=J$50)))</f>
        <v/>
      </c>
      <c r="K52" t="str" cm="1">
        <f t="array" ref="K52">IF($H52="","",SUMPRODUCT(--(Checklist!$E$10:$E$487=$H52)*--(Checklist!$D$10:$D$487=K$50)))</f>
        <v/>
      </c>
      <c r="L52" t="str" cm="1">
        <f t="array" ref="L52">IF($H52="","",SUMPRODUCT(--(Checklist!$E$10:$E$487=$H52)*--(Checklist!$D$10:$D$487=L$50)))</f>
        <v/>
      </c>
      <c r="M52" t="str" cm="1">
        <f t="array" ref="M52">IF($H52="","",SUMPRODUCT(--(Checklist!$E$10:$E$487=$H52)*--(Checklist!$D$10:$D$487=M$50)))</f>
        <v/>
      </c>
      <c r="N52" s="12" t="str">
        <f t="shared" ref="N52:N86" si="6">IF($H52="","",SUM(I52:M52))</f>
        <v/>
      </c>
      <c r="O52" s="12"/>
    </row>
    <row r="53" spans="1:15">
      <c r="A53" t="s">
        <v>63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IF($H53="","",SUMPRODUCT(--(Checklist!$E$10:$E$487=$H53)*--(Checklist!$D$10:$D$487=I$50)))</f>
        <v/>
      </c>
      <c r="J53" t="str" cm="1">
        <f t="array" ref="J53">IF($H53="","",SUMPRODUCT(--(Checklist!$E$10:$E$487=$H53)*--(Checklist!$D$10:$D$487=J$50)))</f>
        <v/>
      </c>
      <c r="K53" t="str" cm="1">
        <f t="array" ref="K53">IF($H53="","",SUMPRODUCT(--(Checklist!$E$10:$E$487=$H53)*--(Checklist!$D$10:$D$487=K$50)))</f>
        <v/>
      </c>
      <c r="L53" t="str" cm="1">
        <f t="array" ref="L53">IF($H53="","",SUMPRODUCT(--(Checklist!$E$10:$E$487=$H53)*--(Checklist!$D$10:$D$487=L$50)))</f>
        <v/>
      </c>
      <c r="M53" t="str" cm="1">
        <f t="array" ref="M53">IF($H53="","",SUMPRODUCT(--(Checklist!$E$10:$E$487=$H53)*--(Checklist!$D$10:$D$487=M$50)))</f>
        <v/>
      </c>
      <c r="N53" s="12" t="str">
        <f t="shared" si="6"/>
        <v/>
      </c>
      <c r="O53" s="12"/>
    </row>
    <row r="54" spans="1:15">
      <c r="A54" t="s">
        <v>59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IF($H54="","",SUMPRODUCT(--(Checklist!$E$10:$E$487=$H54)*--(Checklist!$D$10:$D$487=I$50)))</f>
        <v/>
      </c>
      <c r="J54" t="str" cm="1">
        <f t="array" ref="J54">IF($H54="","",SUMPRODUCT(--(Checklist!$E$10:$E$487=$H54)*--(Checklist!$D$10:$D$487=J$50)))</f>
        <v/>
      </c>
      <c r="K54" t="str" cm="1">
        <f t="array" ref="K54">IF($H54="","",SUMPRODUCT(--(Checklist!$E$10:$E$487=$H54)*--(Checklist!$D$10:$D$487=K$50)))</f>
        <v/>
      </c>
      <c r="L54" t="str" cm="1">
        <f t="array" ref="L54">IF($H54="","",SUMPRODUCT(--(Checklist!$E$10:$E$487=$H54)*--(Checklist!$D$10:$D$487=L$50)))</f>
        <v/>
      </c>
      <c r="M54" t="str" cm="1">
        <f t="array" ref="M54">IF($H54="","",SUMPRODUCT(--(Checklist!$E$10:$E$487=$H54)*--(Checklist!$D$10:$D$487=M$50)))</f>
        <v/>
      </c>
      <c r="N54" s="12" t="str">
        <f t="shared" si="6"/>
        <v/>
      </c>
      <c r="O54" s="12"/>
    </row>
    <row r="55" spans="1:15">
      <c r="A55" t="s">
        <v>62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IF($H55="","",SUMPRODUCT(--(Checklist!$E$10:$E$487=$H55)*--(Checklist!$D$10:$D$487=I$50)))</f>
        <v/>
      </c>
      <c r="J55" t="str" cm="1">
        <f t="array" ref="J55">IF($H55="","",SUMPRODUCT(--(Checklist!$E$10:$E$487=$H55)*--(Checklist!$D$10:$D$487=J$50)))</f>
        <v/>
      </c>
      <c r="K55" t="str" cm="1">
        <f t="array" ref="K55">IF($H55="","",SUMPRODUCT(--(Checklist!$E$10:$E$487=$H55)*--(Checklist!$D$10:$D$487=K$50)))</f>
        <v/>
      </c>
      <c r="L55" t="str" cm="1">
        <f t="array" ref="L55">IF($H55="","",SUMPRODUCT(--(Checklist!$E$10:$E$487=$H55)*--(Checklist!$D$10:$D$487=L$50)))</f>
        <v/>
      </c>
      <c r="M55" t="str" cm="1">
        <f t="array" ref="M55">IF($H55="","",SUMPRODUCT(--(Checklist!$E$10:$E$487=$H55)*--(Checklist!$D$10:$D$487=M$50)))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IF($H56="","",SUMPRODUCT(--(Checklist!$E$10:$E$487=$H56)*--(Checklist!$D$10:$D$487=I$50)))</f>
        <v/>
      </c>
      <c r="J56" t="str" cm="1">
        <f t="array" ref="J56">IF($H56="","",SUMPRODUCT(--(Checklist!$E$10:$E$487=$H56)*--(Checklist!$D$10:$D$487=J$50)))</f>
        <v/>
      </c>
      <c r="K56" t="str" cm="1">
        <f t="array" ref="K56">IF($H56="","",SUMPRODUCT(--(Checklist!$E$10:$E$487=$H56)*--(Checklist!$D$10:$D$487=K$50)))</f>
        <v/>
      </c>
      <c r="L56" t="str" cm="1">
        <f t="array" ref="L56">IF($H56="","",SUMPRODUCT(--(Checklist!$E$10:$E$487=$H56)*--(Checklist!$D$10:$D$487=L$50)))</f>
        <v/>
      </c>
      <c r="M56" t="str" cm="1">
        <f t="array" ref="M56">IF($H56="","",SUMPRODUCT(--(Checklist!$E$10:$E$487=$H56)*--(Checklist!$D$10:$D$487=M$50)))</f>
        <v/>
      </c>
      <c r="N56" s="12" t="str">
        <f t="shared" si="6"/>
        <v/>
      </c>
      <c r="O56" s="12"/>
    </row>
    <row r="57" spans="1:15">
      <c r="I57" t="str" cm="1">
        <f t="array" ref="I57">IF($H57="","",SUMPRODUCT(--(Checklist!$E$10:$E$487=$H57)*--(Checklist!$D$10:$D$487=I$50)))</f>
        <v/>
      </c>
      <c r="J57" t="str" cm="1">
        <f t="array" ref="J57">IF($H57="","",SUMPRODUCT(--(Checklist!$E$10:$E$487=$H57)*--(Checklist!$D$10:$D$487=J$50)))</f>
        <v/>
      </c>
      <c r="K57" t="str" cm="1">
        <f t="array" ref="K57">IF($H57="","",SUMPRODUCT(--(Checklist!$E$10:$E$487=$H57)*--(Checklist!$D$10:$D$487=K$50)))</f>
        <v/>
      </c>
      <c r="L57" t="str" cm="1">
        <f t="array" ref="L57">IF($H57="","",SUMPRODUCT(--(Checklist!$E$10:$E$487=$H57)*--(Checklist!$D$10:$D$487=L$50)))</f>
        <v/>
      </c>
      <c r="M57" t="str" cm="1">
        <f t="array" ref="M57">IF($H57="","",SUMPRODUCT(--(Checklist!$E$10:$E$487=$H57)*--(Checklist!$D$10:$D$487=M$50)))</f>
        <v/>
      </c>
      <c r="N57" s="12" t="str">
        <f t="shared" si="6"/>
        <v/>
      </c>
      <c r="O57" s="12"/>
    </row>
    <row r="58" spans="1:15">
      <c r="I58" t="str" cm="1">
        <f t="array" ref="I58">IF($H58="","",SUMPRODUCT(--(Checklist!$E$10:$E$487=$H58)*--(Checklist!$D$10:$D$487=I$50)))</f>
        <v/>
      </c>
      <c r="J58" t="str" cm="1">
        <f t="array" ref="J58">IF($H58="","",SUMPRODUCT(--(Checklist!$E$10:$E$487=$H58)*--(Checklist!$D$10:$D$487=J$50)))</f>
        <v/>
      </c>
      <c r="K58" t="str" cm="1">
        <f t="array" ref="K58">IF($H58="","",SUMPRODUCT(--(Checklist!$E$10:$E$487=$H58)*--(Checklist!$D$10:$D$487=K$50)))</f>
        <v/>
      </c>
      <c r="L58" t="str" cm="1">
        <f t="array" ref="L58">IF($H58="","",SUMPRODUCT(--(Checklist!$E$10:$E$487=$H58)*--(Checklist!$D$10:$D$487=L$50)))</f>
        <v/>
      </c>
      <c r="M58" t="str" cm="1">
        <f t="array" ref="M58">IF($H58="","",SUMPRODUCT(--(Checklist!$E$10:$E$487=$H58)*--(Checklist!$D$10:$D$487=M$50)))</f>
        <v/>
      </c>
      <c r="N58" s="12" t="str">
        <f t="shared" si="6"/>
        <v/>
      </c>
      <c r="O58" s="12"/>
    </row>
    <row r="59" spans="1:15">
      <c r="I59" t="str" cm="1">
        <f t="array" ref="I59">IF($H59="","",SUMPRODUCT(--(Checklist!$E$10:$E$487=$H59)*--(Checklist!$D$10:$D$487=I$50)))</f>
        <v/>
      </c>
      <c r="J59" t="str" cm="1">
        <f t="array" ref="J59">IF($H59="","",SUMPRODUCT(--(Checklist!$E$10:$E$487=$H59)*--(Checklist!$D$10:$D$487=J$50)))</f>
        <v/>
      </c>
      <c r="K59" t="str" cm="1">
        <f t="array" ref="K59">IF($H59="","",SUMPRODUCT(--(Checklist!$E$10:$E$487=$H59)*--(Checklist!$D$10:$D$487=K$50)))</f>
        <v/>
      </c>
      <c r="L59" t="str" cm="1">
        <f t="array" ref="L59">IF($H59="","",SUMPRODUCT(--(Checklist!$E$10:$E$487=$H59)*--(Checklist!$D$10:$D$487=L$50)))</f>
        <v/>
      </c>
      <c r="M59" t="str" cm="1">
        <f t="array" ref="M59">IF($H59="","",SUMPRODUCT(--(Checklist!$E$10:$E$487=$H59)*--(Checklist!$D$10:$D$487=M$50)))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IF($H60="","",SUMPRODUCT(--(Checklist!$E$10:$E$487=$H60)*--(Checklist!$D$10:$D$487=I$50)))</f>
        <v/>
      </c>
      <c r="J60" t="str" cm="1">
        <f t="array" ref="J60">IF($H60="","",SUMPRODUCT(--(Checklist!$E$10:$E$487=$H60)*--(Checklist!$D$10:$D$487=J$50)))</f>
        <v/>
      </c>
      <c r="K60" t="str" cm="1">
        <f t="array" ref="K60">IF($H60="","",SUMPRODUCT(--(Checklist!$E$10:$E$487=$H60)*--(Checklist!$D$10:$D$487=K$50)))</f>
        <v/>
      </c>
      <c r="L60" t="str" cm="1">
        <f t="array" ref="L60">IF($H60="","",SUMPRODUCT(--(Checklist!$E$10:$E$487=$H60)*--(Checklist!$D$10:$D$487=L$50)))</f>
        <v/>
      </c>
      <c r="M60" t="str" cm="1">
        <f t="array" ref="M60">IF($H60="","",SUMPRODUCT(--(Checklist!$E$10:$E$487=$H60)*--(Checklist!$D$10:$D$487=M$50)))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IF($H61="","",SUMPRODUCT(--(Checklist!$E$10:$E$487=$H61)*--(Checklist!$D$10:$D$487=I$50)))</f>
        <v/>
      </c>
      <c r="J61" t="str" cm="1">
        <f t="array" ref="J61">IF($H61="","",SUMPRODUCT(--(Checklist!$E$10:$E$487=$H61)*--(Checklist!$D$10:$D$487=J$50)))</f>
        <v/>
      </c>
      <c r="K61" t="str" cm="1">
        <f t="array" ref="K61">IF($H61="","",SUMPRODUCT(--(Checklist!$E$10:$E$487=$H61)*--(Checklist!$D$10:$D$487=K$50)))</f>
        <v/>
      </c>
      <c r="L61" t="str" cm="1">
        <f t="array" ref="L61">IF($H61="","",SUMPRODUCT(--(Checklist!$E$10:$E$487=$H61)*--(Checklist!$D$10:$D$487=L$50)))</f>
        <v/>
      </c>
      <c r="M61" t="str" cm="1">
        <f t="array" ref="M61">IF($H61="","",SUMPRODUCT(--(Checklist!$E$10:$E$487=$H61)*--(Checklist!$D$10:$D$487=M$50)))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IF($H62="","",SUMPRODUCT(--(Checklist!$E$10:$E$487=$H62)*--(Checklist!$D$10:$D$487=I$50)))</f>
        <v/>
      </c>
      <c r="J62" t="str" cm="1">
        <f t="array" ref="J62">IF($H62="","",SUMPRODUCT(--(Checklist!$E$10:$E$487=$H62)*--(Checklist!$D$10:$D$487=J$50)))</f>
        <v/>
      </c>
      <c r="K62" t="str" cm="1">
        <f t="array" ref="K62">IF($H62="","",SUMPRODUCT(--(Checklist!$E$10:$E$487=$H62)*--(Checklist!$D$10:$D$487=K$50)))</f>
        <v/>
      </c>
      <c r="L62" t="str" cm="1">
        <f t="array" ref="L62">IF($H62="","",SUMPRODUCT(--(Checklist!$E$10:$E$487=$H62)*--(Checklist!$D$10:$D$487=L$50)))</f>
        <v/>
      </c>
      <c r="M62" t="str" cm="1">
        <f t="array" ref="M62">IF($H62="","",SUMPRODUCT(--(Checklist!$E$10:$E$487=$H62)*--(Checklist!$D$10:$D$487=M$50)))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IF($H63="","",SUMPRODUCT(--(Checklist!$E$10:$E$487=$H63)*--(Checklist!$D$10:$D$487=I$50)))</f>
        <v/>
      </c>
      <c r="J63" t="str" cm="1">
        <f t="array" ref="J63">IF($H63="","",SUMPRODUCT(--(Checklist!$E$10:$E$487=$H63)*--(Checklist!$D$10:$D$487=J$50)))</f>
        <v/>
      </c>
      <c r="K63" t="str" cm="1">
        <f t="array" ref="K63">IF($H63="","",SUMPRODUCT(--(Checklist!$E$10:$E$487=$H63)*--(Checklist!$D$10:$D$487=K$50)))</f>
        <v/>
      </c>
      <c r="L63" t="str" cm="1">
        <f t="array" ref="L63">IF($H63="","",SUMPRODUCT(--(Checklist!$E$10:$E$487=$H63)*--(Checklist!$D$10:$D$487=L$50)))</f>
        <v/>
      </c>
      <c r="M63" t="str" cm="1">
        <f t="array" ref="M63">IF($H63="","",SUMPRODUCT(--(Checklist!$E$10:$E$487=$H63)*--(Checklist!$D$10:$D$487=M$50)))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IF($H64="","",SUMPRODUCT(--(Checklist!$E$10:$E$487=$H64)*--(Checklist!$D$10:$D$487=I$50)))</f>
        <v/>
      </c>
      <c r="J64" t="str" cm="1">
        <f t="array" ref="J64">IF($H64="","",SUMPRODUCT(--(Checklist!$E$10:$E$487=$H64)*--(Checklist!$D$10:$D$487=J$50)))</f>
        <v/>
      </c>
      <c r="K64" t="str" cm="1">
        <f t="array" ref="K64">IF($H64="","",SUMPRODUCT(--(Checklist!$E$10:$E$487=$H64)*--(Checklist!$D$10:$D$487=K$50)))</f>
        <v/>
      </c>
      <c r="L64" t="str" cm="1">
        <f t="array" ref="L64">IF($H64="","",SUMPRODUCT(--(Checklist!$E$10:$E$487=$H64)*--(Checklist!$D$10:$D$487=L$50)))</f>
        <v/>
      </c>
      <c r="M64" t="str" cm="1">
        <f t="array" ref="M64">IF($H64="","",SUMPRODUCT(--(Checklist!$E$10:$E$487=$H64)*--(Checklist!$D$10:$D$487=M$50)))</f>
        <v/>
      </c>
      <c r="N64" s="12" t="str">
        <f t="shared" si="6"/>
        <v/>
      </c>
      <c r="O64" s="12"/>
    </row>
    <row r="65" spans="9:26">
      <c r="I65" t="str" cm="1">
        <f t="array" ref="I65">IF($H65="","",SUMPRODUCT(--(Checklist!$E$10:$E$487=$H65)*--(Checklist!$D$10:$D$487=I$50)))</f>
        <v/>
      </c>
      <c r="J65" t="str" cm="1">
        <f t="array" ref="J65">IF($H65="","",SUMPRODUCT(--(Checklist!$E$10:$E$487=$H65)*--(Checklist!$D$10:$D$487=J$50)))</f>
        <v/>
      </c>
      <c r="K65" t="str" cm="1">
        <f t="array" ref="K65">IF($H65="","",SUMPRODUCT(--(Checklist!$E$10:$E$487=$H65)*--(Checklist!$D$10:$D$487=K$50)))</f>
        <v/>
      </c>
      <c r="L65" t="str" cm="1">
        <f t="array" ref="L65">IF($H65="","",SUMPRODUCT(--(Checklist!$E$10:$E$487=$H65)*--(Checklist!$D$10:$D$487=L$50)))</f>
        <v/>
      </c>
      <c r="M65" t="str" cm="1">
        <f t="array" ref="M65">IF($H65="","",SUMPRODUCT(--(Checklist!$E$10:$E$487=$H65)*--(Checklist!$D$10:$D$487=M$50)))</f>
        <v/>
      </c>
      <c r="N65" s="12" t="str">
        <f t="shared" si="6"/>
        <v/>
      </c>
      <c r="O65" s="12"/>
    </row>
    <row r="66" spans="9:26">
      <c r="I66" t="str" cm="1">
        <f t="array" ref="I66">IF($H66="","",SUMPRODUCT(--(Checklist!$E$10:$E$487=$H66)*--(Checklist!$D$10:$D$487=I$50)))</f>
        <v/>
      </c>
      <c r="J66" t="str" cm="1">
        <f t="array" ref="J66">IF($H66="","",SUMPRODUCT(--(Checklist!$E$10:$E$487=$H66)*--(Checklist!$D$10:$D$487=J$50)))</f>
        <v/>
      </c>
      <c r="K66" t="str" cm="1">
        <f t="array" ref="K66">IF($H66="","",SUMPRODUCT(--(Checklist!$E$10:$E$487=$H66)*--(Checklist!$D$10:$D$487=K$50)))</f>
        <v/>
      </c>
      <c r="L66" t="str" cm="1">
        <f t="array" ref="L66">IF($H66="","",SUMPRODUCT(--(Checklist!$E$10:$E$487=$H66)*--(Checklist!$D$10:$D$487=L$50)))</f>
        <v/>
      </c>
      <c r="M66" t="str" cm="1">
        <f t="array" ref="M66">IF($H66="","",SUMPRODUCT(--(Checklist!$E$10:$E$487=$H66)*--(Checklist!$D$10:$D$487=M$50)))</f>
        <v/>
      </c>
      <c r="N66" s="12" t="str">
        <f t="shared" si="6"/>
        <v/>
      </c>
      <c r="O66" s="12"/>
    </row>
    <row r="67" spans="9:26">
      <c r="I67" t="str" cm="1">
        <f t="array" ref="I67">IF($H67="","",SUMPRODUCT(--(Checklist!$E$10:$E$487=$H67)*--(Checklist!$D$10:$D$487=I$50)))</f>
        <v/>
      </c>
      <c r="J67" t="str" cm="1">
        <f t="array" ref="J67">IF($H67="","",SUMPRODUCT(--(Checklist!$E$10:$E$487=$H67)*--(Checklist!$D$10:$D$487=J$50)))</f>
        <v/>
      </c>
      <c r="K67" t="str" cm="1">
        <f t="array" ref="K67">IF($H67="","",SUMPRODUCT(--(Checklist!$E$10:$E$487=$H67)*--(Checklist!$D$10:$D$487=K$50)))</f>
        <v/>
      </c>
      <c r="L67" t="str" cm="1">
        <f t="array" ref="L67">IF($H67="","",SUMPRODUCT(--(Checklist!$E$10:$E$487=$H67)*--(Checklist!$D$10:$D$487=L$50)))</f>
        <v/>
      </c>
      <c r="M67" t="str" cm="1">
        <f t="array" ref="M67">IF($H67="","",SUMPRODUCT(--(Checklist!$E$10:$E$487=$H67)*--(Checklist!$D$10:$D$487=M$50)))</f>
        <v/>
      </c>
      <c r="N67" s="12" t="str">
        <f t="shared" si="6"/>
        <v/>
      </c>
      <c r="O67" s="12"/>
    </row>
    <row r="68" spans="9:26">
      <c r="I68" t="str" cm="1">
        <f t="array" ref="I68">IF($H68="","",SUMPRODUCT(--(Checklist!$E$10:$E$487=$H68)*--(Checklist!$D$10:$D$487=I$50)))</f>
        <v/>
      </c>
      <c r="J68" t="str" cm="1">
        <f t="array" ref="J68">IF($H68="","",SUMPRODUCT(--(Checklist!$E$10:$E$487=$H68)*--(Checklist!$D$10:$D$487=J$50)))</f>
        <v/>
      </c>
      <c r="K68" t="str" cm="1">
        <f t="array" ref="K68">IF($H68="","",SUMPRODUCT(--(Checklist!$E$10:$E$487=$H68)*--(Checklist!$D$10:$D$487=K$50)))</f>
        <v/>
      </c>
      <c r="L68" t="str" cm="1">
        <f t="array" ref="L68">IF($H68="","",SUMPRODUCT(--(Checklist!$E$10:$E$487=$H68)*--(Checklist!$D$10:$D$487=L$50)))</f>
        <v/>
      </c>
      <c r="M68" t="str" cm="1">
        <f t="array" ref="M68">IF($H68="","",SUMPRODUCT(--(Checklist!$E$10:$E$487=$H68)*--(Checklist!$D$10:$D$487=M$50)))</f>
        <v/>
      </c>
      <c r="N68" s="12" t="str">
        <f t="shared" si="6"/>
        <v/>
      </c>
      <c r="O68" s="12"/>
    </row>
    <row r="69" spans="9:26">
      <c r="I69" t="str" cm="1">
        <f t="array" ref="I69">IF($H69="","",SUMPRODUCT(--(Checklist!$E$10:$E$487=$H69)*--(Checklist!$D$10:$D$487=I$50)))</f>
        <v/>
      </c>
      <c r="J69" t="str" cm="1">
        <f t="array" ref="J69">IF($H69="","",SUMPRODUCT(--(Checklist!$E$10:$E$487=$H69)*--(Checklist!$D$10:$D$487=J$50)))</f>
        <v/>
      </c>
      <c r="K69" t="str" cm="1">
        <f t="array" ref="K69">IF($H69="","",SUMPRODUCT(--(Checklist!$E$10:$E$487=$H69)*--(Checklist!$D$10:$D$487=K$50)))</f>
        <v/>
      </c>
      <c r="L69" t="str" cm="1">
        <f t="array" ref="L69">IF($H69="","",SUMPRODUCT(--(Checklist!$E$10:$E$487=$H69)*--(Checklist!$D$10:$D$487=L$50)))</f>
        <v/>
      </c>
      <c r="M69" t="str" cm="1">
        <f t="array" ref="M69">IF($H69="","",SUMPRODUCT(--(Checklist!$E$10:$E$487=$H69)*--(Checklist!$D$10:$D$487=M$50)))</f>
        <v/>
      </c>
      <c r="N69" s="12" t="str">
        <f t="shared" si="6"/>
        <v/>
      </c>
      <c r="O69" s="12"/>
    </row>
    <row r="70" spans="9:26">
      <c r="I70" t="str" cm="1">
        <f t="array" ref="I70">IF($H70="","",SUMPRODUCT(--(Checklist!$E$10:$E$487=$H70)*--(Checklist!$D$10:$D$487=I$50)))</f>
        <v/>
      </c>
      <c r="J70" t="str" cm="1">
        <f t="array" ref="J70">IF($H70="","",SUMPRODUCT(--(Checklist!$E$10:$E$487=$H70)*--(Checklist!$D$10:$D$487=J$50)))</f>
        <v/>
      </c>
      <c r="K70" t="str" cm="1">
        <f t="array" ref="K70">IF($H70="","",SUMPRODUCT(--(Checklist!$E$10:$E$487=$H70)*--(Checklist!$D$10:$D$487=K$50)))</f>
        <v/>
      </c>
      <c r="L70" t="str" cm="1">
        <f t="array" ref="L70">IF($H70="","",SUMPRODUCT(--(Checklist!$E$10:$E$487=$H70)*--(Checklist!$D$10:$D$487=L$50)))</f>
        <v/>
      </c>
      <c r="M70" t="str" cm="1">
        <f t="array" ref="M70">IF($H70="","",SUMPRODUCT(--(Checklist!$E$10:$E$487=$H70)*--(Checklist!$D$10:$D$487=M$50)))</f>
        <v/>
      </c>
      <c r="N70" s="12" t="str">
        <f t="shared" si="6"/>
        <v/>
      </c>
      <c r="O70" s="12"/>
    </row>
    <row r="71" spans="9:26">
      <c r="I71" t="str" cm="1">
        <f t="array" ref="I71">IF($H71="","",SUMPRODUCT(--(Checklist!$E$10:$E$487=$H71)*--(Checklist!$D$10:$D$487=I$50)))</f>
        <v/>
      </c>
      <c r="J71" t="str" cm="1">
        <f t="array" ref="J71">IF($H71="","",SUMPRODUCT(--(Checklist!$E$10:$E$487=$H71)*--(Checklist!$D$10:$D$487=J$50)))</f>
        <v/>
      </c>
      <c r="K71" t="str" cm="1">
        <f t="array" ref="K71">IF($H71="","",SUMPRODUCT(--(Checklist!$E$10:$E$487=$H71)*--(Checklist!$D$10:$D$487=K$50)))</f>
        <v/>
      </c>
      <c r="L71" t="str" cm="1">
        <f t="array" ref="L71">IF($H71="","",SUMPRODUCT(--(Checklist!$E$10:$E$487=$H71)*--(Checklist!$D$10:$D$487=L$50)))</f>
        <v/>
      </c>
      <c r="M71" t="str" cm="1">
        <f t="array" ref="M71">IF($H71="","",SUMPRODUCT(--(Checklist!$E$10:$E$487=$H71)*--(Checklist!$D$10:$D$487=M$50)))</f>
        <v/>
      </c>
      <c r="N71" s="12" t="str">
        <f t="shared" si="6"/>
        <v/>
      </c>
      <c r="O71" s="12"/>
    </row>
    <row r="72" spans="9:26">
      <c r="I72" t="str" cm="1">
        <f t="array" ref="I72">IF($H72="","",SUMPRODUCT(--(Checklist!$E$10:$E$487=$H72)*--(Checklist!$D$10:$D$487=I$50)))</f>
        <v/>
      </c>
      <c r="J72" t="str" cm="1">
        <f t="array" ref="J72">IF($H72="","",SUMPRODUCT(--(Checklist!$E$10:$E$487=$H72)*--(Checklist!$D$10:$D$487=J$50)))</f>
        <v/>
      </c>
      <c r="K72" t="str" cm="1">
        <f t="array" ref="K72">IF($H72="","",SUMPRODUCT(--(Checklist!$E$10:$E$487=$H72)*--(Checklist!$D$10:$D$487=K$50)))</f>
        <v/>
      </c>
      <c r="L72" t="str" cm="1">
        <f t="array" ref="L72">IF($H72="","",SUMPRODUCT(--(Checklist!$E$10:$E$487=$H72)*--(Checklist!$D$10:$D$487=L$50)))</f>
        <v/>
      </c>
      <c r="M72" t="str" cm="1">
        <f t="array" ref="M72">IF($H72="","",SUMPRODUCT(--(Checklist!$E$10:$E$487=$H72)*--(Checklist!$D$10:$D$487=M$50)))</f>
        <v/>
      </c>
      <c r="N72" s="12" t="str">
        <f t="shared" si="6"/>
        <v/>
      </c>
      <c r="O72" s="12"/>
    </row>
    <row r="73" spans="9:26">
      <c r="I73" t="str" cm="1">
        <f t="array" ref="I73">IF($H73="","",SUMPRODUCT(--(Checklist!$E$10:$E$487=$H73)*--(Checklist!$D$10:$D$487=I$50)))</f>
        <v/>
      </c>
      <c r="J73" t="str" cm="1">
        <f t="array" ref="J73">IF($H73="","",SUMPRODUCT(--(Checklist!$E$10:$E$487=$H73)*--(Checklist!$D$10:$D$487=J$50)))</f>
        <v/>
      </c>
      <c r="K73" t="str" cm="1">
        <f t="array" ref="K73">IF($H73="","",SUMPRODUCT(--(Checklist!$E$10:$E$487=$H73)*--(Checklist!$D$10:$D$487=K$50)))</f>
        <v/>
      </c>
      <c r="L73" t="str" cm="1">
        <f t="array" ref="L73">IF($H73="","",SUMPRODUCT(--(Checklist!$E$10:$E$487=$H73)*--(Checklist!$D$10:$D$487=L$50)))</f>
        <v/>
      </c>
      <c r="M73" t="str" cm="1">
        <f t="array" ref="M73">IF($H73="","",SUMPRODUCT(--(Checklist!$E$10:$E$487=$H73)*--(Checklist!$D$10:$D$487=M$50)))</f>
        <v/>
      </c>
      <c r="N73" s="12" t="str">
        <f t="shared" si="6"/>
        <v/>
      </c>
      <c r="O73" s="12"/>
    </row>
    <row r="74" spans="9:26">
      <c r="I74" t="str" cm="1">
        <f t="array" ref="I74">IF($H74="","",SUMPRODUCT(--(Checklist!$E$10:$E$487=$H74)*--(Checklist!$D$10:$D$487=I$50)))</f>
        <v/>
      </c>
      <c r="J74" t="str" cm="1">
        <f t="array" ref="J74">IF($H74="","",SUMPRODUCT(--(Checklist!$E$10:$E$487=$H74)*--(Checklist!$D$10:$D$487=J$50)))</f>
        <v/>
      </c>
      <c r="K74" t="str" cm="1">
        <f t="array" ref="K74">IF($H74="","",SUMPRODUCT(--(Checklist!$E$10:$E$487=$H74)*--(Checklist!$D$10:$D$487=K$50)))</f>
        <v/>
      </c>
      <c r="L74" t="str" cm="1">
        <f t="array" ref="L74">IF($H74="","",SUMPRODUCT(--(Checklist!$E$10:$E$487=$H74)*--(Checklist!$D$10:$D$487=L$50)))</f>
        <v/>
      </c>
      <c r="M74" t="str" cm="1">
        <f t="array" ref="M74">IF($H74="","",SUMPRODUCT(--(Checklist!$E$10:$E$487=$H74)*--(Checklist!$D$10:$D$487=M$50)))</f>
        <v/>
      </c>
      <c r="N74" s="12" t="str">
        <f t="shared" si="6"/>
        <v/>
      </c>
      <c r="O74" s="12"/>
      <c r="Z74" s="12" t="s">
        <v>161</v>
      </c>
    </row>
    <row r="75" spans="9:26">
      <c r="I75" t="str" cm="1">
        <f t="array" ref="I75">IF($H75="","",SUMPRODUCT(--(Checklist!$E$10:$E$487=$H75)*--(Checklist!$D$10:$D$487=I$50)))</f>
        <v/>
      </c>
      <c r="J75" t="str" cm="1">
        <f t="array" ref="J75">IF($H75="","",SUMPRODUCT(--(Checklist!$E$10:$E$487=$H75)*--(Checklist!$D$10:$D$487=J$50)))</f>
        <v/>
      </c>
      <c r="K75" t="str" cm="1">
        <f t="array" ref="K75">IF($H75="","",SUMPRODUCT(--(Checklist!$E$10:$E$487=$H75)*--(Checklist!$D$10:$D$487=K$50)))</f>
        <v/>
      </c>
      <c r="L75" t="str" cm="1">
        <f t="array" ref="L75">IF($H75="","",SUMPRODUCT(--(Checklist!$E$10:$E$487=$H75)*--(Checklist!$D$10:$D$487=L$50)))</f>
        <v/>
      </c>
      <c r="M75" t="str" cm="1">
        <f t="array" ref="M75">IF($H75="","",SUMPRODUCT(--(Checklist!$E$10:$E$487=$H75)*--(Checklist!$D$10:$D$487=M$50)))</f>
        <v/>
      </c>
      <c r="N75" s="12" t="str">
        <f t="shared" si="6"/>
        <v/>
      </c>
      <c r="O75" s="12"/>
      <c r="Y75" s="12" t="str">
        <f>Values!$L$2</f>
        <v>Reliability</v>
      </c>
      <c r="Z75">
        <f>COUNTIFS(Checklist!$D$10:$D$487, Y75, Checklist!$N$10:$N$487, "&lt;&gt;")</f>
        <v>0</v>
      </c>
    </row>
    <row r="76" spans="9:26">
      <c r="I76" t="str" cm="1">
        <f t="array" ref="I76">IF($H76="","",SUMPRODUCT(--(Checklist!$E$10:$E$487=$H76)*--(Checklist!$D$10:$D$487=I$50)))</f>
        <v/>
      </c>
      <c r="J76" t="str" cm="1">
        <f t="array" ref="J76">IF($H76="","",SUMPRODUCT(--(Checklist!$E$10:$E$487=$H76)*--(Checklist!$D$10:$D$487=J$50)))</f>
        <v/>
      </c>
      <c r="K76" t="str" cm="1">
        <f t="array" ref="K76">IF($H76="","",SUMPRODUCT(--(Checklist!$E$10:$E$487=$H76)*--(Checklist!$D$10:$D$487=K$50)))</f>
        <v/>
      </c>
      <c r="L76" t="str" cm="1">
        <f t="array" ref="L76">IF($H76="","",SUMPRODUCT(--(Checklist!$E$10:$E$487=$H76)*--(Checklist!$D$10:$D$487=L$50)))</f>
        <v/>
      </c>
      <c r="M76" t="str" cm="1">
        <f t="array" ref="M76">IF($H76="","",SUMPRODUCT(--(Checklist!$E$10:$E$487=$H76)*--(Checklist!$D$10:$D$487=M$50)))</f>
        <v/>
      </c>
      <c r="N76" s="12" t="str">
        <f t="shared" si="6"/>
        <v/>
      </c>
      <c r="O76" s="12"/>
      <c r="Y76" s="12" t="str">
        <f>Values!$L$3</f>
        <v>Security</v>
      </c>
      <c r="Z76">
        <f>COUNTIFS(Checklist!$D$10:$D$487, Y76, Checklist!$N$10:$N$487, "&lt;&gt;")</f>
        <v>0</v>
      </c>
    </row>
    <row r="77" spans="9:26">
      <c r="I77" t="str" cm="1">
        <f t="array" ref="I77">IF($H77="","",SUMPRODUCT(--(Checklist!$E$10:$E$487=$H77)*--(Checklist!$D$10:$D$487=I$50)))</f>
        <v/>
      </c>
      <c r="J77" t="str" cm="1">
        <f t="array" ref="J77">IF($H77="","",SUMPRODUCT(--(Checklist!$E$10:$E$487=$H77)*--(Checklist!$D$10:$D$487=J$50)))</f>
        <v/>
      </c>
      <c r="K77" t="str" cm="1">
        <f t="array" ref="K77">IF($H77="","",SUMPRODUCT(--(Checklist!$E$10:$E$487=$H77)*--(Checklist!$D$10:$D$487=K$50)))</f>
        <v/>
      </c>
      <c r="L77" t="str" cm="1">
        <f t="array" ref="L77">IF($H77="","",SUMPRODUCT(--(Checklist!$E$10:$E$487=$H77)*--(Checklist!$D$10:$D$487=L$50)))</f>
        <v/>
      </c>
      <c r="M77" t="str" cm="1">
        <f t="array" ref="M77">IF($H77="","",SUMPRODUCT(--(Checklist!$E$10:$E$487=$H77)*--(Checklist!$D$10:$D$487=M$50)))</f>
        <v/>
      </c>
      <c r="N77" s="12" t="str">
        <f t="shared" si="6"/>
        <v/>
      </c>
      <c r="O77" s="12"/>
      <c r="Y77" s="12" t="str">
        <f>Values!$L$4</f>
        <v>Cost</v>
      </c>
      <c r="Z77">
        <f>COUNTIFS(Checklist!$D$10:$D$487, Y77, Checklist!$N$10:$N$487, "&lt;&gt;")</f>
        <v>0</v>
      </c>
    </row>
    <row r="78" spans="9:26">
      <c r="I78" t="str" cm="1">
        <f t="array" ref="I78">IF($H78="","",SUMPRODUCT(--(Checklist!$E$10:$E$487=$H78)*--(Checklist!$D$10:$D$487=I$50)))</f>
        <v/>
      </c>
      <c r="J78" t="str" cm="1">
        <f t="array" ref="J78">IF($H78="","",SUMPRODUCT(--(Checklist!$E$10:$E$487=$H78)*--(Checklist!$D$10:$D$487=J$50)))</f>
        <v/>
      </c>
      <c r="K78" t="str" cm="1">
        <f t="array" ref="K78">IF($H78="","",SUMPRODUCT(--(Checklist!$E$10:$E$487=$H78)*--(Checklist!$D$10:$D$487=K$50)))</f>
        <v/>
      </c>
      <c r="L78" t="str" cm="1">
        <f t="array" ref="L78">IF($H78="","",SUMPRODUCT(--(Checklist!$E$10:$E$487=$H78)*--(Checklist!$D$10:$D$487=L$50)))</f>
        <v/>
      </c>
      <c r="M78" t="str" cm="1">
        <f t="array" ref="M78">IF($H78="","",SUMPRODUCT(--(Checklist!$E$10:$E$487=$H78)*--(Checklist!$D$10:$D$487=M$50)))</f>
        <v/>
      </c>
      <c r="N78" s="12" t="str">
        <f t="shared" si="6"/>
        <v/>
      </c>
      <c r="O78" s="12"/>
      <c r="Y78" s="12" t="str">
        <f>Values!$L$5</f>
        <v>Operations</v>
      </c>
      <c r="Z78">
        <f>COUNTIFS(Checklist!$D$10:$D$487, Y78, Checklist!$N$10:$N$487, "&lt;&gt;")</f>
        <v>0</v>
      </c>
    </row>
    <row r="79" spans="9:26">
      <c r="I79" t="str" cm="1">
        <f t="array" ref="I79">IF($H79="","",SUMPRODUCT(--(Checklist!$E$10:$E$487=$H79)*--(Checklist!$D$10:$D$487=I$50)))</f>
        <v/>
      </c>
      <c r="J79" t="str" cm="1">
        <f t="array" ref="J79">IF($H79="","",SUMPRODUCT(--(Checklist!$E$10:$E$487=$H79)*--(Checklist!$D$10:$D$487=J$50)))</f>
        <v/>
      </c>
      <c r="K79" t="str" cm="1">
        <f t="array" ref="K79">IF($H79="","",SUMPRODUCT(--(Checklist!$E$10:$E$487=$H79)*--(Checklist!$D$10:$D$487=K$50)))</f>
        <v/>
      </c>
      <c r="L79" t="str" cm="1">
        <f t="array" ref="L79">IF($H79="","",SUMPRODUCT(--(Checklist!$E$10:$E$487=$H79)*--(Checklist!$D$10:$D$487=L$50)))</f>
        <v/>
      </c>
      <c r="M79" t="str" cm="1">
        <f t="array" ref="M79">IF($H79="","",SUMPRODUCT(--(Checklist!$E$10:$E$487=$H79)*--(Checklist!$D$10:$D$487=M$50)))</f>
        <v/>
      </c>
      <c r="N79" s="12" t="str">
        <f t="shared" si="6"/>
        <v/>
      </c>
      <c r="O79" s="12"/>
      <c r="Y79" s="12" t="str">
        <f>Values!$L$6</f>
        <v>Performance</v>
      </c>
      <c r="Z79">
        <f>COUNTIFS(Checklist!$D$10:$D$487, Y79, Checklist!$N$10:$N$487, "&lt;&gt;")</f>
        <v>0</v>
      </c>
    </row>
    <row r="80" spans="9:26">
      <c r="I80" t="str" cm="1">
        <f t="array" ref="I80">IF($H80="","",SUMPRODUCT(--(Checklist!$E$10:$E$487=$H80)*--(Checklist!$D$10:$D$487=I$50)))</f>
        <v/>
      </c>
      <c r="J80" t="str" cm="1">
        <f t="array" ref="J80">IF($H80="","",SUMPRODUCT(--(Checklist!$E$10:$E$487=$H80)*--(Checklist!$D$10:$D$487=J$50)))</f>
        <v/>
      </c>
      <c r="K80" t="str" cm="1">
        <f t="array" ref="K80">IF($H80="","",SUMPRODUCT(--(Checklist!$E$10:$E$487=$H80)*--(Checklist!$D$10:$D$487=K$50)))</f>
        <v/>
      </c>
      <c r="L80" t="str" cm="1">
        <f t="array" ref="L80">IF($H80="","",SUMPRODUCT(--(Checklist!$E$10:$E$487=$H80)*--(Checklist!$D$10:$D$487=L$50)))</f>
        <v/>
      </c>
      <c r="M80" t="str" cm="1">
        <f t="array" ref="M80">IF($H80="","",SUMPRODUCT(--(Checklist!$E$10:$E$487=$H80)*--(Checklist!$D$10:$D$487=M$50)))</f>
        <v/>
      </c>
      <c r="N80" s="12" t="str">
        <f t="shared" si="6"/>
        <v/>
      </c>
      <c r="O80" s="12"/>
      <c r="Z80" s="12">
        <f>SUM(Z75:Z79)</f>
        <v>0</v>
      </c>
    </row>
    <row r="81" spans="9:15">
      <c r="I81" t="str" cm="1">
        <f t="array" ref="I81">IF($H81="","",SUMPRODUCT(--(Checklist!$E$10:$E$487=$H81)*--(Checklist!$D$10:$D$487=I$50)))</f>
        <v/>
      </c>
      <c r="J81" t="str" cm="1">
        <f t="array" ref="J81">IF($H81="","",SUMPRODUCT(--(Checklist!$E$10:$E$487=$H81)*--(Checklist!$D$10:$D$487=J$50)))</f>
        <v/>
      </c>
      <c r="K81" t="str" cm="1">
        <f t="array" ref="K81">IF($H81="","",SUMPRODUCT(--(Checklist!$E$10:$E$487=$H81)*--(Checklist!$D$10:$D$487=K$50)))</f>
        <v/>
      </c>
      <c r="L81" t="str" cm="1">
        <f t="array" ref="L81">IF($H81="","",SUMPRODUCT(--(Checklist!$E$10:$E$487=$H81)*--(Checklist!$D$10:$D$487=L$50)))</f>
        <v/>
      </c>
      <c r="M81" t="str" cm="1">
        <f t="array" ref="M81">IF($H81="","",SUMPRODUCT(--(Checklist!$E$10:$E$487=$H81)*--(Checklist!$D$10:$D$487=M$50)))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IF($H82="","",SUMPRODUCT(--(Checklist!$E$10:$E$487=$H82)*--(Checklist!$D$10:$D$487=I$50)))</f>
        <v/>
      </c>
      <c r="J82" t="str" cm="1">
        <f t="array" ref="J82">IF($H82="","",SUMPRODUCT(--(Checklist!$E$10:$E$487=$H82)*--(Checklist!$D$10:$D$487=J$50)))</f>
        <v/>
      </c>
      <c r="K82" t="str" cm="1">
        <f t="array" ref="K82">IF($H82="","",SUMPRODUCT(--(Checklist!$E$10:$E$487=$H82)*--(Checklist!$D$10:$D$487=K$50)))</f>
        <v/>
      </c>
      <c r="L82" t="str" cm="1">
        <f t="array" ref="L82">IF($H82="","",SUMPRODUCT(--(Checklist!$E$10:$E$487=$H82)*--(Checklist!$D$10:$D$487=L$50)))</f>
        <v/>
      </c>
      <c r="M82" t="str" cm="1">
        <f t="array" ref="M82">IF($H82="","",SUMPRODUCT(--(Checklist!$E$10:$E$487=$H82)*--(Checklist!$D$10:$D$487=M$50)))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IF($H83="","",SUMPRODUCT(--(Checklist!$E$10:$E$487=$H83)*--(Checklist!$D$10:$D$487=I$50)))</f>
        <v/>
      </c>
      <c r="J83" t="str" cm="1">
        <f t="array" ref="J83">IF($H83="","",SUMPRODUCT(--(Checklist!$E$10:$E$487=$H83)*--(Checklist!$D$10:$D$487=J$50)))</f>
        <v/>
      </c>
      <c r="K83" t="str" cm="1">
        <f t="array" ref="K83">IF($H83="","",SUMPRODUCT(--(Checklist!$E$10:$E$487=$H83)*--(Checklist!$D$10:$D$487=K$50)))</f>
        <v/>
      </c>
      <c r="L83" t="str" cm="1">
        <f t="array" ref="L83">IF($H83="","",SUMPRODUCT(--(Checklist!$E$10:$E$487=$H83)*--(Checklist!$D$10:$D$487=L$50)))</f>
        <v/>
      </c>
      <c r="M83" t="str" cm="1">
        <f t="array" ref="M83">IF($H83="","",SUMPRODUCT(--(Checklist!$E$10:$E$487=$H83)*--(Checklist!$D$10:$D$487=M$50)))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IF($H84="","",SUMPRODUCT(--(Checklist!$E$10:$E$487=$H84)*--(Checklist!$D$10:$D$487=I$50)))</f>
        <v/>
      </c>
      <c r="J84" t="str" cm="1">
        <f t="array" ref="J84">IF($H84="","",SUMPRODUCT(--(Checklist!$E$10:$E$487=$H84)*--(Checklist!$D$10:$D$487=J$50)))</f>
        <v/>
      </c>
      <c r="K84" t="str" cm="1">
        <f t="array" ref="K84">IF($H84="","",SUMPRODUCT(--(Checklist!$E$10:$E$487=$H84)*--(Checklist!$D$10:$D$487=K$50)))</f>
        <v/>
      </c>
      <c r="L84" t="str" cm="1">
        <f t="array" ref="L84">IF($H84="","",SUMPRODUCT(--(Checklist!$E$10:$E$487=$H84)*--(Checklist!$D$10:$D$487=L$50)))</f>
        <v/>
      </c>
      <c r="M84" t="str" cm="1">
        <f t="array" ref="M84">IF($H84="","",SUMPRODUCT(--(Checklist!$E$10:$E$487=$H84)*--(Checklist!$D$10:$D$487=M$50)))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IF($H85="","",SUMPRODUCT(--(Checklist!$E$10:$E$487=$H85)*--(Checklist!$D$10:$D$487=I$50)))</f>
        <v/>
      </c>
      <c r="J85" t="str" cm="1">
        <f t="array" ref="J85">IF($H85="","",SUMPRODUCT(--(Checklist!$E$10:$E$487=$H85)*--(Checklist!$D$10:$D$487=J$50)))</f>
        <v/>
      </c>
      <c r="K85" t="str" cm="1">
        <f t="array" ref="K85">IF($H85="","",SUMPRODUCT(--(Checklist!$E$10:$E$487=$H85)*--(Checklist!$D$10:$D$487=K$50)))</f>
        <v/>
      </c>
      <c r="L85" t="str" cm="1">
        <f t="array" ref="L85">IF($H85="","",SUMPRODUCT(--(Checklist!$E$10:$E$487=$H85)*--(Checklist!$D$10:$D$487=L$50)))</f>
        <v/>
      </c>
      <c r="M85" t="str" cm="1">
        <f t="array" ref="M85">IF($H85="","",SUMPRODUCT(--(Checklist!$E$10:$E$487=$H85)*--(Checklist!$D$10:$D$487=M$50)))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IF($H86="","",SUMPRODUCT(--(Checklist!$E$10:$E$487=$H86)*--(Checklist!$D$10:$D$487=I$50)))</f>
        <v/>
      </c>
      <c r="J86" t="str" cm="1">
        <f t="array" ref="J86">IF($H86="","",SUMPRODUCT(--(Checklist!$E$10:$E$487=$H86)*--(Checklist!$D$10:$D$487=J$50)))</f>
        <v/>
      </c>
      <c r="K86" t="str" cm="1">
        <f t="array" ref="K86">IF($H86="","",SUMPRODUCT(--(Checklist!$E$10:$E$487=$H86)*--(Checklist!$D$10:$D$487=K$50)))</f>
        <v/>
      </c>
      <c r="L86" t="str" cm="1">
        <f t="array" ref="L86">IF($H86="","",SUMPRODUCT(--(Checklist!$E$10:$E$487=$H86)*--(Checklist!$D$10:$D$487=L$50)))</f>
        <v/>
      </c>
      <c r="M86" t="str" cm="1">
        <f t="array" ref="M86">IF($H86="","",SUMPRODUCT(--(Checklist!$E$10:$E$487=$H86)*--(Checklist!$D$10:$D$487=M$50)))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IF($H87="","",SUMPRODUCT(--(Checklist!$E$10:$E$487=$H87)*--(Checklist!$D$10:$D$487=I$50)))</f>
        <v/>
      </c>
      <c r="J87" t="str" cm="1">
        <f t="array" ref="J87">IF($H87="","",SUMPRODUCT(--(Checklist!$E$10:$E$487=$H87)*--(Checklist!$D$10:$D$487=J$50)))</f>
        <v/>
      </c>
      <c r="K87" t="str" cm="1">
        <f t="array" ref="K87">IF($H87="","",SUMPRODUCT(--(Checklist!$E$10:$E$487=$H87)*--(Checklist!$D$10:$D$487=K$50)))</f>
        <v/>
      </c>
      <c r="L87" t="str" cm="1">
        <f t="array" ref="L87">IF($H87="","",SUMPRODUCT(--(Checklist!$E$10:$E$487=$H87)*--(Checklist!$D$10:$D$487=L$50)))</f>
        <v/>
      </c>
      <c r="M87" t="str" cm="1">
        <f t="array" ref="M87">IF($H87="","",SUMPRODUCT(--(Checklist!$E$10:$E$487=$H87)*--(Checklist!$D$10:$D$487=M$50)))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IF($H88="","",SUMPRODUCT(--(Checklist!$E$10:$E$487=$H88)*--(Checklist!$D$10:$D$487=I$50)))</f>
        <v/>
      </c>
      <c r="J88" t="str" cm="1">
        <f t="array" ref="J88">IF($H88="","",SUMPRODUCT(--(Checklist!$E$10:$E$487=$H88)*--(Checklist!$D$10:$D$487=J$50)))</f>
        <v/>
      </c>
      <c r="K88" t="str" cm="1">
        <f t="array" ref="K88">IF($H88="","",SUMPRODUCT(--(Checklist!$E$10:$E$487=$H88)*--(Checklist!$D$10:$D$487=K$50)))</f>
        <v/>
      </c>
      <c r="L88" t="str" cm="1">
        <f t="array" ref="L88">IF($H88="","",SUMPRODUCT(--(Checklist!$E$10:$E$487=$H88)*--(Checklist!$D$10:$D$487=L$50)))</f>
        <v/>
      </c>
      <c r="M88" t="str" cm="1">
        <f t="array" ref="M88">IF($H88="","",SUMPRODUCT(--(Checklist!$E$10:$E$487=$H88)*--(Checklist!$D$10:$D$487=M$50)))</f>
        <v/>
      </c>
      <c r="N88" s="12" t="str">
        <f t="shared" si="7"/>
        <v/>
      </c>
    </row>
    <row r="89" spans="9:15">
      <c r="I89" t="str" cm="1">
        <f t="array" ref="I89">IF($H89="","",SUMPRODUCT(--(Checklist!$E$10:$E$487=$H89)*--(Checklist!$D$10:$D$487=I$50)))</f>
        <v/>
      </c>
      <c r="J89" t="str" cm="1">
        <f t="array" ref="J89">IF($H89="","",SUMPRODUCT(--(Checklist!$E$10:$E$487=$H89)*--(Checklist!$D$10:$D$487=J$50)))</f>
        <v/>
      </c>
      <c r="K89" t="str" cm="1">
        <f t="array" ref="K89">IF($H89="","",SUMPRODUCT(--(Checklist!$E$10:$E$487=$H89)*--(Checklist!$D$10:$D$487=K$50)))</f>
        <v/>
      </c>
      <c r="L89" t="str" cm="1">
        <f t="array" ref="L89">IF($H89="","",SUMPRODUCT(--(Checklist!$E$10:$E$487=$H89)*--(Checklist!$D$10:$D$487=L$50)))</f>
        <v/>
      </c>
      <c r="M89" t="str" cm="1">
        <f t="array" ref="M89">IF($H89="","",SUMPRODUCT(--(Checklist!$E$10:$E$487=$H89)*--(Checklist!$D$10:$D$487=M$50)))</f>
        <v/>
      </c>
      <c r="N89" s="12" t="str">
        <f t="shared" si="7"/>
        <v/>
      </c>
    </row>
    <row r="90" spans="9:15">
      <c r="I90" t="str" cm="1">
        <f t="array" ref="I90">IF($H90="","",SUMPRODUCT(--(Checklist!$E$10:$E$487=$H90)*--(Checklist!$D$10:$D$487=I$50)))</f>
        <v/>
      </c>
      <c r="J90" t="str" cm="1">
        <f t="array" ref="J90">IF($H90="","",SUMPRODUCT(--(Checklist!$E$10:$E$487=$H90)*--(Checklist!$D$10:$D$487=J$50)))</f>
        <v/>
      </c>
      <c r="K90" t="str" cm="1">
        <f t="array" ref="K90">IF($H90="","",SUMPRODUCT(--(Checklist!$E$10:$E$487=$H90)*--(Checklist!$D$10:$D$487=K$50)))</f>
        <v/>
      </c>
      <c r="L90" t="str" cm="1">
        <f t="array" ref="L90">IF($H90="","",SUMPRODUCT(--(Checklist!$E$10:$E$487=$H90)*--(Checklist!$D$10:$D$487=L$50)))</f>
        <v/>
      </c>
      <c r="M90" t="str" cm="1">
        <f t="array" ref="M90">IF($H90="","",SUMPRODUCT(--(Checklist!$E$10:$E$487=$H90)*--(Checklist!$D$10:$D$487=M$50)))</f>
        <v/>
      </c>
      <c r="N90" s="12" t="str">
        <f t="shared" si="7"/>
        <v/>
      </c>
    </row>
    <row r="91" spans="9:15">
      <c r="I91" t="str" cm="1">
        <f t="array" ref="I91">IF($H91="","",SUMPRODUCT(--(Checklist!$E$10:$E$487=$H91)*--(Checklist!$D$10:$D$487=I$50)))</f>
        <v/>
      </c>
      <c r="J91" t="str" cm="1">
        <f t="array" ref="J91">IF($H91="","",SUMPRODUCT(--(Checklist!$E$10:$E$487=$H91)*--(Checklist!$D$10:$D$487=J$50)))</f>
        <v/>
      </c>
      <c r="K91" t="str" cm="1">
        <f t="array" ref="K91">IF($H91="","",SUMPRODUCT(--(Checklist!$E$10:$E$487=$H91)*--(Checklist!$D$10:$D$487=K$50)))</f>
        <v/>
      </c>
      <c r="L91" t="str" cm="1">
        <f t="array" ref="L91">IF($H91="","",SUMPRODUCT(--(Checklist!$E$10:$E$487=$H91)*--(Checklist!$D$10:$D$487=L$50)))</f>
        <v/>
      </c>
      <c r="M91" t="str" cm="1">
        <f t="array" ref="M91">IF($H91="","",SUMPRODUCT(--(Checklist!$E$10:$E$487=$H91)*--(Checklist!$D$10:$D$487=M$50)))</f>
        <v/>
      </c>
      <c r="N91" s="12" t="str">
        <f t="shared" si="7"/>
        <v/>
      </c>
    </row>
    <row r="92" spans="9:15">
      <c r="I92" t="str" cm="1">
        <f t="array" ref="I92">IF($H92="","",SUMPRODUCT(--(Checklist!$E$10:$E$487=$H92)*--(Checklist!$D$10:$D$487=I$50)))</f>
        <v/>
      </c>
      <c r="J92" t="str" cm="1">
        <f t="array" ref="J92">IF($H92="","",SUMPRODUCT(--(Checklist!$E$10:$E$487=$H92)*--(Checklist!$D$10:$D$487=J$50)))</f>
        <v/>
      </c>
      <c r="K92" t="str" cm="1">
        <f t="array" ref="K92">IF($H92="","",SUMPRODUCT(--(Checklist!$E$10:$E$487=$H92)*--(Checklist!$D$10:$D$487=K$50)))</f>
        <v/>
      </c>
      <c r="L92" t="str" cm="1">
        <f t="array" ref="L92">IF($H92="","",SUMPRODUCT(--(Checklist!$E$10:$E$487=$H92)*--(Checklist!$D$10:$D$487=L$50)))</f>
        <v/>
      </c>
      <c r="M92" t="str" cm="1">
        <f t="array" ref="M92">IF($H92="","",SUMPRODUCT(--(Checklist!$E$10:$E$487=$H92)*--(Checklist!$D$10:$D$487=M$50)))</f>
        <v/>
      </c>
      <c r="N92" s="12" t="str">
        <f t="shared" si="7"/>
        <v/>
      </c>
    </row>
    <row r="93" spans="9:15">
      <c r="I93" t="str" cm="1">
        <f t="array" ref="I93">IF($H93="","",SUMPRODUCT(--(Checklist!$E$10:$E$487=$H93)*--(Checklist!$D$10:$D$487=I$50)))</f>
        <v/>
      </c>
      <c r="J93" t="str" cm="1">
        <f t="array" ref="J93">IF($H93="","",SUMPRODUCT(--(Checklist!$E$10:$E$487=$H93)*--(Checklist!$D$10:$D$487=J$50)))</f>
        <v/>
      </c>
      <c r="K93" t="str" cm="1">
        <f t="array" ref="K93">IF($H93="","",SUMPRODUCT(--(Checklist!$E$10:$E$487=$H93)*--(Checklist!$D$10:$D$487=K$50)))</f>
        <v/>
      </c>
      <c r="L93" t="str" cm="1">
        <f t="array" ref="L93">IF($H93="","",SUMPRODUCT(--(Checklist!$E$10:$E$487=$H93)*--(Checklist!$D$10:$D$487=L$50)))</f>
        <v/>
      </c>
      <c r="M93" t="str" cm="1">
        <f t="array" ref="M93">IF($H93="","",SUMPRODUCT(--(Checklist!$E$10:$E$487=$H93)*--(Checklist!$D$10:$D$487=M$50)))</f>
        <v/>
      </c>
      <c r="N93" s="12" t="str">
        <f t="shared" si="7"/>
        <v/>
      </c>
    </row>
    <row r="94" spans="9:15">
      <c r="I94" t="str" cm="1">
        <f t="array" ref="I94">IF($H94="","",SUMPRODUCT(--(Checklist!$E$10:$E$487=$H94)*--(Checklist!$D$10:$D$487=I$50)))</f>
        <v/>
      </c>
      <c r="J94" t="str" cm="1">
        <f t="array" ref="J94">IF($H94="","",SUMPRODUCT(--(Checklist!$E$10:$E$487=$H94)*--(Checklist!$D$10:$D$487=J$50)))</f>
        <v/>
      </c>
      <c r="K94" t="str" cm="1">
        <f t="array" ref="K94">IF($H94="","",SUMPRODUCT(--(Checklist!$E$10:$E$487=$H94)*--(Checklist!$D$10:$D$487=K$50)))</f>
        <v/>
      </c>
      <c r="L94" t="str" cm="1">
        <f t="array" ref="L94">IF($H94="","",SUMPRODUCT(--(Checklist!$E$10:$E$487=$H94)*--(Checklist!$D$10:$D$487=L$50)))</f>
        <v/>
      </c>
      <c r="M94" t="str" cm="1">
        <f t="array" ref="M94">IF($H94="","",SUMPRODUCT(--(Checklist!$E$10:$E$487=$H94)*--(Checklist!$D$10:$D$487=M$50)))</f>
        <v/>
      </c>
      <c r="N94" s="12" t="str">
        <f t="shared" si="7"/>
        <v/>
      </c>
    </row>
    <row r="95" spans="9:15">
      <c r="I95" t="str" cm="1">
        <f t="array" ref="I95">IF($H95="","",SUMPRODUCT(--(Checklist!$E$10:$E$487=$H95)*--(Checklist!$D$10:$D$487=I$50)))</f>
        <v/>
      </c>
      <c r="J95" t="str" cm="1">
        <f t="array" ref="J95">IF($H95="","",SUMPRODUCT(--(Checklist!$E$10:$E$487=$H95)*--(Checklist!$D$10:$D$487=J$50)))</f>
        <v/>
      </c>
      <c r="K95" t="str" cm="1">
        <f t="array" ref="K95">IF($H95="","",SUMPRODUCT(--(Checklist!$E$10:$E$487=$H95)*--(Checklist!$D$10:$D$487=K$50)))</f>
        <v/>
      </c>
      <c r="L95" t="str" cm="1">
        <f t="array" ref="L95">IF($H95="","",SUMPRODUCT(--(Checklist!$E$10:$E$487=$H95)*--(Checklist!$D$10:$D$487=L$50)))</f>
        <v/>
      </c>
      <c r="M95" t="str" cm="1">
        <f t="array" ref="M95">IF($H95="","",SUMPRODUCT(--(Checklist!$E$10:$E$487=$H95)*--(Checklist!$D$10:$D$487=M$50)))</f>
        <v/>
      </c>
      <c r="N95" s="12" t="str">
        <f t="shared" si="7"/>
        <v/>
      </c>
    </row>
    <row r="96" spans="9:15">
      <c r="I96" t="str" cm="1">
        <f t="array" ref="I96">IF($H96="","",SUMPRODUCT(--(Checklist!$E$10:$E$487=$H96)*--(Checklist!$D$10:$D$487=I$50)))</f>
        <v/>
      </c>
      <c r="J96" t="str" cm="1">
        <f t="array" ref="J96">IF($H96="","",SUMPRODUCT(--(Checklist!$E$10:$E$487=$H96)*--(Checklist!$D$10:$D$487=J$50)))</f>
        <v/>
      </c>
      <c r="K96" t="str" cm="1">
        <f t="array" ref="K96">IF($H96="","",SUMPRODUCT(--(Checklist!$E$10:$E$487=$H96)*--(Checklist!$D$10:$D$487=K$50)))</f>
        <v/>
      </c>
      <c r="L96" t="str" cm="1">
        <f t="array" ref="L96">IF($H96="","",SUMPRODUCT(--(Checklist!$E$10:$E$487=$H96)*--(Checklist!$D$10:$D$487=L$50)))</f>
        <v/>
      </c>
      <c r="M96" t="str" cm="1">
        <f t="array" ref="M96">IF($H96="","",SUMPRODUCT(--(Checklist!$E$10:$E$487=$H96)*--(Checklist!$D$10:$D$487=M$50)))</f>
        <v/>
      </c>
      <c r="N96" s="12" t="str">
        <f t="shared" ref="N96:N105" si="8">IF($H96="","",SUM(I96:M96))</f>
        <v/>
      </c>
    </row>
    <row r="97" spans="9:14">
      <c r="I97" t="str" cm="1">
        <f t="array" ref="I97">IF($H97="","",SUMPRODUCT(--(Checklist!$E$10:$E$487=$H97)*--(Checklist!$D$10:$D$487=I$50)))</f>
        <v/>
      </c>
      <c r="J97" t="str" cm="1">
        <f t="array" ref="J97">IF($H97="","",SUMPRODUCT(--(Checklist!$E$10:$E$487=$H97)*--(Checklist!$D$10:$D$487=J$50)))</f>
        <v/>
      </c>
      <c r="K97" t="str" cm="1">
        <f t="array" ref="K97">IF($H97="","",SUMPRODUCT(--(Checklist!$E$10:$E$487=$H97)*--(Checklist!$D$10:$D$487=K$50)))</f>
        <v/>
      </c>
      <c r="L97" t="str" cm="1">
        <f t="array" ref="L97">IF($H97="","",SUMPRODUCT(--(Checklist!$E$10:$E$487=$H97)*--(Checklist!$D$10:$D$487=L$50)))</f>
        <v/>
      </c>
      <c r="M97" t="str" cm="1">
        <f t="array" ref="M97">IF($H97="","",SUMPRODUCT(--(Checklist!$E$10:$E$487=$H97)*--(Checklist!$D$10:$D$487=M$50)))</f>
        <v/>
      </c>
      <c r="N97" s="12" t="str">
        <f t="shared" si="8"/>
        <v/>
      </c>
    </row>
    <row r="98" spans="9:14">
      <c r="I98" t="str" cm="1">
        <f t="array" ref="I98">IF($H98="","",SUMPRODUCT(--(Checklist!$E$10:$E$487=$H98)*--(Checklist!$D$10:$D$487=I$50)))</f>
        <v/>
      </c>
      <c r="J98" t="str" cm="1">
        <f t="array" ref="J98">IF($H98="","",SUMPRODUCT(--(Checklist!$E$10:$E$487=$H98)*--(Checklist!$D$10:$D$487=J$50)))</f>
        <v/>
      </c>
      <c r="K98" t="str" cm="1">
        <f t="array" ref="K98">IF($H98="","",SUMPRODUCT(--(Checklist!$E$10:$E$487=$H98)*--(Checklist!$D$10:$D$487=K$50)))</f>
        <v/>
      </c>
      <c r="L98" t="str" cm="1">
        <f t="array" ref="L98">IF($H98="","",SUMPRODUCT(--(Checklist!$E$10:$E$487=$H98)*--(Checklist!$D$10:$D$487=L$50)))</f>
        <v/>
      </c>
      <c r="M98" t="str" cm="1">
        <f t="array" ref="M98">IF($H98="","",SUMPRODUCT(--(Checklist!$E$10:$E$487=$H98)*--(Checklist!$D$10:$D$487=M$50)))</f>
        <v/>
      </c>
      <c r="N98" s="12" t="str">
        <f t="shared" si="8"/>
        <v/>
      </c>
    </row>
    <row r="99" spans="9:14">
      <c r="I99" t="str" cm="1">
        <f t="array" ref="I99">IF($H99="","",SUMPRODUCT(--(Checklist!$E$10:$E$487=$H99)*--(Checklist!$D$10:$D$487=I$50)))</f>
        <v/>
      </c>
      <c r="J99" t="str" cm="1">
        <f t="array" ref="J99">IF($H99="","",SUMPRODUCT(--(Checklist!$E$10:$E$487=$H99)*--(Checklist!$D$10:$D$487=J$50)))</f>
        <v/>
      </c>
      <c r="K99" t="str" cm="1">
        <f t="array" ref="K99">IF($H99="","",SUMPRODUCT(--(Checklist!$E$10:$E$487=$H99)*--(Checklist!$D$10:$D$487=K$50)))</f>
        <v/>
      </c>
      <c r="L99" t="str" cm="1">
        <f t="array" ref="L99">IF($H99="","",SUMPRODUCT(--(Checklist!$E$10:$E$487=$H99)*--(Checklist!$D$10:$D$487=L$50)))</f>
        <v/>
      </c>
      <c r="M99" t="str" cm="1">
        <f t="array" ref="M99">IF($H99="","",SUMPRODUCT(--(Checklist!$E$10:$E$487=$H99)*--(Checklist!$D$10:$D$487=M$50)))</f>
        <v/>
      </c>
      <c r="N99" s="12" t="str">
        <f t="shared" si="8"/>
        <v/>
      </c>
    </row>
    <row r="100" spans="9:14">
      <c r="I100" t="str" cm="1">
        <f t="array" ref="I100">IF($H100="","",SUMPRODUCT(--(Checklist!$E$10:$E$487=$H100)*--(Checklist!$D$10:$D$487=I$50)))</f>
        <v/>
      </c>
      <c r="J100" t="str" cm="1">
        <f t="array" ref="J100">IF($H100="","",SUMPRODUCT(--(Checklist!$E$10:$E$487=$H100)*--(Checklist!$D$10:$D$487=J$50)))</f>
        <v/>
      </c>
      <c r="K100" t="str" cm="1">
        <f t="array" ref="K100">IF($H100="","",SUMPRODUCT(--(Checklist!$E$10:$E$487=$H100)*--(Checklist!$D$10:$D$487=K$50)))</f>
        <v/>
      </c>
      <c r="L100" t="str" cm="1">
        <f t="array" ref="L100">IF($H100="","",SUMPRODUCT(--(Checklist!$E$10:$E$487=$H100)*--(Checklist!$D$10:$D$487=L$50)))</f>
        <v/>
      </c>
      <c r="M100" t="str" cm="1">
        <f t="array" ref="M100">IF($H100="","",SUMPRODUCT(--(Checklist!$E$10:$E$487=$H100)*--(Checklist!$D$10:$D$487=M$50)))</f>
        <v/>
      </c>
      <c r="N100" s="12" t="str">
        <f t="shared" si="8"/>
        <v/>
      </c>
    </row>
    <row r="101" spans="9:14">
      <c r="I101" t="str" cm="1">
        <f t="array" ref="I101">IF($H101="","",SUMPRODUCT(--(Checklist!$E$10:$E$487=$H101)*--(Checklist!$D$10:$D$487=I$50)))</f>
        <v/>
      </c>
      <c r="J101" t="str" cm="1">
        <f t="array" ref="J101">IF($H101="","",SUMPRODUCT(--(Checklist!$E$10:$E$487=$H101)*--(Checklist!$D$10:$D$487=J$50)))</f>
        <v/>
      </c>
      <c r="K101" t="str" cm="1">
        <f t="array" ref="K101">IF($H101="","",SUMPRODUCT(--(Checklist!$E$10:$E$487=$H101)*--(Checklist!$D$10:$D$487=K$50)))</f>
        <v/>
      </c>
      <c r="L101" t="str" cm="1">
        <f t="array" ref="L101">IF($H101="","",SUMPRODUCT(--(Checklist!$E$10:$E$487=$H101)*--(Checklist!$D$10:$D$487=L$50)))</f>
        <v/>
      </c>
      <c r="M101" t="str" cm="1">
        <f t="array" ref="M101">IF($H101="","",SUMPRODUCT(--(Checklist!$E$10:$E$487=$H101)*--(Checklist!$D$10:$D$487=M$50)))</f>
        <v/>
      </c>
      <c r="N101" s="12" t="str">
        <f t="shared" si="8"/>
        <v/>
      </c>
    </row>
    <row r="102" spans="9:14">
      <c r="I102" t="str" cm="1">
        <f t="array" ref="I102">IF($H102="","",SUMPRODUCT(--(Checklist!$E$10:$E$487=$H102)*--(Checklist!$D$10:$D$487=I$50)))</f>
        <v/>
      </c>
      <c r="J102" t="str" cm="1">
        <f t="array" ref="J102">IF($H102="","",SUMPRODUCT(--(Checklist!$E$10:$E$487=$H102)*--(Checklist!$D$10:$D$487=J$50)))</f>
        <v/>
      </c>
      <c r="K102" t="str" cm="1">
        <f t="array" ref="K102">IF($H102="","",SUMPRODUCT(--(Checklist!$E$10:$E$487=$H102)*--(Checklist!$D$10:$D$487=K$50)))</f>
        <v/>
      </c>
      <c r="L102" t="str" cm="1">
        <f t="array" ref="L102">IF($H102="","",SUMPRODUCT(--(Checklist!$E$10:$E$487=$H102)*--(Checklist!$D$10:$D$487=L$50)))</f>
        <v/>
      </c>
      <c r="M102" t="str" cm="1">
        <f t="array" ref="M102">IF($H102="","",SUMPRODUCT(--(Checklist!$E$10:$E$487=$H102)*--(Checklist!$D$10:$D$487=M$50)))</f>
        <v/>
      </c>
      <c r="N102" s="12" t="str">
        <f t="shared" si="8"/>
        <v/>
      </c>
    </row>
    <row r="103" spans="9:14">
      <c r="I103" t="str" cm="1">
        <f t="array" ref="I103">IF($H103="","",SUMPRODUCT(--(Checklist!$E$10:$E$487=$H103)*--(Checklist!$D$10:$D$487=I$50)))</f>
        <v/>
      </c>
      <c r="J103" t="str" cm="1">
        <f t="array" ref="J103">IF($H103="","",SUMPRODUCT(--(Checklist!$E$10:$E$487=$H103)*--(Checklist!$D$10:$D$487=J$50)))</f>
        <v/>
      </c>
      <c r="K103" t="str" cm="1">
        <f t="array" ref="K103">IF($H103="","",SUMPRODUCT(--(Checklist!$E$10:$E$487=$H103)*--(Checklist!$D$10:$D$487=K$50)))</f>
        <v/>
      </c>
      <c r="L103" t="str" cm="1">
        <f t="array" ref="L103">IF($H103="","",SUMPRODUCT(--(Checklist!$E$10:$E$487=$H103)*--(Checklist!$D$10:$D$487=L$50)))</f>
        <v/>
      </c>
      <c r="M103" t="str" cm="1">
        <f t="array" ref="M103">IF($H103="","",SUMPRODUCT(--(Checklist!$E$10:$E$487=$H103)*--(Checklist!$D$10:$D$487=M$50)))</f>
        <v/>
      </c>
      <c r="N103" s="12" t="str">
        <f t="shared" si="8"/>
        <v/>
      </c>
    </row>
    <row r="104" spans="9:14">
      <c r="I104" t="str" cm="1">
        <f t="array" ref="I104">IF($H104="","",SUMPRODUCT(--(Checklist!$E$10:$E$487=$H104)*--(Checklist!$D$10:$D$487=I$50)))</f>
        <v/>
      </c>
      <c r="J104" t="str" cm="1">
        <f t="array" ref="J104">IF($H104="","",SUMPRODUCT(--(Checklist!$E$10:$E$487=$H104)*--(Checklist!$D$10:$D$487=J$50)))</f>
        <v/>
      </c>
      <c r="K104" t="str" cm="1">
        <f t="array" ref="K104">IF($H104="","",SUMPRODUCT(--(Checklist!$E$10:$E$487=$H104)*--(Checklist!$D$10:$D$487=K$50)))</f>
        <v/>
      </c>
      <c r="L104" t="str" cm="1">
        <f t="array" ref="L104">IF($H104="","",SUMPRODUCT(--(Checklist!$E$10:$E$487=$H104)*--(Checklist!$D$10:$D$487=L$50)))</f>
        <v/>
      </c>
      <c r="M104" t="str" cm="1">
        <f t="array" ref="M104">IF($H104="","",SUMPRODUCT(--(Checklist!$E$10:$E$487=$H104)*--(Checklist!$D$10:$D$487=M$50)))</f>
        <v/>
      </c>
      <c r="N104" s="12" t="str">
        <f t="shared" si="8"/>
        <v/>
      </c>
    </row>
    <row r="105" spans="9:14">
      <c r="I105" t="str" cm="1">
        <f t="array" ref="I105">IF($H105="","",SUMPRODUCT(--(Checklist!$E$10:$E$487=$H105)*--(Checklist!$D$10:$D$487=I$50)))</f>
        <v/>
      </c>
      <c r="J105" t="str" cm="1">
        <f t="array" ref="J105">IF($H105="","",SUMPRODUCT(--(Checklist!$E$10:$E$487=$H105)*--(Checklist!$D$10:$D$487=J$50)))</f>
        <v/>
      </c>
      <c r="K105" t="str" cm="1">
        <f t="array" ref="K105">IF($H105="","",SUMPRODUCT(--(Checklist!$E$10:$E$487=$H105)*--(Checklist!$D$10:$D$487=K$50)))</f>
        <v/>
      </c>
      <c r="L105" t="str" cm="1">
        <f t="array" ref="L105">IF($H105="","",SUMPRODUCT(--(Checklist!$E$10:$E$487=$H105)*--(Checklist!$D$10:$D$487=L$50)))</f>
        <v/>
      </c>
      <c r="M105" t="str" cm="1">
        <f t="array" ref="M105">IF($H105="","",SUMPRODUCT(--(Checklist!$E$10:$E$487=$H105)*--(Checklist!$D$10:$D$487=M$50)))</f>
        <v/>
      </c>
      <c r="N105" s="12" t="str">
        <f t="shared" si="8"/>
        <v/>
      </c>
    </row>
    <row r="106" spans="9:14">
      <c r="I106" s="12" t="e" vm="2">
        <f>SUM(I51:I105)</f>
        <v>#VALUE!</v>
      </c>
      <c r="J106" s="12" t="e" vm="2">
        <f>SUM(J51:J105)</f>
        <v>#VALUE!</v>
      </c>
      <c r="K106" s="12" t="e" vm="2">
        <f>SUM(K51:K105)</f>
        <v>#VALUE!</v>
      </c>
      <c r="L106" s="12" t="e" vm="2">
        <f>SUM(L51:L105)</f>
        <v>#VALUE!</v>
      </c>
      <c r="M106" s="12" t="e" vm="2">
        <f>SUM(M51:M105)</f>
        <v>#VALUE!</v>
      </c>
      <c r="N106" s="12" t="e" vm="2">
        <f>SUM(N51:N95)</f>
        <v>#VALUE!</v>
      </c>
    </row>
    <row r="107" spans="9:14">
      <c r="K107" s="41"/>
    </row>
    <row r="108" spans="9:14">
      <c r="K108" s="41"/>
    </row>
    <row r="109" spans="9:14">
      <c r="K109" s="41"/>
    </row>
    <row r="110" spans="9:14">
      <c r="K110" s="41"/>
    </row>
    <row r="111" spans="9:14">
      <c r="K111" s="41"/>
      <c r="L111" s="41"/>
    </row>
    <row r="112" spans="9:14">
      <c r="K112" s="41"/>
      <c r="L112" s="41"/>
    </row>
    <row r="113" spans="11:12">
      <c r="K113" s="41"/>
    </row>
    <row r="114" spans="11:12">
      <c r="K114" s="41"/>
    </row>
    <row r="115" spans="11:12">
      <c r="K115" s="41"/>
    </row>
    <row r="116" spans="11:12">
      <c r="K116" s="41"/>
    </row>
    <row r="117" spans="11:12">
      <c r="K117" s="41"/>
      <c r="L117" s="41"/>
    </row>
    <row r="118" spans="11:12">
      <c r="K118" s="41"/>
      <c r="L118" s="41"/>
    </row>
    <row r="119" spans="11:12">
      <c r="K119" s="41"/>
    </row>
    <row r="120" spans="11:12">
      <c r="K120" s="41"/>
    </row>
    <row r="121" spans="11:12">
      <c r="K121" s="41"/>
    </row>
    <row r="122" spans="11:12">
      <c r="K122" s="41"/>
      <c r="L122" s="41"/>
    </row>
    <row r="123" spans="11:12">
      <c r="K123" s="41"/>
      <c r="L123" s="41"/>
    </row>
    <row r="124" spans="11:12">
      <c r="K124" s="41"/>
      <c r="L124" s="41"/>
    </row>
    <row r="125" spans="11:12">
      <c r="K125" s="41"/>
    </row>
    <row r="126" spans="11:12">
      <c r="K126" s="41"/>
    </row>
    <row r="127" spans="11:12">
      <c r="K127" s="41"/>
      <c r="L127" s="41"/>
    </row>
    <row r="128" spans="11:12">
      <c r="K128" s="41"/>
      <c r="L128" s="41"/>
    </row>
    <row r="129" spans="11:12">
      <c r="K129" s="41"/>
      <c r="L129" s="41"/>
    </row>
    <row r="130" spans="11:12">
      <c r="K130" s="41"/>
      <c r="L130" s="41"/>
    </row>
    <row r="131" spans="11:12">
      <c r="K131" s="41"/>
      <c r="L131" s="41"/>
    </row>
    <row r="132" spans="11:12">
      <c r="K132" s="41"/>
      <c r="L132" s="41"/>
    </row>
    <row r="133" spans="11:12">
      <c r="K133" s="41"/>
      <c r="L133" s="41"/>
    </row>
    <row r="134" spans="11:12">
      <c r="K134" s="41"/>
      <c r="L134" s="41"/>
    </row>
    <row r="135" spans="11:12">
      <c r="K135" s="41"/>
      <c r="L135" s="41"/>
    </row>
    <row r="136" spans="11:12">
      <c r="K136" s="41"/>
    </row>
    <row r="137" spans="11:12">
      <c r="K137" s="41"/>
      <c r="L137" s="41"/>
    </row>
    <row r="138" spans="11:12">
      <c r="K138" s="41"/>
      <c r="L138" s="41"/>
    </row>
    <row r="139" spans="11:12">
      <c r="K139" s="41"/>
      <c r="L139" s="41"/>
    </row>
    <row r="140" spans="11:12">
      <c r="K140" s="41"/>
      <c r="L140" s="41"/>
    </row>
    <row r="141" spans="11:12">
      <c r="K141" s="41"/>
      <c r="L141" s="41"/>
    </row>
    <row r="142" spans="11:12">
      <c r="K142" s="41"/>
      <c r="L142" s="41"/>
    </row>
    <row r="143" spans="11:12">
      <c r="K143" s="41"/>
    </row>
    <row r="144" spans="11:12">
      <c r="K144" s="41"/>
      <c r="L144" s="41"/>
    </row>
    <row r="145" spans="11:12">
      <c r="K145" s="41"/>
    </row>
    <row r="146" spans="11:12">
      <c r="K146" s="41"/>
    </row>
    <row r="147" spans="11:12">
      <c r="K147" s="41"/>
      <c r="L147" s="41"/>
    </row>
    <row r="148" spans="11:12">
      <c r="K148" s="41"/>
      <c r="L148" s="41"/>
    </row>
    <row r="149" spans="11:12">
      <c r="K149" s="41"/>
      <c r="L149" s="41"/>
    </row>
    <row r="150" spans="11:12">
      <c r="K150" s="41"/>
      <c r="L150" s="41"/>
    </row>
    <row r="151" spans="11:12">
      <c r="K151" s="41"/>
      <c r="L151" s="41"/>
    </row>
    <row r="152" spans="11:12">
      <c r="K152" s="41"/>
      <c r="L152" s="41"/>
    </row>
    <row r="153" spans="11:12">
      <c r="K153" s="41"/>
      <c r="L153" s="41"/>
    </row>
    <row r="154" spans="11:12">
      <c r="K154" s="41"/>
    </row>
    <row r="155" spans="11:12">
      <c r="K155" s="41"/>
    </row>
    <row r="156" spans="11:12">
      <c r="K156" s="41"/>
    </row>
    <row r="157" spans="11:12">
      <c r="K157" s="41"/>
    </row>
    <row r="158" spans="11:12">
      <c r="K158" s="41"/>
    </row>
    <row r="159" spans="11:12">
      <c r="K159" s="41"/>
      <c r="L159" s="41"/>
    </row>
    <row r="160" spans="11:12">
      <c r="K160" s="41"/>
      <c r="L160" s="41"/>
    </row>
    <row r="161" spans="11:12">
      <c r="K161" s="41"/>
      <c r="L161" s="41"/>
    </row>
    <row r="162" spans="11:12">
      <c r="K162" s="41"/>
      <c r="L162" s="41"/>
    </row>
    <row r="163" spans="11:12">
      <c r="K163" s="41"/>
      <c r="L163" s="41"/>
    </row>
    <row r="164" spans="11:12">
      <c r="K164" s="41"/>
    </row>
    <row r="165" spans="11:12">
      <c r="K165" s="41"/>
    </row>
    <row r="166" spans="11:12">
      <c r="K166" s="41"/>
    </row>
    <row r="167" spans="11:12">
      <c r="K167" s="41"/>
      <c r="L167" s="41"/>
    </row>
    <row r="168" spans="11:12">
      <c r="K168" s="41"/>
      <c r="L168" s="41"/>
    </row>
    <row r="169" spans="11:12">
      <c r="L169" s="41"/>
    </row>
    <row r="170" spans="11:12">
      <c r="K170" s="41"/>
      <c r="L170" s="41"/>
    </row>
    <row r="171" spans="11:12">
      <c r="K171" s="41"/>
      <c r="L171" s="41"/>
    </row>
    <row r="172" spans="11:12">
      <c r="K172" s="41"/>
      <c r="L172" s="41"/>
    </row>
    <row r="173" spans="11:12">
      <c r="K173" s="41"/>
    </row>
    <row r="174" spans="11:12">
      <c r="K174" s="41"/>
    </row>
    <row r="175" spans="11:12">
      <c r="K175" s="41"/>
      <c r="L175" s="41"/>
    </row>
    <row r="176" spans="11:12">
      <c r="K176" s="41"/>
    </row>
    <row r="177" spans="11:11">
      <c r="K177" s="41"/>
    </row>
    <row r="178" spans="11:11">
      <c r="K178" s="41"/>
    </row>
    <row r="179" spans="11:11">
      <c r="K179" s="41"/>
    </row>
    <row r="180" spans="11:11">
      <c r="K180" s="41"/>
    </row>
    <row r="181" spans="11:11">
      <c r="K181" s="41"/>
    </row>
    <row r="182" spans="11:11">
      <c r="K182" s="41"/>
    </row>
    <row r="183" spans="11:11">
      <c r="K183" s="41"/>
    </row>
    <row r="184" spans="11:11">
      <c r="K184" s="41"/>
    </row>
    <row r="185" spans="11:11">
      <c r="K185" s="41"/>
    </row>
    <row r="186" spans="11:11">
      <c r="K186" s="41"/>
    </row>
    <row r="187" spans="11:11">
      <c r="K187" s="41"/>
    </row>
    <row r="188" spans="11:11">
      <c r="K188" s="41"/>
    </row>
    <row r="189" spans="11:11">
      <c r="K189" s="41"/>
    </row>
    <row r="190" spans="11:11">
      <c r="K190" s="41"/>
    </row>
    <row r="191" spans="11:11">
      <c r="K191" s="41"/>
    </row>
    <row r="192" spans="11:11">
      <c r="K192" s="41"/>
    </row>
    <row r="193" spans="11:12">
      <c r="K193" s="41"/>
    </row>
    <row r="194" spans="11:12">
      <c r="K194" s="41"/>
    </row>
    <row r="195" spans="11:12">
      <c r="K195" s="41"/>
    </row>
    <row r="196" spans="11:12">
      <c r="K196" s="41"/>
    </row>
    <row r="197" spans="11:12">
      <c r="K197" s="41"/>
    </row>
    <row r="198" spans="11:12">
      <c r="K198" s="41"/>
    </row>
    <row r="199" spans="11:12">
      <c r="K199" s="41"/>
    </row>
    <row r="200" spans="11:12">
      <c r="K200" s="41"/>
    </row>
    <row r="201" spans="11:12">
      <c r="K201" s="41"/>
    </row>
    <row r="202" spans="11:12">
      <c r="K202" s="41"/>
    </row>
    <row r="203" spans="11:12">
      <c r="K203" s="41"/>
    </row>
    <row r="204" spans="11:12">
      <c r="K204" s="41"/>
    </row>
    <row r="205" spans="11:12">
      <c r="K205" s="41"/>
    </row>
    <row r="206" spans="11:12">
      <c r="K206" s="41"/>
    </row>
    <row r="207" spans="11:12">
      <c r="K207" s="41"/>
      <c r="L207" s="41"/>
    </row>
    <row r="208" spans="11:12">
      <c r="K208" s="41"/>
      <c r="L208" s="41"/>
    </row>
    <row r="209" spans="11:12">
      <c r="K209" s="41"/>
      <c r="L209" s="41"/>
    </row>
    <row r="210" spans="11:12">
      <c r="K210" s="41"/>
      <c r="L210" s="41"/>
    </row>
    <row r="211" spans="11:12">
      <c r="K211" s="41"/>
      <c r="L211" s="41"/>
    </row>
    <row r="212" spans="11:12">
      <c r="K212" s="41"/>
    </row>
    <row r="213" spans="11:12">
      <c r="K213" s="41"/>
    </row>
    <row r="214" spans="11:12">
      <c r="K214" s="41"/>
    </row>
    <row r="215" spans="11:12">
      <c r="K215" s="41"/>
    </row>
    <row r="216" spans="11:12">
      <c r="K216" s="41"/>
    </row>
    <row r="217" spans="11:12">
      <c r="K217" s="41"/>
      <c r="L217" s="41"/>
    </row>
    <row r="218" spans="11:12">
      <c r="K218" s="41"/>
      <c r="L218" s="41"/>
    </row>
    <row r="219" spans="11:12">
      <c r="K219" s="41"/>
      <c r="L219" s="41"/>
    </row>
    <row r="220" spans="11:12">
      <c r="K220" s="41"/>
      <c r="L220" s="41"/>
    </row>
    <row r="221" spans="11:12">
      <c r="K221" s="41"/>
      <c r="L221" s="41"/>
    </row>
    <row r="222" spans="11:12">
      <c r="K222" s="41"/>
      <c r="L222" s="41"/>
    </row>
    <row r="223" spans="11:12">
      <c r="K223" s="41"/>
    </row>
    <row r="224" spans="11:12">
      <c r="K224" s="41"/>
    </row>
    <row r="225" spans="11:11">
      <c r="K225" s="41"/>
    </row>
    <row r="226" spans="11:11">
      <c r="K226" s="41"/>
    </row>
    <row r="227" spans="11:11">
      <c r="K227" s="41"/>
    </row>
    <row r="228" spans="11:11">
      <c r="K228" s="41"/>
    </row>
    <row r="229" spans="11:11">
      <c r="K229" s="41"/>
    </row>
    <row r="230" spans="11:11">
      <c r="K230" s="41"/>
    </row>
    <row r="231" spans="11:11">
      <c r="K231" s="41"/>
    </row>
    <row r="232" spans="11:11">
      <c r="K232" s="41"/>
    </row>
    <row r="233" spans="11:11">
      <c r="K233" s="41"/>
    </row>
    <row r="234" spans="11:11">
      <c r="K234" s="41"/>
    </row>
    <row r="235" spans="11:11">
      <c r="K235" s="41"/>
    </row>
    <row r="236" spans="11:11">
      <c r="K236" s="41"/>
    </row>
    <row r="237" spans="11:11">
      <c r="K237" s="41"/>
    </row>
    <row r="238" spans="11:11">
      <c r="K238" s="41"/>
    </row>
    <row r="239" spans="11:11">
      <c r="K239" s="41"/>
    </row>
    <row r="240" spans="11:11">
      <c r="K240" s="41"/>
    </row>
    <row r="241" spans="11:11">
      <c r="K241" s="41"/>
    </row>
    <row r="242" spans="11:11">
      <c r="K242" s="41"/>
    </row>
    <row r="243" spans="11:11">
      <c r="K243" s="41"/>
    </row>
    <row r="244" spans="11:11">
      <c r="K244" s="41"/>
    </row>
    <row r="245" spans="11:11">
      <c r="K245" s="41"/>
    </row>
    <row r="246" spans="11:11">
      <c r="K246" s="41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H2" sqref="H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5" width="18.28515625" style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>
      <c r="J1" s="49" t="s">
        <v>160</v>
      </c>
    </row>
    <row r="2" spans="1:21" ht="55.5" customHeight="1" thickBot="1">
      <c r="B2" s="50"/>
      <c r="C2" s="50"/>
      <c r="D2" s="23"/>
      <c r="E2" s="23"/>
      <c r="F2" s="42" t="s">
        <v>82</v>
      </c>
      <c r="G2" s="20"/>
      <c r="H2" s="35" t="s">
        <v>81</v>
      </c>
      <c r="I2" s="21" t="s">
        <v>31</v>
      </c>
      <c r="J2" s="26" t="s">
        <v>37</v>
      </c>
      <c r="K2" s="26"/>
    </row>
    <row r="3" spans="1:21" ht="17.25">
      <c r="B3" s="23"/>
      <c r="C3" s="23"/>
      <c r="D3" s="23"/>
      <c r="E3" s="23"/>
      <c r="F3" s="46" t="s">
        <v>119</v>
      </c>
      <c r="G3" s="11"/>
      <c r="H3" s="24"/>
      <c r="I3" s="25"/>
      <c r="J3" s="26"/>
      <c r="K3" s="26"/>
      <c r="T3" s="40" t="s">
        <v>85</v>
      </c>
    </row>
    <row r="4" spans="1:21" ht="17.25" customHeight="1">
      <c r="B4" s="23"/>
      <c r="C4" s="23"/>
      <c r="D4" s="23"/>
      <c r="E4" s="23"/>
      <c r="F4" s="46" t="s">
        <v>89</v>
      </c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T4" s="40" t="s">
        <v>164</v>
      </c>
    </row>
    <row r="5" spans="1:21">
      <c r="B5" s="23"/>
      <c r="C5" s="23"/>
      <c r="D5" s="23"/>
      <c r="E5" s="23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A6" s="16" t="s">
        <v>36</v>
      </c>
      <c r="B6" s="16"/>
      <c r="C6" s="4"/>
      <c r="D6" s="16"/>
      <c r="E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  <c r="P6" s="2" t="s">
        <v>156</v>
      </c>
    </row>
    <row r="7" spans="1:21">
      <c r="A7" s="43"/>
      <c r="B7" s="44" t="s">
        <v>121</v>
      </c>
      <c r="C7" s="43"/>
      <c r="D7" s="43"/>
      <c r="E7" s="44"/>
      <c r="F7" s="43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A8" s="43" t="s">
        <v>120</v>
      </c>
      <c r="B8" s="45"/>
      <c r="C8" s="36"/>
      <c r="D8" s="43"/>
      <c r="E8" s="45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7" t="s">
        <v>86</v>
      </c>
      <c r="B9" s="37" t="s">
        <v>84</v>
      </c>
      <c r="C9" s="37" t="s">
        <v>0</v>
      </c>
      <c r="D9" s="37" t="s">
        <v>74</v>
      </c>
      <c r="E9" s="37" t="s">
        <v>116</v>
      </c>
      <c r="F9" s="37" t="s">
        <v>24</v>
      </c>
      <c r="G9" s="37" t="s">
        <v>25</v>
      </c>
      <c r="H9" s="37" t="s">
        <v>1</v>
      </c>
      <c r="I9" s="37" t="s">
        <v>2</v>
      </c>
      <c r="J9" s="37" t="s">
        <v>3</v>
      </c>
      <c r="K9" s="37" t="s">
        <v>87</v>
      </c>
      <c r="L9" s="37" t="s">
        <v>11</v>
      </c>
      <c r="M9" s="37" t="s">
        <v>17</v>
      </c>
      <c r="N9" s="38" t="s">
        <v>69</v>
      </c>
      <c r="O9" s="38" t="s">
        <v>19</v>
      </c>
      <c r="P9" s="39" t="s">
        <v>58</v>
      </c>
      <c r="Q9" s="39" t="s">
        <v>56</v>
      </c>
      <c r="R9" s="39" t="s">
        <v>57</v>
      </c>
      <c r="S9" s="39" t="s">
        <v>59</v>
      </c>
      <c r="T9" s="39" t="s">
        <v>60</v>
      </c>
      <c r="U9" s="38" t="s">
        <v>115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1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1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1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9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J1" r:id="rId2356" display="Please send us feedback about the checklists!" xr:uid="{7F588EEF-AD7B-4843-A7BB-E0A8FC11705A}"/>
    <hyperlink ref="L122" r:id="rId2357" tooltip="https://learn.microsoft.com/en-us/azure/firewall/firewall-structured-logs" display="More info" xr:uid="{7906B88C-C6C7-4A81-9B0D-A1F2BD86CC53}"/>
    <hyperlink ref="L123" r:id="rId2358" tooltip="https://learn.microsoft.com/en-us/azure/firewall-manager/migrate-to-policy" display="More info" xr:uid="{109681F5-8799-4E07-82D9-6777AD3491C6}"/>
    <hyperlink ref="L124" r:id="rId2359" tooltip="https://learn.microsoft.com/azure/virtual-network/vnet-integration-for-azure-services" display="More info" xr:uid="{94A43DBD-5267-487D-93B5-04139BBE3DDD}"/>
    <hyperlink ref="L125" r:id="rId2360" tooltip="https://learn.microsoft.com/azure/app-service/networking-features" display="More info" xr:uid="{1E01BACE-AAB6-4C23-A062-991B05F22994}"/>
    <hyperlink ref="L126" r:id="rId2361" tooltip="https://learn.microsoft.com/azure/app-service/networking-features" display="More info" xr:uid="{4847CBB8-1327-4428-9A9F-C91B6029B44D}"/>
    <hyperlink ref="L127" r:id="rId2362" tooltip="https://learn.microsoft.com/azure/app-service/networking-features" display="More info" xr:uid="{C2D2D305-3342-402F-A662-86D637413A3F}"/>
    <hyperlink ref="L128" r:id="rId2363" tooltip="https://learn.microsoft.com/azure/app-service/networking-features" display="More info" xr:uid="{ABAD50CE-0706-489D-AAFA-59C4D33180AF}"/>
    <hyperlink ref="L129" r:id="rId2364" location="why-does-azure-firewall-need-a--26-subnet-size" tooltip="https://learn.microsoft.com/azure/firewall/firewall-faq#why-does-azure-firewall-need-a--26-subnet-size" display="More info" xr:uid="{51A71983-8807-4A63-8557-926BB7A0D2FC}"/>
    <hyperlink ref="L130" r:id="rId2365" location="add-a-gateway" tooltip="https://learn.microsoft.com/azure/expressroute/expressroute-howto-add-gateway-resource-manager#add-a-gateway" display="More info" xr:uid="{A0E43359-43C0-43B3-8453-FFBB43CAE208}"/>
    <hyperlink ref="L131" r:id="rId2366" location="available-service-tags" tooltip="https://learn.microsoft.com/azure/virtual-network/service-tags-overview#available-service-tags" display="More info" xr:uid="{27FFFB02-4C20-4252-B722-A374616EFBEE}"/>
    <hyperlink ref="L132" r:id="rId2367" tooltip="https://learn.microsoft.com/azure/cloud-adoption-framework/ready/azure-best-practices/plan-for-landing-zone-network-segmentation" display="More info" xr:uid="{9998DD50-9890-4513-95FE-01C10881B49E}"/>
    <hyperlink ref="L133" r:id="rId2368" tooltip="https://learn.microsoft.com/azure/web-application-firewall/ag/ag-overview" display="More info" xr:uid="{8A1668D1-43A8-4059-A926-51B789D2CF8F}"/>
    <hyperlink ref="M133" r:id="rId2369" tooltip="https://learn.microsoft.com/learn/paths/implement-network-security/" display="Training" xr:uid="{6CDFCB71-44DB-4C94-B084-7C6434D1C841}"/>
    <hyperlink ref="L135" r:id="rId2370" tooltip="https://learn.microsoft.com/azure/virtual-network/network-security-group-how-it-works" display="More info" xr:uid="{0A5D7EE8-2DE5-4823-A0D2-3F3F3A375FFA}"/>
    <hyperlink ref="M135" r:id="rId2371" tooltip="https://learn.microsoft.com/learn/paths/implement-network-security/" display="Training" xr:uid="{AF696F48-4317-4609-8C27-640CB259CCCA}"/>
    <hyperlink ref="L136" r:id="rId2372" tooltip="https://learn.microsoft.com/azure/virtual-network/network-security-group-how-it-works" display="More info" xr:uid="{D1BBBA2C-B098-4E08-B1FA-A5A397863CA2}"/>
    <hyperlink ref="M136" r:id="rId2373" tooltip="https://learn.microsoft.com/learn/modules/design-implement-network-monitoring/" display="Training" xr:uid="{24547B71-5B32-4362-8E17-29CF0D2B4217}"/>
    <hyperlink ref="L137" r:id="rId2374" tooltip="https://learn.microsoft.com/en-us/azure/azure-resource-manager/management/azure-subscription-service-limits" display="More info" xr:uid="{E7D30810-2EA0-4A7F-91DE-122A520483C9}"/>
    <hyperlink ref="M137" r:id="rId2375" tooltip="https://learn.microsoft.com/en-us/azure/virtual-network/network-security-group-how-it-works" display="Training" xr:uid="{141BF39B-2B37-417C-9C89-3E76581DD912}"/>
    <hyperlink ref="L138" r:id="rId2376" tooltip="https://learn.microsoft.com/azure/virtual-wan/scenario-any-to-any" display="More info" xr:uid="{D4553CA1-C47E-4EA3-9AC9-0F20144C658D}"/>
    <hyperlink ref="M138" r:id="rId2377" tooltip="https://learn.microsoft.com/learn/modules/introduction-azure-virtual-wan/" display="Training" xr:uid="{C26B299C-B0B3-4B65-AE1C-8D05DFA99B52}"/>
    <hyperlink ref="L139" r:id="rId2378" tooltip="https://learn.microsoft.com/azure/virtual-wan/virtual-wan-about" display="More info" xr:uid="{CFA9ED84-B614-4911-B75D-E7B40B361495}"/>
    <hyperlink ref="L140" r:id="rId2379" tooltip="https://learn.microsoft.com/azure/virtual-wan/virtual-wan-about" display="More info" xr:uid="{AF14C90C-A1F4-4048-8F4F-D1F5AFE915B8}"/>
    <hyperlink ref="L141" r:id="rId2380" tooltip="https://learn.microsoft.com/azure/virtual-wan/virtual-wan-about" display="More info" xr:uid="{1B3AF61C-5DF1-4A73-9CF4-6E642A701E69}"/>
    <hyperlink ref="M141" r:id="rId2381" tooltip="https://learn.microsoft.com/learn/paths/secure-networking-infrastructure/" display="Training" xr:uid="{A4B193B0-2868-4BB6-82AE-C1352A6E6A7D}"/>
    <hyperlink ref="L142" r:id="rId2382" tooltip="https://learn.microsoft.com/azure/azure-resource-manager/management/azure-subscription-service-limits" display="More info" xr:uid="{92ABE719-A555-4882-A2D6-FD74BC387109}"/>
    <hyperlink ref="L143" r:id="rId2383" tooltip="https://learn.microsoft.com/azure/virtual-wan/azure-monitor-insights" display="More info" xr:uid="{54B93CC7-B287-4018-84F0-165710AC5C4E}"/>
    <hyperlink ref="L144" r:id="rId2384" location="is-branch-to-branch-connectivity-allowed-in-virtual-wan" tooltip="https://learn.microsoft.com/azure/virtual-wan/virtual-wan-faq#is-branch-to-branch-connectivity-allowed-in-virtual-wan" display="More info" xr:uid="{ADE64C9F-EE35-44D1-922F-9B0EC1797A90}"/>
    <hyperlink ref="L145" r:id="rId2385" tooltip="https://learn.microsoft.com/azure/virtual-wan/about-virtual-hub-routing-preference" display="More info" xr:uid="{FF1C02C2-ED48-498D-8019-0C80AFBD53A0}"/>
    <hyperlink ref="L146" r:id="rId2386" location="labels" tooltip="https://learn.microsoft.com/azure/virtual-wan/about-virtual-hub-routing#labels" display="More info" xr:uid="{FB509523-5582-4668-9A56-1E392B7EC8FE}"/>
    <hyperlink ref="L147" r:id="rId2387" location="what-is-the-recommended-hub-address-space-during-hub-creation" tooltip="https://learn.microsoft.com/azure/virtual-wan/virtual-wan-faq#what-is-the-recommended-hub-address-space-during-hub-creation" display="More info" xr:uid="{8BA8C136-2A4C-475C-8A5A-02F971CFFBB6}"/>
    <hyperlink ref="L148" r:id="rId2388" tooltip="https://learn.microsoft.com/azure/governance/policy/overview" display="More info" xr:uid="{95F54DEC-C1D3-4CE8-8A8D-D58DAED8A328}"/>
    <hyperlink ref="L149" r:id="rId2389" tooltip="https://learn.microsoft.com/azure/cloud-adoption-framework/ready/azure-best-practices/naming-and-tagging" display="More info" xr:uid="{3BBD9160-1D95-47A1-A6D4-E7BFFFAF9E74}"/>
    <hyperlink ref="L150" r:id="rId2390" tooltip="https://learn.microsoft.com/azure/governance/policy/overview" display="More info" xr:uid="{72620BB2-23DA-4510-89C5-788595937397}"/>
    <hyperlink ref="L151" r:id="rId2391" tooltip="https://learn.microsoft.com/azure/governance/policy/overview" display="More info" xr:uid="{D3739A5A-8F77-4AC8-9FC3-3F4047E56AC5}"/>
    <hyperlink ref="L152" r:id="rId2392" tooltip="https://learn.microsoft.com/azure/governance/policy/overview" display="More info" xr:uid="{B2C4A23D-6CB2-497D-B210-E69DEF41027D}"/>
    <hyperlink ref="L153" r:id="rId2393" location="am-2-use-only-approved-services" tooltip="https://learn.microsoft.com/security/benchmark/azure/mcsb-asset-management#am-2-use-only-approved-services" display="More info" xr:uid="{D35CB6C9-6459-47D3-A710-498086D19095}"/>
    <hyperlink ref="L154" r:id="rId2394" tooltip="https://learn.microsoft.com/azure/governance/policy/overview" display="More info" xr:uid="{454E8D6F-C24F-4B22-92FD-3C8A0B69870F}"/>
    <hyperlink ref="L155" r:id="rId2395" location="azure-rbac-permissions-in-azure-policy" tooltip="https://learn.microsoft.com/azure/governance/policy/overview#azure-rbac-permissions-in-azure-policy" display="More info" xr:uid="{FB3C3483-80D1-43A0-B5A5-6CB1A6D5A0C5}"/>
    <hyperlink ref="L156" r:id="rId2396" tooltip="https://learn.microsoft.com/azure/governance/policy/overview" display="More info" xr:uid="{A5B8017A-13CD-446F-AFF4-621989EED290}"/>
    <hyperlink ref="L157" r:id="rId2397" tooltip="https://azure.microsoft.com/resources/achieving-compliant-data-residency-and-security-with-azure/" display="More info" xr:uid="{07333B21-9A7F-4B2C-97B6-9669DF0C5C02}"/>
    <hyperlink ref="M157" r:id="rId2398" tooltip="https://learn.microsoft.com/learn/paths/secure-your-cloud-data/" display="Training" xr:uid="{54821182-506E-4187-9097-3F417CA0E378}"/>
    <hyperlink ref="L158" r:id="rId2399" tooltip="https://github.com/Azure/sovereign-landing-zone/blob/main/docs/scenarios/Sovereignty-Policy-Baseline.md" display="More info" xr:uid="{0F0C2D5A-3FA7-4737-9614-3E11A2A33F23}"/>
    <hyperlink ref="L159" r:id="rId2400" tooltip="https://learn.microsoft.com/en-us/industry/sovereignty/policy-portfolio-baseline" display="More info" xr:uid="{8DD209DC-54AA-4240-86FA-B3F767E47055}"/>
    <hyperlink ref="L161" r:id="rId2401" tooltip="https://learn.microsoft.com/azure/automation/automation-solution-vm-management-config" display="More info" xr:uid="{AFAF1E56-58AB-4D1E-989D-048F025B3DF4}"/>
    <hyperlink ref="L162" r:id="rId2402" tooltip="https://learn.microsoft.com/azure/virtual-machine-scale-sets/overview" display="More info" xr:uid="{18FDE679-E2B0-4D97-A599-261CD5BCE343}"/>
    <hyperlink ref="L163" r:id="rId2403" tooltip="https://learn.microsoft.com/azure/cost-management-billing/costs/tutorial-acm-create-budgets?bc=%2Fazure%2Fcloud-adoption-framework%2F_bread%2Ftoc.json&amp;toc=%2Fazure%2Fcloud-adoption-framework%2Ftoc.json" display="More info" xr:uid="{88187ED0-A020-4A90-9CFF-722C0AD9AED2}"/>
    <hyperlink ref="L164" r:id="rId2404" location="add-diagnostic-settings-to-save-your-wafs-logs" tooltip="https://learn.microsoft.com/azure/web-application-firewall/afds/waf-front-door-best-practices#add-diagnostic-settings-to-save-your-wafs-logs" display="More info" xr:uid="{720DDA86-9E18-4610-8368-1CA0E5612B45}"/>
    <hyperlink ref="L165" r:id="rId2405" location="send-logs-to-microsoft-sentinel" tooltip="https://learn.microsoft.com/azure/web-application-firewall/afds/waf-front-door-best-practices#send-logs-to-microsoft-sentinel" display="More info" xr:uid="{195429AC-6E41-46D8-9839-6DA12B3F7E26}"/>
    <hyperlink ref="L166" r:id="rId2406" tooltip="https://learn.microsoft.com/azure/reliability/cross-region-replication-azure" display="More info" xr:uid="{F13304A0-D035-45C4-A43A-56B7349122B0}"/>
    <hyperlink ref="L167" r:id="rId2407" tooltip="https://learn.microsoft.com/azure/storage/common/storage-redundancy" display="More info" xr:uid="{720F2E92-3865-410D-AD58-42464B980DE7}"/>
    <hyperlink ref="L168" r:id="rId2408" tooltip="https://learn.microsoft.com/azure/azure-monitor/logs/design-logs-deployment" display="More info" xr:uid="{4FC13E1D-B31D-4C7B-B623-F0CE543CC80E}"/>
    <hyperlink ref="M168" r:id="rId2409" tooltip="https://learn.microsoft.com/azure/azure-monitor/logs/design-logs-deployment" display="Training" xr:uid="{3905734C-1749-45EB-9730-3ED0F5D3CCB8}"/>
    <hyperlink ref="L170" r:id="rId2410" location="how-retention-and-archiving-work" tooltip="https://learn.microsoft.com/azure/azure-monitor/logs/data-retention-archive?tabs=portal-1%2Cportal-2#how-retention-and-archiving-work" display="More info" xr:uid="{C1532A47-165A-4107-8F5F-09A1329D398A}"/>
    <hyperlink ref="M170" r:id="rId2411" tooltip="https://learn.microsoft.com/learn/paths/architect-infrastructure-operations/" display="Training" xr:uid="{A694F4DF-9057-49E7-9C30-95DEB1ED7737}"/>
    <hyperlink ref="L171" r:id="rId2412" tooltip="https://learn.microsoft.com/en-us/azure/cloud-adoption-framework/govern/policy-compliance/regulatory-compliance" display="More info" xr:uid="{FCC33BA4-D02A-433C-B3F5-414A5490F620}"/>
    <hyperlink ref="M171" r:id="rId2413" tooltip="https://learn.microsoft.com/en-us/azure/governance/policy/concepts/effects" display="Training" xr:uid="{2A3F720A-52BD-41D8-9269-C8B6A889BDDC}"/>
    <hyperlink ref="L172" r:id="rId2414" tooltip="https://learn.microsoft.com/azure/governance/policy/how-to/guest-configuration-create" display="More info" xr:uid="{069DCB96-34EB-41B5-94D9-E4F7D02C9CB7}"/>
    <hyperlink ref="L173" r:id="rId2415" location="update-management-considerations " tooltip="https://learn.microsoft.com/azure/cloud-adoption-framework/ready/landing-zone/design-area/management-operational-compliance#update-management-considerations " display="More info" xr:uid="{25143F4F-B579-4489-B6BC-6B8DCFFFBA16}"/>
    <hyperlink ref="L174" r:id="rId2416" location="update-management-considerations " tooltip="https://learn.microsoft.com/azure/cloud-adoption-framework/ready/landing-zone/design-area/management-operational-compliance#update-management-considerations " display="More info" xr:uid="{3A63CF30-386A-44F7-AE7C-F728FBFA8615}"/>
    <hyperlink ref="L175" r:id="rId2417" tooltip="https://learn.microsoft.com/azure/network-watcher/network-watcher-monitoring-overview" display="More info" xr:uid="{8C384704-0D5C-4301-967B-B1F41CFC5D15}"/>
    <hyperlink ref="M175" r:id="rId2418" tooltip="https://learn.microsoft.com/learn/modules/configure-network-watcher/" display="Training" xr:uid="{1E10F393-B8FA-4062-AAEA-224211EF2B3A}"/>
    <hyperlink ref="L176" r:id="rId2419" tooltip="https://learn.microsoft.com/azure/azure-resource-manager/management/lock-resources?tabs=json" display="More info" xr:uid="{D6A27D77-86BF-4EDA-A7AE-759B86D485AD}"/>
    <hyperlink ref="M176" r:id="rId2420" tooltip="https://learn.microsoft.com/learn/paths/implement-resource-mgmt-security/" display="Training" xr:uid="{4F6477C5-04D1-48A5-BEDB-73287645C1B9}"/>
    <hyperlink ref="L177" r:id="rId2421" tooltip="https://learn.microsoft.com/azure/governance/policy/overview" display="More info" xr:uid="{1C5554FE-039A-461C-9217-14E6EDF4B135}"/>
    <hyperlink ref="L178" r:id="rId2422" tooltip="https://learn.microsoft.com/azure/service-health/alerts-activity-log-service-notifications-portal" display="More info" xr:uid="{D7B1AFF6-4750-4792-8920-3C5DF9EF57F1}"/>
    <hyperlink ref="L179" r:id="rId2423" tooltip="https://learn.microsoft.com/azure/azure-monitor/alerts/action-groups" display="More info" xr:uid="{A7E6D37D-99E2-4609-9E40-30B436335DF7}"/>
    <hyperlink ref="L180" r:id="rId2424" tooltip="https://learn.microsoft.com/azure/sentinel/quickstart-onboard" display="More info" xr:uid="{8B8B8650-2379-4AF8-89CE-0F36ACB9B7C5}"/>
    <hyperlink ref="L181" r:id="rId2425" tooltip="https://learn.microsoft.com/azure/azure-monitor/logs/design-logs-deployment" display="More info" xr:uid="{93098BBE-7FDA-4B8F-9E6C-7BF3B0C1A8B7}"/>
    <hyperlink ref="L182" r:id="rId2426" tooltip="https://learn.microsoft.com/azure/cloud-adoption-framework/ready/azure-setup-guide/monitoring-reporting?tabs=AzureMonitor" display="More info" xr:uid="{BA9D61DB-6223-4E92-A9C3-9223FF1D667F}"/>
    <hyperlink ref="L183" r:id="rId2427" tooltip="https://learn.microsoft.com/azure/azure-monitor/agents/diagnostics-extension-overview" display="More info" xr:uid="{2EC6A076-D748-4DEB-B0BD-9F086930097E}"/>
    <hyperlink ref="L184" r:id="rId2428" tooltip="https://learn.microsoft.com/azure/azure-monitor/alerts/alerts-overview" display="More info" xr:uid="{FB8D1EDB-57F4-4847-84D4-F5E0C20319DC}"/>
    <hyperlink ref="L185" r:id="rId2429" tooltip="https://learn.microsoft.com/azure/architecture/best-practices/monitoring" display="More info" xr:uid="{1BBADBCF-9B35-4AEA-965C-AED23DECA3B1}"/>
    <hyperlink ref="L186" r:id="rId2430" tooltip="https://learn.microsoft.com/azure/automation/how-to/region-mappings" display="More info" xr:uid="{6333AADF-4DD9-4DC7-B2D6-E9AD4CF3ABDF}"/>
    <hyperlink ref="L187" r:id="rId2431" tooltip="https://learn.microsoft.com/en-us/azure/cloud-adoption-framework/ready/landing-zone/design-area/management-monitor" display="More info" xr:uid="{16A93A60-E0DC-4F02-B146-FFF6F86B04E2}"/>
    <hyperlink ref="M187" r:id="rId2432" tooltip="https://azure.github.io/azure-monitor-baseline-alerts/patterns/alz/" display="Training" xr:uid="{B5096F4A-6F8E-481F-88B8-404384F5CD29}"/>
    <hyperlink ref="L188" r:id="rId2433" tooltip="https://learn.microsoft.com/azure/governance/policy/concepts/guest-configuration" display="More info" xr:uid="{3F0314B6-2F8B-4A66-8C1D-7560785EA414}"/>
    <hyperlink ref="L189" r:id="rId2434" location="monitoring-for-configuration-drift" tooltip="https://learn.microsoft.com/azure/cloud-adoption-framework/ready/landing-zone/design-area/management-operational-compliance#monitoring-for-configuration-drift" display="More info" xr:uid="{BC2E41BB-ABE3-4832-B20B-F2254A592ECA}"/>
    <hyperlink ref="L190" r:id="rId2435" tooltip="https://learn.microsoft.com/azure/site-recovery/site-recovery-overview" display="More info" xr:uid="{9EF2CC63-39E5-4BD7-BFF0-8058B3E68165}"/>
    <hyperlink ref="L191" r:id="rId2436" tooltip="https://learn.microsoft.com/azure/architecture/framework/resiliency/backup-and-recovery" display="More info" xr:uid="{5F22EFB8-87DF-4B5E-B7FF-3DBE0BE2F10B}"/>
    <hyperlink ref="L192" r:id="rId2437" tooltip="https://learn.microsoft.com/azure/backup/backup-center-overview" display="More info" xr:uid="{8C4C510A-FD5D-4C03-A5E2-D74D2D5E31E2}"/>
    <hyperlink ref="L193" r:id="rId2438" tooltip="https://learn.microsoft.com/azure/reliability/availability-zones-overview" display="More info" xr:uid="{0268617A-8E5F-40AE-9169-A186A932D81E}"/>
    <hyperlink ref="L194" r:id="rId2439" tooltip="https://learn.microsoft.com/azure/virtual-machines/availability" display="More info" xr:uid="{86641ED0-5781-4825-B242-B6FABC289825}"/>
    <hyperlink ref="L195" r:id="rId2440" tooltip="https://learn.microsoft.com/azure/load-balancer/load-balancer-overview" display="More info" xr:uid="{C840CE96-7418-445F-B300-25BA3E2D7EA1}"/>
    <hyperlink ref="L196" r:id="rId2441" tooltip="https://learn.microsoft.com/security/benchmark/azure/security-control-incident-response" display="More info" xr:uid="{F6FBBFCF-A48D-4A7C-B313-97064E55D276}"/>
    <hyperlink ref="L197" r:id="rId2442" tooltip="https://www.microsoft.com/security/business/zero-trust" display="More info" xr:uid="{8EEFC84E-C0D1-446D-9EAA-AAB2050D6E33}"/>
    <hyperlink ref="L198" r:id="rId2443" tooltip="https://learn.microsoft.com/azure/key-vault/general/overview" display="More info" xr:uid="{9E3A0BEB-78B7-48C7-BB95-37EA9CF66CC1}"/>
    <hyperlink ref="L199" r:id="rId2444" tooltip="https://learn.microsoft.com/azure/key-vault/general/overview-throttling" display="More info" xr:uid="{13F70997-D62C-4E1F-9ED9-94EB02394898}"/>
    <hyperlink ref="L200" r:id="rId2445" tooltip="https://learn.microsoft.com/azure/key-vault/general/best-practices" display="More info" xr:uid="{E031ED36-186F-4C28-A1FC-8E7B36E03803}"/>
    <hyperlink ref="L201" r:id="rId2446" tooltip="https://learn.microsoft.com/azure/key-vault/general/best-practices" display="More info" xr:uid="{936679B7-0CAD-4DD2-8692-529A473D672C}"/>
    <hyperlink ref="L202" r:id="rId2447" tooltip="https://learn.microsoft.com/azure/key-vault/general/best-practices" display="More info" xr:uid="{642B0DDC-04DE-4F56-B924-2E5219FFABFF}"/>
    <hyperlink ref="L203" r:id="rId2448" tooltip="https://learn.microsoft.com/azure/key-vault/general/best-practices" display="More info" xr:uid="{3C238939-A5A1-4EE1-A682-C30E28DE7408}"/>
    <hyperlink ref="L204" r:id="rId2449" tooltip="https://learn.microsoft.com/azure/key-vault/general/best-practices" display="More info" xr:uid="{8427B974-B408-4D21-8787-B4A7FA7ADEF1}"/>
    <hyperlink ref="L205" r:id="rId2450" tooltip="https://learn.microsoft.com/azure/key-vault/general/monitor-key-vault" display="More info" xr:uid="{2A8A2620-BAD5-4F2F-B9D1-FE6092C7FFBD}"/>
    <hyperlink ref="L207" r:id="rId2451" tooltip="https://learn.microsoft.com/azure/security/fundamentals/encryption-atrest" display="More info" xr:uid="{B51D8EDC-8754-4F1D-B9E4-74F31E120388}"/>
    <hyperlink ref="L208" r:id="rId2452" tooltip="https://learn.microsoft.com/azure/key-vault/general/best-practices" display="More info" xr:uid="{0F14E799-4373-4957-9293-8BDE8A0EAF1A}"/>
    <hyperlink ref="L209" r:id="rId2453" tooltip="https://learn.microsoft.com/azure/key-vault/general/best-practices" display="More info" xr:uid="{91C43529-0AD8-4ECD-9104-96DE9CCE8685}"/>
    <hyperlink ref="L210" r:id="rId2454" tooltip="https://learn.microsoft.com/en-us/industry/sovereignty/key-management" display="More info" xr:uid="{1F4A5ACB-83A3-42DB-8CDC-EF2818E86B97}"/>
    <hyperlink ref="L211" r:id="rId2455" tooltip="https://learn.microsoft.com/azure/active-directory/reports-monitoring/overview-reports" display="More info" xr:uid="{85F557C8-FAC9-4756-9D88-EB5A49C0C49F}"/>
    <hyperlink ref="L212" r:id="rId2456" tooltip="https://learn.microsoft.com/azure/azure-monitor/logs/logs-data-export?tabs=portal" display="More info" xr:uid="{2246E8C9-21B0-414B-A454-0226F58ABC59}"/>
    <hyperlink ref="L213" r:id="rId2457" tooltip="https://learn.microsoft.com/azure/defender-for-cloud/concept-cloud-security-posture-management" display="More info" xr:uid="{726B3230-2B10-4168-9EFD-81ED16F76D49}"/>
    <hyperlink ref="L214" r:id="rId2458" tooltip="https://learn.microsoft.com/azure/defender-for-cloud/plan-defender-for-servers-select-plan" display="More info" xr:uid="{3E72A904-B47B-4604-8DAD-6CF8590EC316}"/>
    <hyperlink ref="L215" r:id="rId2459" tooltip="https://www.microsoft.com/en-gb/security/business/solutions/cloud-workload-protection" display="More info" xr:uid="{8122173E-297D-4A55-A4D7-ACB7CD44D513}"/>
    <hyperlink ref="L216" r:id="rId2460" tooltip="https://learn.microsoft.com/mem/configmgr/protect/deploy-use/endpoint-protection" display="More info" xr:uid="{54EDE81C-8775-41D0-A29A-D97CE5897E2E}"/>
    <hyperlink ref="L217" r:id="rId2461" tooltip="https://learn.microsoft.com/azure/security-center/" display="More info" xr:uid="{99D869D4-D411-4FBE-AC18-EB602E170BF2}"/>
    <hyperlink ref="L218" r:id="rId2462" tooltip="https://learn.microsoft.com/azure/azure-monitor/logs/design-logs-deployment" display="More info" xr:uid="{7DA6CE1D-13F8-499D-8F56-689E650C035C}"/>
    <hyperlink ref="L219" r:id="rId2463" tooltip="https://learn.microsoft.com/en-us/industry/sovereignty/transparency-logs" display="More info" xr:uid="{292FE590-AB1B-4D08-8960-B6EA069E7F61}"/>
    <hyperlink ref="L220" r:id="rId2464" tooltip="https://learn.microsoft.com/en-us/azure/security/fundamentals/customer-lockbox-overview" display="More info" xr:uid="{40C4D33C-E50B-4AF2-A791-D53FF9767941}"/>
    <hyperlink ref="L221" r:id="rId2465" tooltip="https://learn.microsoft.com/azure/cloud-adoption-framework/ready/landing-zone/design-area/security" display="More info" xr:uid="{A366A678-8000-495D-84BB-2E0D77E45A76}"/>
    <hyperlink ref="L222" r:id="rId2466" tooltip="https://learn.microsoft.com/azure/storage/common/storage-require-secure-transfer" display="More info" xr:uid="{5D5D642B-2250-468A-9E67-21F5C356C14E}"/>
    <hyperlink ref="L223" r:id="rId2467" location="recommendations-for-basic-data-protection" tooltip="https://learn.microsoft.com/azure/storage/blobs/data-protection-overview#recommendations-for-basic-data-protection" display="More info" xr:uid="{70D01555-C616-480C-8E40-D7B521AE7CE7}"/>
    <hyperlink ref="L224" r:id="rId2468" tooltip="https://learn.microsoft.com/azure/active-directory/roles/security-planning" display="More info" xr:uid="{DDCB882F-293F-45B0-911A-4AE215C23FC6}"/>
    <hyperlink ref="L225" r:id="rId2469" tooltip="https://learn.microsoft.com/azure/cloud-adoption-framework/ready/landing-zone/design-area/service-enablement-framework" display="More info" xr:uid="{997AB99F-CA23-4A08-9336-3556BF5D2514}"/>
    <hyperlink ref="L226" r:id="rId2470" tooltip="https://learn.microsoft.com/azure/cloud-adoption-framework/ready/landing-zone/design-area/service-enablement-framework" display="More info" xr:uid="{C2DD23B5-D630-499D-86C6-676336702483}"/>
    <hyperlink ref="L227" r:id="rId2471" tooltip="https://learn.microsoft.com/azure/cloud-adoption-framework/ready/landing-zone/design-area/platform-automation-devops" display="More info" xr:uid="{9B92E997-81C6-4D1B-BE71-10756C4D0D69}"/>
    <hyperlink ref="L228" r:id="rId2472" location="design-recommendations" tooltip="https://learn.microsoft.com/azure/cloud-adoption-framework/ready/considerations/devops-teams-topologies#design-recommendations" display="More info" xr:uid="{B9C30568-33F3-4A49-828F-205CA932DADC}"/>
    <hyperlink ref="L229" r:id="rId2473" location="design-recommendations" tooltip="https://learn.microsoft.com/azure/cloud-adoption-framework/ready/considerations/devops-teams-topologies#design-recommendations" display="More info" xr:uid="{A7E0CDAA-E4E4-48E5-8965-0897C24FFB51}"/>
    <hyperlink ref="L230" r:id="rId2474" tooltip="https://learn.microsoft.com/azure/cloud-adoption-framework/ready/considerations/infrastructure-as-code" display="More info" xr:uid="{3E2411ED-6ED2-4B6B-AD77-99FFB6312460}"/>
    <hyperlink ref="L232" r:id="rId2475" location="automated-builds" tooltip="https://learn.microsoft.com/azure/cloud-adoption-framework/ready/considerations/development-strategy-development-lifecycle#automated-builds" display="More info" xr:uid="{E7E5AE0F-17CC-4FD7-9947-C05BD3EE84D6}"/>
    <hyperlink ref="L233" r:id="rId2476" tooltip="https://learn.microsoft.com/azure/cloud-adoption-framework/ready/landing-zone/design-area/subscription-vending" display="More info" xr:uid="{5D23D8ED-DFAC-41F5-8A9E-F745819EA0BF}"/>
    <hyperlink ref="L234" r:id="rId2477" tooltip="https://learn.microsoft.com/azure/cloud-adoption-framework/ready/considerations/infrastructure-as-code" display="More info" xr:uid="{F0813DF1-AF1C-469A-AA80-BB9F41D2E863}"/>
    <hyperlink ref="L235" r:id="rId2478" tooltip="https://learn.microsoft.com/azure/cloud-adoption-framework/ready/considerations/development-strategy-development-lifecycle" display="More info" xr:uid="{3F210E1D-4684-48EB-A165-93E26373E7EB}"/>
    <hyperlink ref="L236" r:id="rId2479" tooltip="https://learn.microsoft.com/azure/cloud-adoption-framework/ready/considerations/development-strategy-development-lifecycle" display="More info" xr:uid="{C1854C98-05D1-4EEA-BB28-1FB1843FDB84}"/>
    <hyperlink ref="L237" r:id="rId2480" tooltip="https://learn.microsoft.com/azure/cloud-adoption-framework/ready/landing-zone/design-area/management-platform" display="More info" xr:uid="{FBD14CAD-B0C5-4068-A48E-B85B1DABE753}"/>
    <hyperlink ref="L238" r:id="rId2481" tooltip="https://learn.microsoft.com/azure/cloud-adoption-framework/ready/considerations/infrastructure-as-code" display="More info" xr:uid="{8320C0ED-F64E-46C2-A222-BE639F8AB7B1}"/>
    <hyperlink ref="L239" r:id="rId2482" location="secure" tooltip="https://learn.microsoft.com/azure/cloud-adoption-framework/ready/considerations/landing-zone-security#secure" display="More info" xr:uid="{3DB600A0-933F-4C53-B309-94A9BED2A046}"/>
    <hyperlink ref="L240" r:id="rId2483" tooltip="https://learn.microsoft.com/azure/governance/policy/how-to/guest-configuration-create" display="More info" xr:uid="{BA0F7011-014B-41AD-8499-5E4C873AF626}"/>
    <hyperlink ref="M240" r:id="rId2484" tooltip="https://learn.microsoft.com/learn/paths/implement-resource-mgmt-security/" display="Training" xr:uid="{71481BF1-4F6E-4464-B2CC-0631BE8C3451}"/>
    <hyperlink ref="L241" r:id="rId2485" location="update-management-considerations " tooltip="https://learn.microsoft.com/azure/cloud-adoption-framework/ready/landing-zone/design-area/management-operational-compliance#update-management-considerations " display="More info" xr:uid="{3B970D92-96ED-40DF-8E02-F0DC1F19ADF7}"/>
    <hyperlink ref="M241" r:id="rId2486" tooltip="https://learn.microsoft.com/azure/update-manager/overview?tabs=azure-vms" display="Training" xr:uid="{1288C233-BB7D-476B-BD88-981233C6F771}"/>
    <hyperlink ref="L242" r:id="rId2487" location="update-management-considerations " tooltip="https://learn.microsoft.com/azure/cloud-adoption-framework/ready/landing-zone/design-area/management-operational-compliance#update-management-considerations " display="More info" xr:uid="{13CCDCE1-1421-4F39-B611-021EF16DB498}"/>
    <hyperlink ref="M242" r:id="rId2488" tooltip="https://learn.microsoft.com/azure/update-manager/overview?tabs=azure-vms" display="Training" xr:uid="{89882F29-CA6B-459C-9227-C11152403D31}"/>
    <hyperlink ref="L243" r:id="rId2489" tooltip="https://learn.microsoft.com/azure/network-watcher/network-watcher-monitoring-overview" display="More info" xr:uid="{783096FF-79E8-4C57-9F93-CAEF7666B427}"/>
    <hyperlink ref="M243" r:id="rId2490" tooltip="https://learn.microsoft.com/learn/modules/configure-network-watcher/" display="Training" xr:uid="{D0C2B102-6296-433E-941E-E61E85DCAC5B}"/>
    <hyperlink ref="L244" r:id="rId2491" tooltip="https://learn.microsoft.com/azure/azure-monitor/logs/design-logs-deployment" display="More info" xr:uid="{DEEFD374-3224-4AF6-9A41-46FF0669C775}"/>
    <hyperlink ref="L245" r:id="rId2492" tooltip="https://learn.microsoft.com/azure/cloud-adoption-framework/ready/azure-setup-guide/monitoring-reporting?tabs=AzureMonitor" display="More info" xr:uid="{0FF29EF4-DEC8-49BF-8EA9-3799E81BD41C}"/>
    <hyperlink ref="L246" r:id="rId2493" tooltip="https://learn.microsoft.com/azure/azure-monitor/alerts/alerts-overview" display="More info" xr:uid="{9EB2D1CC-1ED6-4A96-90C4-CCF7993F2EDC}"/>
    <hyperlink ref="L247" r:id="rId2494" tooltip="https://learn.microsoft.com/azure/automation/how-to/region-mappings" display="More info" xr:uid="{1D87D17A-3627-474C-AD3E-56B5888CBFB4}"/>
    <hyperlink ref="L248" r:id="rId2495" tooltip="https://learn.microsoft.com/azure/governance/policy/concepts/guest-configuration" display="More info" xr:uid="{1FA088FB-E2C9-449E-B32A-459BFE57FCBB}"/>
    <hyperlink ref="L249" r:id="rId2496" location="monitoring-for-configuration-drift" tooltip="https://learn.microsoft.com/azure/cloud-adoption-framework/ready/landing-zone/design-area/management-operational-compliance#monitoring-for-configuration-drift" display="More info" xr:uid="{78278E0F-002C-4D91-852E-9C82ACCDF45E}"/>
    <hyperlink ref="L250" r:id="rId2497" tooltip="https://learn.microsoft.com/azure/site-recovery/site-recovery-overview" display="More info" xr:uid="{BE07905E-6C61-4653-93DA-843D0B536787}"/>
    <hyperlink ref="L251" r:id="rId2498" tooltip="https://learn.microsoft.com/azure/backup/backup-center-overview" display="More info" xr:uid="{98536D50-ED94-4F2F-999C-035D520FCB47}"/>
    <hyperlink ref="L252" r:id="rId2499" tooltip="https://learn.microsoft.com/azure/reliability/availability-zones-overview" display="More info" xr:uid="{DAF140FD-D25C-4EA8-951D-CA8DF71412C4}"/>
    <hyperlink ref="L253" r:id="rId2500" tooltip="https://learn.microsoft.com/azure/virtual-machines/availability" display="More info" xr:uid="{8B71F848-1AE3-4BBA-823E-903CD163C2FE}"/>
    <hyperlink ref="L254" r:id="rId2501" tooltip="https://learn.microsoft.com/azure/load-balancer/load-balancer-overview" display="More info" xr:uid="{BFAA0EB0-D867-4811-83BE-F56421C84652}"/>
    <hyperlink ref="L255" r:id="rId2502" tooltip="https://learn.microsoft.com/azure/key-vault/general/overview" display="More info" xr:uid="{BE8C0A60-B986-4DA1-BB2B-3688B7AD67D8}"/>
    <hyperlink ref="L256" r:id="rId2503" tooltip="https://learn.microsoft.com/azure/key-vault/general/overview-throttling" display="More info" xr:uid="{34B2553C-CB28-4185-8BAC-F03D9063ED4C}"/>
    <hyperlink ref="L257" r:id="rId2504" tooltip="https://learn.microsoft.com/azure/key-vault/general/best-practices" display="More info" xr:uid="{BA9FBE78-B9A8-4408-A20A-2EA72B2D6D09}"/>
    <hyperlink ref="L258" r:id="rId2505" tooltip="https://learn.microsoft.com/azure/key-vault/general/best-practices" display="More info" xr:uid="{1BA1B551-7918-48F6-A26F-D87810B988BA}"/>
    <hyperlink ref="L259" r:id="rId2506" tooltip="https://learn.microsoft.com/azure/key-vault/general/best-practices" display="More info" xr:uid="{86ED2D07-DC8D-4B72-9371-EF35EBBC0DF4}"/>
    <hyperlink ref="L260" r:id="rId2507" tooltip="https://learn.microsoft.com/azure/key-vault/general/best-practices" display="More info" xr:uid="{D86EBB3C-8596-4957-B902-6E6D8902E555}"/>
    <hyperlink ref="L261" r:id="rId2508" tooltip="https://learn.microsoft.com/azure/key-vault/general/best-practices" display="More info" xr:uid="{C42C67CB-86BA-47ED-BB5F-43584F54604D}"/>
    <hyperlink ref="L262" r:id="rId2509" tooltip="https://learn.microsoft.com/azure/key-vault/general/monitor-key-vault" display="More info" xr:uid="{4D43A048-38AB-45AA-96DD-24ECCCAA6A74}"/>
    <hyperlink ref="L263" r:id="rId2510" tooltip="https://learn.microsoft.com/azure/key-vault/general/best-practices" display="More info" xr:uid="{45B0427C-FEDF-4F25-875F-7880FC16BAC8}"/>
    <hyperlink ref="L264" r:id="rId2511" tooltip="https://learn.microsoft.com/azure/key-vault/general/best-practices" display="More info" xr:uid="{88538FD2-016A-44B1-9F00-D437E125ACF7}"/>
    <hyperlink ref="L265" r:id="rId2512" tooltip="https://learn.microsoft.com/azure/key-vault/general/best-practices" display="More info" xr:uid="{670966DC-682A-4FD9-8F25-517229200567}"/>
    <hyperlink ref="L266" r:id="rId2513" tooltip="https://learn.microsoft.com/en-us/industry/sovereignty/key-management" display="More info" xr:uid="{4448E9F4-BF84-4DC4-8222-8FF9191E9CC2}"/>
    <hyperlink ref="L267" r:id="rId2514" tooltip="https://learn.microsoft.com/azure/active-directory/reports-monitoring/overview-reports" display="More info" xr:uid="{E551B6B5-418A-4B61-97A3-F071B01C0BEE}"/>
    <hyperlink ref="L268" r:id="rId2515" tooltip="https://learn.microsoft.com/azure/defender-for-cloud/concept-cloud-security-posture-management" display="More info" xr:uid="{DB1234DC-CA92-435E-8BA0-E5C29F56F990}"/>
    <hyperlink ref="L269" r:id="rId2516" tooltip="https://learn.microsoft.com/azure/defender-for-cloud/plan-defender-for-servers-select-plan" display="More info" xr:uid="{F8836F04-C0C9-4F39-B58B-78A7BBFCD2D9}"/>
    <hyperlink ref="L270" r:id="rId2517" tooltip="https://www.microsoft.com/en-gb/security/business/solutions/cloud-workload-protection" display="More info" xr:uid="{5AAAAC9A-2B84-4211-AFF6-263CD2078307}"/>
    <hyperlink ref="L271" r:id="rId2518" tooltip="https://learn.microsoft.com/mem/configmgr/protect/deploy-use/endpoint-protection" display="More info" xr:uid="{29FE3010-94CA-4987-B46C-D216B7BD9F51}"/>
    <hyperlink ref="L272" r:id="rId2519" tooltip="https://learn.microsoft.com/azure/security-center/" display="More info" xr:uid="{816388E7-09B5-4B9C-A6AF-CD1D74C26291}"/>
    <hyperlink ref="L273" r:id="rId2520" tooltip="https://learn.microsoft.com/azure/azure-monitor/logs/design-logs-deployment" display="More info" xr:uid="{38318DA5-241B-487B-9A34-66602814132B}"/>
    <hyperlink ref="L274" r:id="rId2521" tooltip="https://learn.microsoft.com/en-us/industry/sovereignty/transparency-logs" display="More info" xr:uid="{CDF39B77-CBC4-4F0B-BEF4-B708E056394A}"/>
    <hyperlink ref="L275" r:id="rId2522" tooltip="https://learn.microsoft.com/en-us/azure/security/fundamentals/customer-lockbox-overview" display="More info" xr:uid="{65473C0F-D0E7-465D-8057-D3EB6746C7C3}"/>
    <hyperlink ref="L276" r:id="rId2523" tooltip="https://learn.microsoft.com/azure/storage/common/storage-require-secure-transfer" display="More info" xr:uid="{0EB846DD-C774-43ED-8AAD-8A2BEEE949BB}"/>
    <hyperlink ref="L277" r:id="rId2524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525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526" tooltip="https://learn.microsoft.com/azure/api-management/api-management-error-handling-policies" display="More info" xr:uid="{C714CBF5-42DB-436D-BEED-FBF2A6297F29}"/>
    <hyperlink ref="L280" r:id="rId2527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528" tooltip="https://learn.microsoft.com/azure/api-management/policy-fragments" display="More info" xr:uid="{B40B5061-1E3A-40BC-809F-315877300EB7}"/>
    <hyperlink ref="L282" r:id="rId2529" tooltip="https://learn.microsoft.com/azure/api-management/monetization-support" display="More info" xr:uid="{DD210039-90D6-4524-BF21-8E201943F0CD}"/>
    <hyperlink ref="L283" r:id="rId2530" location="resource-logs" tooltip="https://learn.microsoft.com/azure/api-management/api-management-howto-use-azure-monitor#resource-logs" display="More info" xr:uid="{6EA36582-8719-4675-8138-95D6023CFB8A}"/>
    <hyperlink ref="L284" r:id="rId2531" tooltip="https://learn.microsoft.com/azure/api-management/api-management-howto-app-insights" display="More info" xr:uid="{F039F0E6-1C54-442B-AF4C-A798A0F04966}"/>
    <hyperlink ref="L285" r:id="rId2532" tooltip="https://learn.microsoft.com/azure/api-management/api-management-howto-use-azure-monitor" display="More info" xr:uid="{6C1EE5C6-9C46-4B6A-A37B-91C878344AD2}"/>
    <hyperlink ref="L286" r:id="rId2533" location="api-management-limits" tooltip="https://learn.microsoft.com/azure/azure-resource-manager/management/azure-subscription-service-limits#api-management-limits" display="More info" xr:uid="{54007F1C-B8D9-41EA-B0AC-2D873A3DCDDE}"/>
    <hyperlink ref="L287" r:id="rId2534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535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536" tooltip="https://learn.microsoft.com/azure/api-management/api-management-howto-aad" display="More info" xr:uid="{2E8710FA-22FD-434B-B47A-2280002C86D7}"/>
    <hyperlink ref="L290" r:id="rId2537" tooltip="https://learn.microsoft.com/azure/api-management/api-management-howto-create-groups" display="More info" xr:uid="{066851B0-D803-4378-8548-DA2B366A94B6}"/>
    <hyperlink ref="L291" r:id="rId2538" tooltip="https://learn.microsoft.com/azure/api-management/backends" display="More info" xr:uid="{2DFE4705-5D14-423F-AB63-9999D5026ACA}"/>
    <hyperlink ref="L292" r:id="rId2539" tooltip="https://learn.microsoft.com/azure/api-management/api-management-howto-properties?tabs=azure-portal" display="More info" xr:uid="{07D78B40-88B5-43E0-AA81-F01FF47181B0}"/>
    <hyperlink ref="L293" r:id="rId2540" location="upgrade-and-scale" tooltip="https://learn.microsoft.com/azure/api-management/upgrade-and-scale#upgrade-and-scale" display="More info" xr:uid="{74D68249-0090-4DC6-9182-B7258BFE8925}"/>
    <hyperlink ref="L294" r:id="rId2541" tooltip="https://learn.microsoft.com/azure/api-management/api-management-howto-deploy-multi-region" display="More info" xr:uid="{54F8D2D1-4049-4874-8CCC-197341D4D009}"/>
    <hyperlink ref="L295" r:id="rId2542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543" tooltip="https://learn.microsoft.com/azure/api-management/high-availability" display="More info" xr:uid="{B2413444-719D-46ED-85FF-B317F23ED775}"/>
    <hyperlink ref="L297" r:id="rId2544" tooltip="https://learn.microsoft.com/en-us/azure/api-management/self-hosted-gateway-overview" display="More info" xr:uid="{22B7B1CE-2F3E-4AAA-8D2A-BE3C9A025C5E}"/>
    <hyperlink ref="L298" r:id="rId2545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546" tooltip="https://learn.microsoft.com/azure/api-management/api-management-howto-log-event-hubs" display="More info" xr:uid="{CECEA940-3986-469F-B1DE-006C739298A4}"/>
    <hyperlink ref="L300" r:id="rId2547" tooltip="https://learn.microsoft.com/azure/api-management/api-management-sample-flexible-throttling" display="More info" xr:uid="{BE813B41-EE82-4205-B7C3-8F925D47B523}"/>
    <hyperlink ref="M300" r:id="rId2548" tooltip="https://learn.microsoft.com/training/modules/protect-apis-on-api-management/" display="Training" xr:uid="{07EA9BED-A94D-41E3-A26D-F00125BC2632}"/>
    <hyperlink ref="L301" r:id="rId2549" tooltip="https://learn.microsoft.com/azure/api-management/api-management-howto-autoscale" display="More info" xr:uid="{3806A031-C1CD-4ECB-95EE-C1E966BF1303}"/>
    <hyperlink ref="L302" r:id="rId2550" tooltip="https://learn.microsoft.com/azure/api-management/api-management-howto-provision-self-hosted-gateway" display="More info" xr:uid="{A29442D3-1F91-4D42-AB31-2248169C474C}"/>
    <hyperlink ref="L303" r:id="rId2551" tooltip="https://learn.microsoft.com/azure/api-management/retry-policy" display="More info" xr:uid="{2BC3AC27-2EF1-4BF7-97D7-9699EC80B8CE}"/>
    <hyperlink ref="L304" r:id="rId2552" tooltip="https://learn.microsoft.com/azure/api-management/front-door-api-management" display="More info" xr:uid="{0C52BB72-606D-45C9-904F-1E6754021A64}"/>
    <hyperlink ref="L305" r:id="rId2553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554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555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556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557" tooltip="https://learn.microsoft.com/azure/api-management/automation-manage-api-management" display="More info" xr:uid="{747611CD-E160-467F-A785-B42F4F4ADCA6}"/>
    <hyperlink ref="L310" r:id="rId2558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559" tooltip="https://learn.microsoft.com/azure/api-management/visual-studio-code-tutorial" display="More info" xr:uid="{B6F3301C-D0E2-4EE7-B65E-C7DF7437000E}"/>
    <hyperlink ref="L312" r:id="rId2560" tooltip="https://learn.microsoft.com/azure/api-management/devops-api-development-templates" display="More info" xr:uid="{A496C56D-38CF-4AA1-9F87-74F3BDD16F51}"/>
    <hyperlink ref="L313" r:id="rId2561" tooltip="https://learn.microsoft.com/azure/api-management/api-management-howto-mutual-certificates-for-clients" display="More info" xr:uid="{75D7F13B-D454-4444-85FE-5BCD027F1219}"/>
    <hyperlink ref="L314" r:id="rId2562" tooltip="https://learn.microsoft.com/azure/api-management/api-management-howto-mutual-certificates" display="More info" xr:uid="{4C839B90-1240-46C4-AD1D-364EE09E4E10}"/>
    <hyperlink ref="L315" r:id="rId2563" tooltip="https://learn.microsoft.com/azure/api-management/mitigate-owasp-api-threats" display="More info" xr:uid="{9DDB98D8-DE55-4D62-86B8-4FACB93350FC}"/>
    <hyperlink ref="L316" r:id="rId2564" tooltip="https://learn.microsoft.com/azure/api-management/authorizations-overview" display="More info" xr:uid="{03C7A7DD-F071-4D4F-8AF3-D72A978E1BA7}"/>
    <hyperlink ref="L317" r:id="rId2565" tooltip="https://learn.microsoft.com/azure/api-management/api-management-howto-manage-protocols-ciphers" display="More info" xr:uid="{BAD570A3-82C1-4617-9B6F-F2DE3872F657}"/>
    <hyperlink ref="L318" r:id="rId2566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567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568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569" tooltip="https://learn.microsoft.com/azure/app-service/app-service-key-vault-references" display="More info" xr:uid="{4D850C92-ABC6-452E-A949-F9AAB6C537E1}"/>
    <hyperlink ref="L322" r:id="rId2570" tooltip="https://learn.microsoft.com/azure/app-service/app-service-key-vault-references" display="More info" xr:uid="{C1169258-4485-4EB6-A142-A87B85D53F55}"/>
    <hyperlink ref="L323" r:id="rId2571" tooltip="https://learn.microsoft.com/azure/app-service/configure-ssl-certificate" display="More info" xr:uid="{D876F96F-DAF4-4283-89FB-544C44DBC3A6}"/>
    <hyperlink ref="L324" r:id="rId2572" tooltip="https://learn.microsoft.com/azure/app-service/overview-hosting-plans" display="More info" xr:uid="{DE648FC9-127C-498F-981A-FB1442FC00AE}"/>
    <hyperlink ref="L325" r:id="rId2573" location="file-access" tooltip="https://learn.microsoft.com/azure/app-service/operating-system-functionality#file-access" display="More info" xr:uid="{4CCBF4B8-F41A-41F3-A048-2728FB47EE0F}"/>
    <hyperlink ref="L326" r:id="rId2574" tooltip="https://learn.microsoft.com/azure/app-service/overview-authentication-authorization" display="More info" xr:uid="{0B7099DF-2588-4EEC-96AC-A57A2073410E}"/>
    <hyperlink ref="L327" r:id="rId2575" tooltip="https://learn.microsoft.com/azure/app-service/deploy-best-practices" display="More info" xr:uid="{FA3BAA25-6D55-49DF-A808-4D35D9CE10E4}"/>
    <hyperlink ref="L328" r:id="rId2576" location="disable-basic-authentication" tooltip="https://learn.microsoft.com/azure/app-service/deploy-configure-credentials#disable-basic-authentication" display="More info" xr:uid="{43A2F9B7-BCC0-4A2A-B061-15F436F7157C}"/>
    <hyperlink ref="L329" r:id="rId2577" tooltip="https://learn.microsoft.com/azure/app-service/overview-managed-identity?tabs=portal%2Chttp" display="More info" xr:uid="{69C13B73-7143-4F5B-BE74-F249AD6BEF1F}"/>
    <hyperlink ref="L330" r:id="rId2578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579" tooltip="https://learn.microsoft.com/azure/app-service/troubleshoot-diagnostic-logs" display="More info" xr:uid="{EA4930E6-A331-4D3C-A453-40614B9145A7}"/>
    <hyperlink ref="L332" r:id="rId2580" tooltip="https://learn.microsoft.com/azure/azure-monitor/essentials/activity-log" display="More info" xr:uid="{5361DD49-7989-4AA6-ACD1-1C9E09E17DDD}"/>
    <hyperlink ref="L333" r:id="rId2581" tooltip="https://learn.microsoft.com/azure/app-service/overview-vnet-integration" display="More info" xr:uid="{32E3F45E-AD42-4EC4-A297-37B9CFC588E7}"/>
    <hyperlink ref="L334" r:id="rId2582" tooltip="https://learn.microsoft.com/azure/app-service/networking/nat-gateway-integration" display="More info" xr:uid="{957C72FC-B735-4A15-8C65-AC26AF28F24D}"/>
    <hyperlink ref="L335" r:id="rId2583" location="access-restrictions" tooltip="https://learn.microsoft.com/azure/app-service/networking-features#access-restrictions" display="More info" xr:uid="{8D01E79B-8D13-44D7-90EA-7BDEC27B69D8}"/>
    <hyperlink ref="L336" r:id="rId2584" tooltip="https://learn.microsoft.com/azure/app-service/networking/app-gateway-with-service-endpoints" display="More info" xr:uid="{BF46F613-487C-4CDF-9D12-2C9F339CD810}"/>
    <hyperlink ref="L337" r:id="rId2585" location="access-restrictions" tooltip="https://learn.microsoft.com/azure/app-service/networking-features#access-restrictions" display="More info" xr:uid="{7BBF81BE-7962-4998-B4CB-A9951949DAE4}"/>
    <hyperlink ref="L338" r:id="rId2586" location="enforce-tls-versions" tooltip="https://learn.microsoft.com/azure/app-service/configure-ssl-bindings#enforce-tls-versions" display="More info" xr:uid="{19509986-7091-46AE-A405-2ED4B731906A}"/>
    <hyperlink ref="L339" r:id="rId2587" location="enforce-https" tooltip="https://learn.microsoft.com/azure/app-service/configure-ssl-bindings#enforce-https" display="More info" xr:uid="{68070C6B-83B1-4AD3-8EB3-77F2A939E150}"/>
    <hyperlink ref="L340" r:id="rId2588" tooltip="https://learn.microsoft.com/azure/app-service/app-service-web-tutorial-rest-api" display="More info" xr:uid="{F852E42C-11AB-4CEF-B1CA-09E092EA0407}"/>
    <hyperlink ref="L341" r:id="rId2589" location="configure-general-settings" tooltip="https://learn.microsoft.com/azure/app-service/configure-common#configure-general-settings" display="More info" xr:uid="{12A8AAD8-E903-4297-AEA4-BD8461D0D6C3}"/>
    <hyperlink ref="L342" r:id="rId2590" tooltip="https://learn.microsoft.com/azure/defender-for-cloud/defender-for-app-service-introduction" display="More info" xr:uid="{36DAC5EC-05F3-4E82-96E0-C86BD8A6B43A}"/>
    <hyperlink ref="L343" r:id="rId2591" tooltip="https://learn.microsoft.com/azure/ddos-protection/ddos-protection-overview" display="More info" xr:uid="{DF329433-A283-463D-BB3E-6ED8449C7960}"/>
    <hyperlink ref="L344" r:id="rId2592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593" tooltip="https://learn.microsoft.com/azure/security/fundamentals/pen-testing" display="More info" xr:uid="{BFDBF430-B916-4DE7-A0EF-BD4D75B64B79}"/>
    <hyperlink ref="L346" r:id="rId2594" tooltip="https://learn.microsoft.com/azure/architecture/solution-ideas/articles/devsecops-in-azure" display="More info" xr:uid="{555351EC-A173-401B-A35B-AA383D356099}"/>
    <hyperlink ref="L347" r:id="rId2595" tooltip="https://learn.microsoft.com/azure/app-service/overview-patch-os-runtime" display="More info" xr:uid="{7C25F5E4-F277-469C-A0E7-B1479B3EC2A2}"/>
    <hyperlink ref="L348" r:id="rId2596" tooltip="https://learn.microsoft.com/azure/service-bus-messaging/configure-customer-managed-key" display="More info" xr:uid="{942DC0FD-9C12-4C35-B136-5067EE94CF5D}"/>
    <hyperlink ref="M348" r:id="rId2597" tooltip="https://learn.microsoft.com/learn/modules/plan-implement-administer-conditional-access/" display="Training" xr:uid="{32C85477-ED62-48F2-84F2-D2DF343E0ECD}"/>
    <hyperlink ref="L349" r:id="rId2598" tooltip="https://learn.microsoft.com/azure/service-bus-messaging/transport-layer-security-enforce-minimum-version" display="More info" xr:uid="{20E0E8F9-A20D-428E-BEED-EFBDE312F0B7}"/>
    <hyperlink ref="M349" r:id="rId2599" tooltip="https://learn.microsoft.com/learn/modules/secure-aad-users-with-mfa/" display="Training" xr:uid="{4F9B0435-6B5F-4D09-9100-72B30946E544}"/>
    <hyperlink ref="L350" r:id="rId2600" location="shared-access-authorization-policies" tooltip="https://learn.microsoft.com/azure/service-bus-messaging/service-bus-sas#shared-access-authorization-policies" display="More info" xr:uid="{0AFA9E73-48D1-4D0E-A0DC-9D0292639595}"/>
    <hyperlink ref="M350" r:id="rId2601" tooltip="https://learn.microsoft.com/learn/paths/azure-administrator-manage-identities-governance/" display="Training" xr:uid="{B7C1C750-5C43-438C-A0E5-AC6EEF1AE5C5}"/>
    <hyperlink ref="L351" r:id="rId2602" tooltip="https://learn.microsoft.com/azure/service-bus-messaging/service-bus-managed-service-identity" display="More info" xr:uid="{12D56109-019C-4995-A61A-34EA63E43AD4}"/>
    <hyperlink ref="M351" r:id="rId2603" tooltip="https://learn.microsoft.com/learn/modules/azure-ad-privileged-identity-management/" display="Training" xr:uid="{E6DF4EF2-DE49-494C-AD4C-67F5F785C52D}"/>
    <hyperlink ref="L352" r:id="rId2604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605" tooltip="https://learn.microsoft.com/learn/modules/explore-basic-services-identity-types/" display="Training" xr:uid="{E36B5FBE-1316-46E6-9EB9-00E9B7F5F1FE}"/>
    <hyperlink ref="L353" r:id="rId2606" tooltip="https://learn.microsoft.com/azure/service-bus-messaging/monitor-service-bus-reference" display="More info" xr:uid="{C289EC6D-F4B7-49E3-9204-704166697873}"/>
    <hyperlink ref="M353" r:id="rId2607" tooltip="https://learn.microsoft.com/learn/paths/manage-identity-and-access/" display="Training" xr:uid="{7BAAA752-6A3A-48C6-8AA6-44E2DD0C0B43}"/>
    <hyperlink ref="L354" r:id="rId2608" tooltip="https://learn.microsoft.com/azure/service-bus-messaging/private-link-service" display="More info" xr:uid="{BAC19655-B202-4ECC-9C55-A854B93C0532}"/>
    <hyperlink ref="M354" r:id="rId2609" tooltip="https://learn.microsoft.com/learn/modules/azure-ad-privileged-identity-management/" display="Training" xr:uid="{6D9A1225-1E82-403D-9865-4605932B545D}"/>
    <hyperlink ref="L355" r:id="rId2610" tooltip="https://learn.microsoft.com/azure/service-bus-messaging/service-bus-ip-filtering" display="More info" xr:uid="{41ACDBED-90AE-48DF-8410-1B1E89EA6075}"/>
    <hyperlink ref="M355" r:id="rId2611" tooltip="https://learn.microsoft.com/learn/paths/implement-resource-mgmt-security/" display="Training" xr:uid="{BDFD19A0-729D-4BFC-9C02-B9C1F782AE54}"/>
    <hyperlink ref="L366" r:id="rId2612" tooltip="https://github.com/Azure/AzureCAT-AVS/tree/main/networking" display="More info" xr:uid="{AC501C80-2714-4833-9621-F6A61A0CF870}"/>
    <hyperlink ref="L448" r:id="rId2613" location="how-application-proxy-works" tooltip="https://learn.microsoft.com/azure/active-directory/app-proxy/application-proxy#how-application-proxy-works" display="More info" xr:uid="{17F4D18E-6079-4E44-8CDA-E502B12A7773}"/>
    <hyperlink ref="M448" r:id="rId2614" tooltip="https://learn.microsoft.com/learn/modules/configure-azure-ad-application-proxy/" display="Training" xr:uid="{754C76D4-E732-460E-B26A-9578B1FD81CD}"/>
    <hyperlink ref="L449" r:id="rId2615" location="how-application-proxy-works" tooltip="https://learn.microsoft.com/azure/active-directory/app-proxy/application-proxy#how-application-proxy-works" display="More info" xr:uid="{177E49BF-32A3-466A-965A-23089F484AB2}"/>
    <hyperlink ref="M449" r:id="rId2616" tooltip="https://learn.microsoft.com/learn/paths/implement-applications-external-access-azure-ad/" display="Training" xr:uid="{60345D88-25C0-47C6-BE9F-9839B2777D73}"/>
    <hyperlink ref="L453" r:id="rId2617" tooltip="https://learn.microsoft.com/azure/web-application-firewall/afds/waf-front-door-policy-settings" display="More info" xr:uid="{F501EC89-AFD8-45D6-A855-2B3494B373BF}"/>
    <hyperlink ref="L454" r:id="rId2618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619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620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621" location="select-good-health-probe-endpoints" tooltip="https://learn.microsoft.com/azure/frontdoor/best-practices#select-good-health-probe-endpoints" display="More info" xr:uid="{4FA8C6A3-2D52-47A9-805B-25B7FB1E3FBC}"/>
    <hyperlink ref="L458" r:id="rId2622" location="use-head-health-probes" tooltip="https://learn.microsoft.com/azure/frontdoor/best-practices#use-head-health-probes" display="More info" xr:uid="{8AAB6463-9CF8-4D53-9742-3013235354FA}"/>
    <hyperlink ref="L459" r:id="rId2623" location="outbound-connectivity" tooltip="https://learn.microsoft.com/azure/nat-gateway/nat-overview#outbound-connectivity" display="More info" xr:uid="{044CFACA-CC34-4B5B-BFFD-374F45488106}"/>
    <hyperlink ref="L460" r:id="rId2624" location="use-managed-tls-certificates" tooltip="https://learn.microsoft.com/azure/frontdoor/best-practices#use-managed-tls-certificates" display="More info" xr:uid="{5AC7A1CE-BF1E-4CBE-8000-706CEE59839A}"/>
    <hyperlink ref="L461" r:id="rId2625" tooltip="https://learn.microsoft.com/azure/spring-apps/concepts-blue-green-deployment-strategies" display="More info" xr:uid="{FC391B91-08AF-46A9-8BFD-0907E095050A}"/>
    <hyperlink ref="L462" r:id="rId2626" tooltip="https://learn.microsoft.com/azure/architecture/web-apps/spring-apps/architectures/spring-apps-multi-region" display="More info" xr:uid="{A596945E-735E-4253-A027-4FC507811199}"/>
    <hyperlink ref="L463" r:id="rId2627" tooltip="https://learn.microsoft.com/azure/reliability/reliability-spring-apps" display="More info" xr:uid="{294B6AE6-ED0B-4911-8B69-FE62D13D7BDC}"/>
    <hyperlink ref="L464" r:id="rId2628" tooltip="https://learn.microsoft.com/azure/spring-apps/concept-understand-app-and-deployment" display="More info" xr:uid="{ECCBDEC4-BA07-4F80-8ED5-B5C69AD08DDF}"/>
    <hyperlink ref="L465" r:id="rId2629" tooltip="https://learn.microsoft.com/azure/spring-apps/diagnostic-services" display="More info" xr:uid="{9A6B5A2E-3B47-497B-B9FD-829222265825}"/>
    <hyperlink ref="L466" r:id="rId2630" tooltip="https://learn.microsoft.com/azure/spring-apps/how-to-configure-enterprise-spring-cloud-gateway" display="More info" xr:uid="{40BEACE3-B012-4725-8B59-50605072FE33}"/>
    <hyperlink ref="L467" r:id="rId2631" tooltip="https://learn.microsoft.com/azure/spring-apps/how-to-setup-autoscale" display="More info" xr:uid="{71AB67AD-CD4D-4C63-BD71-B80061F6445B}"/>
    <hyperlink ref="L468" r:id="rId2632" tooltip="https://learn.microsoft.com/azure/spring-apps/overview" display="More info" xr:uid="{729199EF-A7D6-4609-823B-0DD6A0652F54}"/>
    <hyperlink ref="L469" r:id="rId2633" tooltip="https://learn.microsoft.com/security/benchmark/azure/baselines/storage-security-baseline" display="More info" xr:uid="{EBD7AB43-4EC4-4AED-A5CF-582EC81FE6C5}"/>
    <hyperlink ref="L470" r:id="rId2634" tooltip="https://learn.microsoft.com/azure/storage/common/storage-private-endpoints" display="More info" xr:uid="{2F321B7F-5AA8-48B7-AE36-2D9B13F4EA60}"/>
    <hyperlink ref="L471" r:id="rId2635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636" tooltip="https://learn.microsoft.com/azure/storage/common/azure-defender-storage-configure" display="More info" xr:uid="{9E9D34EB-0A0F-4C93-A57D-32364288F66D}"/>
    <hyperlink ref="L473" r:id="rId2637" tooltip="https://learn.microsoft.com/azure/storage/blobs/soft-delete-blob-overview" display="More info" xr:uid="{EEFF7F68-6D27-44CE-99CB-2CDB351512F8}"/>
    <hyperlink ref="L474" r:id="rId2638" tooltip="https://learn.microsoft.com/azure/storage/blobs/soft-delete-blob-enable" display="More info" xr:uid="{93B40DDE-3C42-42EB-BD41-2983602F8D81}"/>
    <hyperlink ref="L475" r:id="rId2639" tooltip="https://learn.microsoft.com/azure/storage/blobs/soft-delete-container-overview" display="More info" xr:uid="{BFF2AC53-66B6-44CF-830A-B8E06E578D00}"/>
    <hyperlink ref="L476" r:id="rId2640" tooltip="https://learn.microsoft.com/azure/storage/blobs/soft-delete-container-enable" display="More info" xr:uid="{9CB37EA4-78D0-4200-ABB7-C8AC903CF3AD}"/>
    <hyperlink ref="L477" r:id="rId2641" tooltip="https://learn.microsoft.com/azure/storage/common/lock-account-resource" display="More info" xr:uid="{37A71F56-27BE-4C0E-B162-98CBD139EA17}"/>
    <hyperlink ref="L478" r:id="rId2642" tooltip="https://learn.microsoft.com/azure/storage/blobs/immutable-storage-overview" display="More info" xr:uid="{0511E057-BE8A-40BB-8617-94861E4ED2C1}"/>
    <hyperlink ref="L479" r:id="rId2643" tooltip="https://learn.microsoft.com/azure/storage/common/storage-require-secure-transfer" display="More info" xr:uid="{55196933-43EA-4B12-8BB7-440337F327F1}"/>
    <hyperlink ref="L480" r:id="rId2644" tooltip="https://learn.microsoft.com/azure/storage/blobs/storage-custom-domain-name" display="More info" xr:uid="{9D94C936-82B6-4BC8-804C-245B6F1CBBDD}"/>
    <hyperlink ref="L481" r:id="rId2645" tooltip="https://learn.microsoft.com/azure/storage/common/storage-sas-overview" display="More info" xr:uid="{4C9D3773-842A-4B6C-B82B-9E39D861C09C}"/>
    <hyperlink ref="L482" r:id="rId2646" tooltip="https://learn.microsoft.com/azure/storage/common/authorize-data-access" display="More info" xr:uid="{70226DD1-9D7E-44F7-B82F-B5795D075098}"/>
    <hyperlink ref="L484" r:id="rId2647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648" tooltip="https://learn.microsoft.com/rest/api/storageservices/authorize-with-shared-key" display="More info" xr:uid="{93526A47-A31A-4C73-87EA-CC19F6AE5DD6}"/>
    <hyperlink ref="L486" r:id="rId2649" location="audit-account-activity" tooltip="https://learn.microsoft.com/azure/storage/blobs/blob-storage-monitoring-scenarios#audit-account-activity" display="More info" xr:uid="{BDB08D98-E71A-40D5-83E6-55BC2E1510CB}"/>
    <hyperlink ref="L487" r:id="rId2650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651" tooltip="https://learn.microsoft.com/azure/storage/common/sas-expiration-policy" display="More info" xr:uid="{E888CA40-E841-4767-9C28-4FF352B09FC0}"/>
    <hyperlink ref="L489" r:id="rId2652" tooltip="https://learn.microsoft.com/rest/api/storageservices/define-stored-access-policy" display="More info" xr:uid="{2A560467-9801-4C8D-B937-7AAAED2C57E7}"/>
    <hyperlink ref="L490" r:id="rId2653" tooltip="https://microsoft.github.io/code-with-engineering-playbook/continuous-integration/dev-sec-ops/secret-management/recipes/detect-secrets-ado/" display="More info" xr:uid="{BEE93C76-D781-4FC8-907F-8C847D4FEA96}"/>
    <hyperlink ref="L491" r:id="rId2654" tooltip="https://learn.microsoft.com/azure/architecture/framework/security/design-storage-keys" display="More info" xr:uid="{1D6B8BE3-0C60-4AB8-894C-7C50690F49DD}"/>
    <hyperlink ref="L492" r:id="rId2655" tooltip="https://learn.microsoft.com/rest/api/storageservices/delegate-access-with-shared-access-signature" display="More info" xr:uid="{80CCF6A7-9E88-4C7D-9379-34AC0EDD7079}"/>
    <hyperlink ref="L493" r:id="rId2656" tooltip="https://learn.microsoft.com/rest/api/storageservices/delegate-access-with-shared-access-signature" display="More info" xr:uid="{6581CABB-A1F4-4167-906B-E6A3AFDF1B1A}"/>
    <hyperlink ref="L494" r:id="rId2657" tooltip="https://learn.microsoft.com/rest/api/storageservices/create-account-sas" display="More info" xr:uid="{B815F179-53BF-448B-9316-A37FBE9F366A}"/>
    <hyperlink ref="L496" r:id="rId2658" location="sftp-permission-model" tooltip="https://learn.microsoft.com/azure/storage/blobs/secure-file-transfer-protocol-support#sftp-permission-model" display="More info" xr:uid="{B2B71648-41E9-4E19-9185-62D0768E6487}"/>
    <hyperlink ref="L497" r:id="rId2659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660" tooltip="https://learn.microsoft.com/rest/api/storageservices/cross-origin-resource-sharing--cors--support-for-the-azure-storage-services" display="More info" xr:uid="{79B22921-A3CF-4E30-8ED1-D321EB0AA0D8}"/>
    <hyperlink ref="L499" r:id="rId2661" tooltip="https://learn.microsoft.com/azure/storage/common/storage-service-encryption" display="More info" xr:uid="{FC20D671-E6E0-4B68-9780-A2614A7B78E4}"/>
    <hyperlink ref="L500" r:id="rId2662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663" tooltip="https://learn.microsoft.com/azure/storage/blobs/encryption-customer-provided-keys" display="More info" xr:uid="{EDBBBDCB-F79F-483B-B198-262919D5AC6C}"/>
    <hyperlink ref="L502" r:id="rId2664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665" tooltip="https://learn.microsoft.com/azure/event-hubs/configure-customer-managed-key" display="More info" xr:uid="{CC57E5C5-1A1A-4052-AC53-D77E4C61A251}"/>
    <hyperlink ref="M503" r:id="rId2666" tooltip="https://learn.microsoft.com/learn/modules/plan-implement-administer-conditional-access/" display="Training" xr:uid="{B2FC28D1-07BC-424E-88EB-59441963BC73}"/>
    <hyperlink ref="L504" r:id="rId2667" tooltip="https://learn.microsoft.com/azure/event-hubs/transport-layer-security-configure-minimum-version" display="More info" xr:uid="{D1EEE396-03F4-4E45-9BC0-49D28B4074B1}"/>
    <hyperlink ref="M504" r:id="rId2668" tooltip="https://learn.microsoft.com/learn/modules/secure-aad-users-with-mfa/" display="Training" xr:uid="{0A365DD6-BA20-43B4-AEF6-03C330E08995}"/>
    <hyperlink ref="L505" r:id="rId2669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670" tooltip="https://learn.microsoft.com/learn/paths/azure-administrator-manage-identities-governance/" display="Training" xr:uid="{C3BBABFE-8C73-433D-8987-A5BA20D69CDC}"/>
    <hyperlink ref="L506" r:id="rId2671" tooltip="https://learn.microsoft.com/azure/event-hubs/authenticate-managed-identity?tabs=latest" display="More info" xr:uid="{84C2CCA4-C6CC-45DD-A215-8FCCA6308DE1}"/>
    <hyperlink ref="M506" r:id="rId2672" tooltip="https://learn.microsoft.com/learn/modules/azure-ad-privileged-identity-management/" display="Training" xr:uid="{0A4F3AF3-D313-4C41-B8A5-30C13B070E0E}"/>
    <hyperlink ref="L507" r:id="rId2673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674" tooltip="https://learn.microsoft.com/learn/modules/explore-basic-services-identity-types/" display="Training" xr:uid="{130013EB-90C9-4D6C-93AE-5A3D02C4BFD6}"/>
    <hyperlink ref="L508" r:id="rId2675" tooltip="https://learn.microsoft.com/azure/event-hubs/monitor-event-hubs-reference" display="More info" xr:uid="{2D6E2C6A-7A54-4287-8A4A-0D18CB9FFB36}"/>
    <hyperlink ref="M508" r:id="rId2676" tooltip="https://learn.microsoft.com/learn/paths/manage-identity-and-access/" display="Training" xr:uid="{802FE105-D840-4479-9E0E-BAE51049A9E7}"/>
    <hyperlink ref="L509" r:id="rId2677" tooltip="https://learn.microsoft.com/azure/event-hubs/private-link-service" display="More info" xr:uid="{D892D0C6-8CDC-4F43-8B5D-05F34E0A07D5}"/>
    <hyperlink ref="M509" r:id="rId2678" tooltip="https://learn.microsoft.com/learn/modules/azure-ad-privileged-identity-management/" display="Training" xr:uid="{49B6467F-DFB7-475B-84B2-CF1B65DC4116}"/>
    <hyperlink ref="L510" r:id="rId2679" tooltip="https://learn.microsoft.com/azure/event-hubs/event-hubs-ip-filtering" display="More info" xr:uid="{2AAF7F96-DC99-48DD-9550-32122EA9A93F}"/>
    <hyperlink ref="M510" r:id="rId2680" tooltip="https://learn.microsoft.com/learn/paths/implement-resource-mgmt-security/" display="Training" xr:uid="{770B1808-12D4-4637-B986-A54AD1C482DC}"/>
    <hyperlink ref="L511" r:id="rId2681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682" tooltip="https://learn.microsoft.com/azure/application-gateway/overview-v2" display="More info" xr:uid="{61AFEE09-7EA2-4BDD-92B1-6A3431ECCA30}"/>
    <hyperlink ref="M512" r:id="rId2683" tooltip="https://learn.microsoft.com/learn/paths/secure-application-delivery/" display="Training" xr:uid="{063F4FB5-33AA-4A2E-8C51-520F1DED66E1}"/>
    <hyperlink ref="L513" r:id="rId2684" tooltip="https://learn.microsoft.com/azure/load-balancer/load-balancer-overview" display="More info" xr:uid="{ECD8336E-E577-4F10-B8F4-B5A96369590F}"/>
    <hyperlink ref="L514" r:id="rId2685" tooltip="https://learn.microsoft.com/azure/load-balancer/load-balancer-standard-availability-zones" display="More info" xr:uid="{636E572B-4507-4C36-B64A-A2176DBDFD66}"/>
    <hyperlink ref="L515" r:id="rId2686" location="size-of-the-subnet" tooltip="https://learn.microsoft.com/azure/application-gateway/configuration-infrastructure#size-of-the-subnet" display="More info" xr:uid="{BAB4EAB7-C4DB-43AB-B206-DC49CF2613AD}"/>
    <hyperlink ref="M515" r:id="rId2687" tooltip="https://learn.microsoft.com/learn/paths/secure-application-delivery/" display="Training" xr:uid="{98AC5E9A-1716-4E6D-B63D-D5F8413109BC}"/>
    <hyperlink ref="L516" r:id="rId2688" tooltip="https://learn.microsoft.com/azure/web-application-firewall/ag/ag-overview" display="More info" xr:uid="{DF2DC0B7-B6BE-40E7-97AE-14FEA5307233}"/>
    <hyperlink ref="M516" r:id="rId2689" tooltip="https://learn.microsoft.com/learn/paths/secure-application-delivery/" display="Training" xr:uid="{2F95AF7D-781A-4765-B65E-08AC9F5A8691}"/>
    <hyperlink ref="L517" r:id="rId2690" tooltip="https://learn.microsoft.com/azure/web-application-firewall/ag/ag-overview" display="More info" xr:uid="{E4443779-6654-4BC6-9FA1-F1EA9245FF62}"/>
    <hyperlink ref="M517" r:id="rId2691" tooltip="https://learn.microsoft.com/learn/paths/secure-networking-infrastructure/" display="Training" xr:uid="{E30E9E70-C382-47A4-9E92-08979BFD6069}"/>
    <hyperlink ref="L518" r:id="rId2692" tooltip="https://learn.microsoft.com/azure/application-gateway/application-gateway-autoscaling-zone-redundant" display="More info" xr:uid="{E6C3A656-5115-498F-96D3-65BB54A69A32}"/>
    <hyperlink ref="M518" r:id="rId2693" tooltip="https://learn.microsoft.com/learn/paths/secure-application-delivery/" display="Training" xr:uid="{43739BF6-849C-4B1E-B291-E8ACFEC6AF39}"/>
    <hyperlink ref="L519" r:id="rId2694" tooltip="https://learn.microsoft.com/azure/reliability/migrate-app-gateway-v2" display="More info" xr:uid="{90025005-0D88-42AB-A63D-2F7669A21893}"/>
    <hyperlink ref="M519" r:id="rId2695" tooltip="https://learn.microsoft.com/learn/paths/secure-application-delivery/" display="Training" xr:uid="{3CEC7823-35E8-46AE-BEA1-9C0F5FCEFF5A}"/>
    <hyperlink ref="L520" r:id="rId2696" tooltip="https://learn.microsoft.com/azure/web-application-firewall/ag/ag-overview" display="More info" xr:uid="{E2C21288-8DD0-471F-8A01-08120549AD7B}"/>
    <hyperlink ref="M520" r:id="rId2697" tooltip="https://learn.microsoft.com/learn/paths/secure-networking-infrastructure/" display="Training" xr:uid="{E8F10CB4-A65A-4ED7-8E1E-03004A6AC771}"/>
    <hyperlink ref="L521" r:id="rId2698" tooltip="https://learn.microsoft.com/azure/ddos-protection/ddos-protection-overview" display="More info" xr:uid="{401B17FC-4F8D-4098-9F5D-7E8266305D11}"/>
    <hyperlink ref="M521" r:id="rId2699" tooltip="https://learn.microsoft.com/learn/paths/secure-networking-infrastructure/" display="Training" xr:uid="{3AE5D015-9140-42A0-AFD3-4649CE7690EB}"/>
    <hyperlink ref="L522" r:id="rId2700" tooltip="https://learn.microsoft.com/azure/web-application-firewall/ag/ag-overview" display="More info" xr:uid="{0427BADD-9BDD-4AD7-B061-4F649860D9FB}"/>
    <hyperlink ref="M522" r:id="rId2701" tooltip="https://learn.microsoft.com/learn/paths/secure-networking-infrastructure/" display="Training" xr:uid="{68A21F89-EB30-4010-B80B-C476003ECD0F}"/>
    <hyperlink ref="L523" r:id="rId2702" location="how-application-proxy-works" tooltip="https://learn.microsoft.com/azure/active-directory/app-proxy/application-proxy#how-application-proxy-works" display="More info" xr:uid="{EFCE279F-4221-4D20-8CC6-965F435D54FD}"/>
    <hyperlink ref="M523" r:id="rId2703" tooltip="https://learn.microsoft.com/learn/modules/configure-azure-ad-application-proxy/" display="Training" xr:uid="{BD20625A-97AD-4E9B-9869-5DABC89992E8}"/>
    <hyperlink ref="L524" r:id="rId2704" location="how-application-proxy-works" tooltip="https://learn.microsoft.com/azure/active-directory/app-proxy/application-proxy#how-application-proxy-works" display="More info" xr:uid="{6EE8945A-BE92-4C37-B67D-9918ED242A28}"/>
    <hyperlink ref="M524" r:id="rId2705" tooltip="https://learn.microsoft.com/learn/paths/implement-applications-external-access-azure-ad/" display="Training" xr:uid="{63E0FA05-500D-493B-A047-AD1B9FE5CBA6}"/>
    <hyperlink ref="L525" r:id="rId2706" tooltip="https://learn.microsoft.com/azure/web-application-firewall/afds/waf-front-door-policy-settings" display="More info" xr:uid="{1D1B4294-E878-481C-99E7-878B7BBCE843}"/>
    <hyperlink ref="L526" r:id="rId2707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708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709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710" location="select-good-health-probe-endpoints" tooltip="https://learn.microsoft.com/azure/frontdoor/best-practices#select-good-health-probe-endpoints" display="More info" xr:uid="{2CE276BB-2DFC-4917-89F9-2969B85D8921}"/>
    <hyperlink ref="L530" r:id="rId2711" location="use-head-health-probes" tooltip="https://learn.microsoft.com/azure/frontdoor/best-practices#use-head-health-probes" display="More info" xr:uid="{0C4B0FAD-7553-48D7-B9E3-ECC197FA75F7}"/>
    <hyperlink ref="L531" r:id="rId2712" location="outbound-connectivity" tooltip="https://learn.microsoft.com/azure/nat-gateway/nat-overview#outbound-connectivity" display="More info" xr:uid="{CE895A5F-D6A3-4852-8A85-B866E80A71C0}"/>
    <hyperlink ref="L532" r:id="rId2713" location="use-managed-tls-certificates" tooltip="https://learn.microsoft.com/azure/frontdoor/best-practices#use-managed-tls-certificates" display="More info" xr:uid="{E5F2F555-1D9F-49B0-8153-CF7F6292AF15}"/>
    <hyperlink ref="L533" r:id="rId2714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715" location="use-end-to-end-tls" tooltip="https://learn.microsoft.com/azure/frontdoor/best-practices#use-end-to-end-tls" display="More info" xr:uid="{9F830F81-C766-4C0F-83DA-5EC6E1FA7B72}"/>
    <hyperlink ref="L535" r:id="rId2716" location="use-http-to-https-redirection" tooltip="https://learn.microsoft.com/azure/frontdoor/best-practices#use-http-to-https-redirection" display="More info" xr:uid="{DE4D9D88-09F5-4AD0-A308-CD2062DC7FA2}"/>
    <hyperlink ref="L536" r:id="rId2717" location="enable-the-waf" tooltip="https://learn.microsoft.com/azure/frontdoor/best-practices#enable-the-waf" display="More info" xr:uid="{A9C721EC-F5F1-4B73-B741-13E015E50EB8}"/>
    <hyperlink ref="L537" r:id="rId2718" location="tune-your-waf" tooltip="https://learn.microsoft.com/azure/web-application-firewall/afds/waf-front-door-best-practices#tune-your-waf" display="More info" xr:uid="{F8C1DF93-8886-4852-9BFD-1D34FA06303D}"/>
    <hyperlink ref="L538" r:id="rId2719" location="use-prevention-mode" tooltip="https://learn.microsoft.com/azure/web-application-firewall/afds/waf-front-door-best-practices#use-prevention-mode" display="More info" xr:uid="{8EE03F56-005A-4532-AC1F-07536249F091}"/>
    <hyperlink ref="L539" r:id="rId2720" location="enable-default-rule-sets" tooltip="https://learn.microsoft.com/azure/web-application-firewall/afds/waf-front-door-best-practices#enable-default-rule-sets" display="More info" xr:uid="{5C9F547C-D102-49E6-AAEF-64F5B456C693}"/>
    <hyperlink ref="L540" r:id="rId2721" location="enable-bot-management-rules" tooltip="https://learn.microsoft.com/azure/web-application-firewall/afds/waf-front-door-best-practices#enable-bot-management-rules" display="More info" xr:uid="{FB5A6A9E-257F-4C36-84BC-D2C98A671C69}"/>
    <hyperlink ref="L541" r:id="rId2722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723" location="add-rate-limiting" tooltip="https://learn.microsoft.com/azure/web-application-firewall/afds/waf-front-door-best-practices#add-rate-limiting" display="More info" xr:uid="{44BB28B9-1F44-4B49-8DB9-A537401B1773}"/>
    <hyperlink ref="L543" r:id="rId2724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725" location="geo-filter-traffic" tooltip="https://learn.microsoft.com/azure/web-application-firewall/afds/waf-front-door-best-practices#geo-filter-traffic" display="More info" xr:uid="{01C46562-4E6D-4828-A898-9BA083CABC30}"/>
    <hyperlink ref="L545" r:id="rId2726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727" tooltip="https://learn.microsoft.com/azure/azure-cache-for-redis/cache-how-to-zone-redundancy" display="More info" xr:uid="{92FAB1D0-4953-499E-92F5-BDBCC2F071EF}"/>
    <hyperlink ref="L547" r:id="rId2728" tooltip="https://learn.microsoft.com/azure/azure-cache-for-redis/cache-how-to-premium-persistence?tabs=premium" display="More info" xr:uid="{F0BC5416-07C9-47B3-BAF6-6F73A6B8708F}"/>
    <hyperlink ref="L548" r:id="rId2729" tooltip="https://learn.microsoft.com/azure/azure-cache-for-redis/cache-how-to-premium-persistence?tabs=premium" display="More info" xr:uid="{7F2FA7AC-67B8-4800-B7EE-B6646BD4CF84}"/>
    <hyperlink ref="L549" r:id="rId2730" tooltip="https://learn.microsoft.com/azure/azure-cache-for-redis/cache-how-to-geo-replication" display="More info" xr:uid="{127437CC-7D81-4026-8133-B8B6CA6D0C09}"/>
    <hyperlink ref="L550" r:id="rId2731" tooltip="https://learn.microsoft.com/azure/virtual-machine-scale-sets/virtual-machine-scale-sets-automatic-instance-repairs" display="More info" xr:uid="{88A28AA2-1682-4879-B535-77446A8FFDE0}"/>
    <hyperlink ref="L551" r:id="rId2732" tooltip="https://learn.microsoft.com/azure/backup/backup-azure-vms-introduction" display="More info" xr:uid="{9A9D517C-45AB-4F30-B888-E6CE1B5FC802}"/>
    <hyperlink ref="L552" r:id="rId2733" tooltip="https://learn.microsoft.com/azure/virtual-machines/disks-types" display="More info" xr:uid="{B7AC67B4-136C-45D5-AA87-15E38CA78AB2}"/>
    <hyperlink ref="L553" r:id="rId2734" tooltip="https://learn.microsoft.com/azure/virtual-machines/managed-disks-overview" display="More info" xr:uid="{AC550543-6936-4212-B9FD-4A164C2EF254}"/>
    <hyperlink ref="L554" r:id="rId2735" location="temporary-disk" tooltip="https://learn.microsoft.com/azure/virtual-machines/managed-disks-overview#temporary-disk" display="More info" xr:uid="{F9BF5923-98CB-4FFD-B0AF-645E085740A5}"/>
    <hyperlink ref="L555" r:id="rId2736" tooltip="https://learn.microsoft.com/azure/reliability/availability-zones-overview" display="More info" xr:uid="{A489340E-4011-4191-A99E-F50C74F88FB9}"/>
    <hyperlink ref="L556" r:id="rId2737" tooltip="https://learn.microsoft.com/azure/virtual-machines/availability-set-overview" display="More info" xr:uid="{11A02C20-E6C1-4739-8029-C4DB949A55D1}"/>
    <hyperlink ref="L557" r:id="rId2738" tooltip="https://learn.microsoft.com/azure/virtual-machines/availability" display="More info" xr:uid="{BB001A55-7861-48EC-9BC4-FB0EF09C4ECD}"/>
    <hyperlink ref="L558" r:id="rId2739" tooltip="https://learn.microsoft.com/azure/site-recovery/site-recovery-overview" display="More info" xr:uid="{ECC09AD0-35DE-4A3F-B838-7B618D28EB4E}"/>
    <hyperlink ref="L559" r:id="rId2740" tooltip="https://learn.microsoft.com/azure/virtual-machines/capacity-reservation-overview" display="More info" xr:uid="{3AC8F8E8-582C-428E-8D39-AFD99EE15CA0}"/>
    <hyperlink ref="L560" r:id="rId2741" tooltip="https://learn.microsoft.com/azure/quotas/per-vm-quota-requests" display="More info" xr:uid="{40968964-82EC-42B0-B907-C89C6C542A13}"/>
    <hyperlink ref="L561" r:id="rId2742" tooltip="https://learn.microsoft.com/azure/virtual-machines/windows/scheduled-events" display="More info" xr:uid="{5CF6F041-2408-4A05-B534-1B7D01DBD507}"/>
    <hyperlink ref="L562" r:id="rId2743" tooltip="https://learn.microsoft.com/azure/storage/common/storage-redundancy" display="More info" xr:uid="{7487A711-742F-453C-8872-656438EEA820}"/>
    <hyperlink ref="L563" r:id="rId2744" tooltip="https://learn.microsoft.com/azure/storage/common/lock-account-resource" display="More info" xr:uid="{38C36488-3D2B-44C0-875E-26D4C24B07DE}"/>
    <hyperlink ref="L564" r:id="rId2745" tooltip="https://learn.microsoft.com/azure/storage/blobs/soft-delete-container-enable" display="More info" xr:uid="{AC77F235-D895-4BF9-A897-71A70035FDF3}"/>
    <hyperlink ref="L565" r:id="rId2746" tooltip="https://learn.microsoft.com/azure/storage/blobs/soft-delete-blob-enable" display="More info" xr:uid="{F02B5810-9A0F-4C72-A14F-62EEBD1AB3A3}"/>
    <hyperlink ref="L566" r:id="rId2747" tooltip="https://learn.microsoft.com/azure/backup/backup-azure-enhanced-soft-delete-about" display="More info" xr:uid="{7303C67C-15FF-49F8-8F07-DF6542A784A7}"/>
    <hyperlink ref="L567" r:id="rId2748" tooltip="https://learn.microsoft.com/azure/backup/multi-user-authorization-concept" display="More info" xr:uid="{80853EF6-339E-4367-A12D-7920F8D0ADA1}"/>
    <hyperlink ref="L568" r:id="rId2749" tooltip="https://learn.microsoft.com/azure/backup/backup-azure-immutable-vault-concept?source=recommendations&amp;tabs=recovery-services-vault" display="More info" xr:uid="{3CCF2CEC-5525-49D1-A897-98EA7EBB7474}"/>
    <hyperlink ref="L569" r:id="rId2750" tooltip="https://learn.microsoft.com/azure/dns/tutorial-dns-private-resolver-failover" display="More info" xr:uid="{9D7089F8-7E22-4CFD-84F3-0DD2453246AC}"/>
    <hyperlink ref="L570" r:id="rId2751" tooltip="https://learn.microsoft.com/data-integration/gateway/service-gateway-high-availability-clusters" display="More info" xr:uid="{FCA30444-37A0-44F1-9124-04A813CCCDAA}"/>
    <hyperlink ref="L571" r:id="rId2752" tooltip="https://learn.microsoft.com/azure/architecture/reference-architectures/dmz/nva-ha" display="More info" xr:uid="{5E434587-47E5-461F-B2EF-8D4786A03EC5}"/>
    <hyperlink ref="M122" r:id="rId2753" tooltip="https://learn.microsoft.com/learn/paths/secure-networking-infrastructure/" display="Training" xr:uid="{85EF9381-0677-49EB-9483-D840F6D2BCCF}"/>
    <hyperlink ref="M123" r:id="rId2754" tooltip="https://learn.microsoft.com/learn/paths/secure-networking-infrastructure/" display="Training" xr:uid="{1EB36ACD-B332-4181-9E1B-25291C67D957}"/>
    <hyperlink ref="M124" r:id="rId2755" tooltip="https://learn.microsoft.com/learn/paths/implement-network-security/?source=learn" display="Training" xr:uid="{E2D4C333-51DE-400B-A5B3-306C7E1BDDF4}"/>
    <hyperlink ref="M125" r:id="rId2756" tooltip="https://learn.microsoft.com/learn/paths/secure-application-delivery/" display="Training" xr:uid="{4EE192A6-CAFA-44F7-9254-080315DCFE02}"/>
    <hyperlink ref="M126" r:id="rId2757" tooltip="https://learn.microsoft.com/learn/modules/design-implement-azure-expressroute/" display="Training" xr:uid="{0C9DB36E-1D04-4D04-A2E6-3A955D4418F2}"/>
    <hyperlink ref="M127" r:id="rId2758" tooltip="https://learn.microsoft.com/learn/paths/implement-network-security/?source=learn" display="Training" xr:uid="{574BA259-D5E0-4B19-BD3F-C47571ED3C9E}"/>
    <hyperlink ref="M128" r:id="rId2759" tooltip="https://learn.microsoft.com/learn/paths/implement-network-security/?source=learn" display="Training" xr:uid="{E328DF81-1C20-4C3B-B6C6-CE545D552828}"/>
    <hyperlink ref="M132" r:id="rId2760" tooltip="https://learn.microsoft.com/learn/paths/implement-resource-mgmt-security/" display="Training" xr:uid="{B6498483-FC33-4FFB-909D-FBAEE54F4BBF}"/>
    <hyperlink ref="M134" r:id="rId2761" tooltip="https://learn.microsoft.com/learn/paths/implement-network-security/" display="Training" xr:uid="{945305A3-4658-4CBF-B79F-A8A8148CB9DF}"/>
    <hyperlink ref="M172" r:id="rId2762" tooltip="https://learn.microsoft.com/learn/paths/implement-resource-mgmt-security/" display="Training" xr:uid="{D9E029B4-6633-4BF5-91A2-392677D9CDDF}"/>
    <hyperlink ref="M173" r:id="rId2763" tooltip="https://learn.microsoft.com/azure/update-manager/overview?tabs=azure-vms" display="Training" xr:uid="{F17A062A-51C9-49B9-9F91-6DBB70B1171D}"/>
    <hyperlink ref="M174" r:id="rId2764" tooltip="https://learn.microsoft.com/azure/update-manager/overview?tabs=azure-vms" display="Training" xr:uid="{163CB47B-692B-4B73-9273-8A887A23149F}"/>
    <hyperlink ref="L206" r:id="rId2765" tooltip="https://learn.microsoft.com/azure/key-vault/general/best-practices" display="More info" xr:uid="{E6A20E60-336F-4A25-BE6D-D1866FB5782B}"/>
    <hyperlink ref="L231" r:id="rId2766" location="automated-builds" tooltip="https://learn.microsoft.com/azure/cloud-adoption-framework/ready/considerations/development-strategy-development-lifecycle#automated-builds" display="More info" xr:uid="{3CD56D7B-F786-47EF-9FBF-BB1DD24BF0F6}"/>
    <hyperlink ref="L10" r:id="rId2767" tooltip="https://learn.microsoft.com/azure/architecture/reference-architectures/containers/aks/secure-baseline-aks" display="More info" xr:uid="{C0765259-B17E-41FD-AA05-DBB75B026E48}"/>
    <hyperlink ref="L11" r:id="rId2768" tooltip="https://learn.microsoft.com/azure/aks/use-windows-hpc" display="More info" xr:uid="{8093E748-DEB1-4795-B8FD-1D0305A8A607}"/>
    <hyperlink ref="L12" r:id="rId2769" tooltip="https://learn.microsoft.com/azure/azure-functions/functions-kubernetes-keda" display="More info" xr:uid="{84D699C1-5454-4D3D-8854-2E01D80EE6C1}"/>
    <hyperlink ref="L13" r:id="rId2770" tooltip="https://dapr.io/" display="More info" xr:uid="{C47C3F3C-68B0-403C-A69F-A0ED076CAD55}"/>
    <hyperlink ref="L14" r:id="rId2771" tooltip="https://learn.microsoft.com/azure/developer/terraform/create-k8s-cluster-with-tf-and-aks" display="More info" xr:uid="{6FFA3D90-1C1D-4EF7-BE5B-3EA8C91B5AF9}"/>
    <hyperlink ref="L15" r:id="rId2772" tooltip="https://learn.microsoft.com/azure/cloud-adoption-framework/ready/enterprise-scale/business-continuity-and-disaster-recovery" display="More info" xr:uid="{F5EEB30C-3073-48C8-8752-6675969C64DE}"/>
    <hyperlink ref="L16" r:id="rId2773" tooltip="https://learn.microsoft.com/azure/aks/operator-best-practices-multi-region" display="More info" xr:uid="{6D5D964A-8EC8-4F28-B8CC-56F2816D91B0}"/>
    <hyperlink ref="L17" r:id="rId2774" tooltip="https://learn.microsoft.com/azure/aks/availability-zones" display="More info" xr:uid="{DB0DFE82-2526-4B2A-BE26-DEC3A22DDAFA}"/>
    <hyperlink ref="L18" r:id="rId2775" tooltip="https://learn.microsoft.com/azure/aks/uptime-sla" display="More info" xr:uid="{735DD351-E304-4051-B85D-A66BD8CEBC4A}"/>
    <hyperlink ref="L19" r:id="rId2776" tooltip="https://learn.microsoft.com/azure/aks/operator-best-practices-scheduler" display="More info" xr:uid="{BAA5A811-8D15-4B6A-AF0B-4000DCD209AD}"/>
    <hyperlink ref="L20" r:id="rId2777" tooltip="https://learn.microsoft.com/azure/container-registry/container-registry-geo-replication" display="More info" xr:uid="{93FA182F-BB4C-4B69-91BE-823D0622F9C0}"/>
    <hyperlink ref="L21" r:id="rId2778" location="azure-disk-availability-zone-support" tooltip="https://learn.microsoft.com/en-us/azure/aks/availability-zones#azure-disk-availability-zone-support" display="More info" xr:uid="{D52A865A-E5FE-43D5-A445-AF592E0B3B16}"/>
    <hyperlink ref="L22" r:id="rId2779" tooltip="https://learn.microsoft.com/azure/cloud-adoption-framework/ready/enterprise-scale/business-continuity-and-disaster-recovery" display="More info" xr:uid="{5998ADE4-96A0-4973-BF9E-B8FB872E7589}"/>
    <hyperlink ref="L23" r:id="rId2780" tooltip="https://learn.microsoft.com/azure/cloud-adoption-framework/scenarios/aks/eslz-cost-governance-with-kubecost" display="More info" xr:uid="{1FF01FDD-EF62-43CF-AE2B-F138D9B5DF52}"/>
    <hyperlink ref="L24" r:id="rId2781" tooltip="https://learn.microsoft.com/azure/aks/scale-down-mode" display="More info" xr:uid="{C0D6A499-BE27-4538-BD7E-ED95BD07B0D5}"/>
    <hyperlink ref="L25" r:id="rId2782" tooltip="https://learn.microsoft.com/azure/aks/gpu-multi-instance" display="More info" xr:uid="{9AE6C0CF-54AD-47F7-8AE6-808E2A04F5E8}"/>
    <hyperlink ref="L26" r:id="rId2783" tooltip="https://learn.microsoft.com/azure/aks/start-stop-nodepools" display="More info" xr:uid="{C11912EA-2326-40DE-B834-41D26C494B26}"/>
    <hyperlink ref="L27" r:id="rId2784" tooltip="https://learn.microsoft.com/azure/governance/policy/concepts/policy-for-kubernetes" display="More info" xr:uid="{FEE2F0F7-01A8-4E8A-B92B-6E0037634540}"/>
    <hyperlink ref="L28" r:id="rId2785" tooltip="https://learn.microsoft.com/azure/aks/use-system-pools" display="More info" xr:uid="{1733062A-DA99-4CDE-82AF-4A3849D540FE}"/>
    <hyperlink ref="L29" r:id="rId2786" tooltip="https://learn.microsoft.com/azure/aks/use-system-pools" display="More info" xr:uid="{2BE6FF39-A3D0-4716-870C-B80D21A5F247}"/>
    <hyperlink ref="L30" r:id="rId2787" tooltip="https://learn.microsoft.com/azure/container-registry/" display="More info" xr:uid="{617436E2-A66E-4D80-9EF2-F5B7D8D937EA}"/>
    <hyperlink ref="L31" r:id="rId2788" tooltip="https://learn.microsoft.com/azure/security-center/container-security" display="More info" xr:uid="{182DF22D-4F2F-4DE5-B044-2AE4B73369BB}"/>
    <hyperlink ref="L32" r:id="rId2789" tooltip="https://learn.microsoft.com/azure/security-center/container-security" display="More info" xr:uid="{36BE3525-320F-43E1-A939-50906D75408A}"/>
    <hyperlink ref="L33" r:id="rId2790" location="add-a-fips-enabled-node-pool" tooltip="https://learn.microsoft.com/azure/aks/use-multiple-node-pools#add-a-fips-enabled-node-pool" display="More info" xr:uid="{97BCE9F7-2D0C-43EC-8EBC-E8A0066B285C}"/>
    <hyperlink ref="L34" r:id="rId2791" tooltip="https://learn.microsoft.com/azure/aks/operator-best-practices-cluster-isolation" display="More info" xr:uid="{BC574528-F24F-44F0-B183-733BD2F441CF}"/>
    <hyperlink ref="L35" r:id="rId2792" tooltip="https://github.com/Azure/secrets-store-csi-driver-provider-azure" display="More info" xr:uid="{8E6E89CD-5597-4996-9810-E2B4C997D31D}"/>
    <hyperlink ref="L36" r:id="rId2793" tooltip="https://learn.microsoft.com/azure/aks/update-credentials" display="More info" xr:uid="{F61EC8D9-B788-4510-A46B-17B74A7C465F}"/>
    <hyperlink ref="L37" r:id="rId2794" tooltip="https://learn.microsoft.com/azure/aks/use-kms-etcd-encryption" display="More info" xr:uid="{BF53E087-6A63-4C32-B2AD-DCB023E6D8E9}"/>
    <hyperlink ref="L38" r:id="rId2795" tooltip="https://learn.microsoft.com/azure/confidential-computing/confidential-nodes-aks-overview" display="More info" xr:uid="{E4D89DA5-DE75-4293-8909-CB16414CCB49}"/>
    <hyperlink ref="L39" r:id="rId2796" tooltip="https://learn.microsoft.com/azure/defender-for-cloud/defender-for-containers-enable" display="More info" xr:uid="{78881DC9-2008-42B1-9CEC-4AEFD52F466E}"/>
    <hyperlink ref="L40" r:id="rId2797" tooltip="https://learn.microsoft.com/azure/aks/use-managed-identity" display="More info" xr:uid="{FD107060-B502-46F3-AF6D-14FF136AA648}"/>
    <hyperlink ref="L41" r:id="rId2798" tooltip="https://learn.microsoft.com/azure/aks/managed-aad" display="More info" xr:uid="{BBB8F138-5B84-48B3-AE45-F4849951C4CE}"/>
    <hyperlink ref="L42" r:id="rId2799" tooltip="https://learn.microsoft.com/azure/aks/control-kubeconfig-access" display="More info" xr:uid="{A55C3852-34EA-41B3-8DE5-5266767B89B1}"/>
    <hyperlink ref="L43" r:id="rId2800" tooltip="https://learn.microsoft.com/azure/aks/manage-azure-rbac" display="More info" xr:uid="{BF0C2D1E-032F-4DDA-A3E0-739E42C50E1A}"/>
    <hyperlink ref="L44" r:id="rId2801" tooltip="https://learn.microsoft.com/azure/aks/operator-best-practices-identity" display="More info" xr:uid="{8B7F07DA-6744-47C8-AFEC-4ED2101603D3}"/>
    <hyperlink ref="L45" r:id="rId2802" tooltip="https://learn.microsoft.com/azure/aks/workload-identity-migration-sidecar" display="More info" xr:uid="{9AC0FF94-87B2-42D7-B7C7-1899CE6EE38D}"/>
    <hyperlink ref="L46" r:id="rId2803" location="non-interactive-sign-in-with-kubelogin" tooltip="https://learn.microsoft.com/azure/aks/managed-aad#non-interactive-sign-in-with-kubelogin" display="More info" xr:uid="{1B715536-193E-4552-A801-4008C97B36D4}"/>
    <hyperlink ref="L47" r:id="rId2804" location="disable-local-accounts" tooltip="https://learn.microsoft.com/azure/aks/managed-aad#disable-local-accounts" display="More info" xr:uid="{0D058698-19FD-4E00-8AB1-850009CB3531}"/>
    <hyperlink ref="L48" r:id="rId2805" location="configure-just-in-time-cluster-access-with-azure-ad-and-aks" tooltip="https://learn.microsoft.com/azure/aks/managed-aad#configure-just-in-time-cluster-access-with-azure-ad-and-aks" display="More info" xr:uid="{47A80E41-16DC-4B67-997E-14A5BBE6D8C2}"/>
    <hyperlink ref="L49" r:id="rId2806" location="use-conditional-access-with-azure-ad-and-aks" tooltip="https://learn.microsoft.com/azure/aks/managed-aad#use-conditional-access-with-azure-ad-and-aks" display="More info" xr:uid="{89045A1F-7E1C-490F-8790-CEE6EB4B2DE9}"/>
    <hyperlink ref="L50" r:id="rId2807" tooltip="https://learn.microsoft.com/azure/aks/use-group-managed-service-accounts" display="More info" xr:uid="{93DAE630-92D5-4CA4-9518-4EC02A452929}"/>
    <hyperlink ref="L51" r:id="rId2808" location="use-a-pre-created-kubelet-managed-identity" tooltip="https://learn.microsoft.com/azure/aks/use-managed-identity#use-a-pre-created-kubelet-managed-identity" display="More info" xr:uid="{652A51E8-4228-402B-AA6B-EA64B3631391}"/>
    <hyperlink ref="L52" r:id="rId2809" tooltip="https://azure.github.io/application-gateway-kubernetes-ingress/setup/install-existing/" display="More info" xr:uid="{945AEE84-5990-4C99-AA98-FC126B5D6939}"/>
    <hyperlink ref="L53" r:id="rId2810" tooltip="https://learn.microsoft.com/azure/aks/http-application-routing" display="More info" xr:uid="{3E74A257-B37F-4753-8F5B-D0C367B15C3C}"/>
    <hyperlink ref="L54" r:id="rId2811" tooltip="https://learn.microsoft.com/azure/virtual-network/accelerated-networking-overview" display="More info" xr:uid="{62077B28-7E20-4527-89B0-DFAC3D44E31C}"/>
    <hyperlink ref="L55" r:id="rId2812" tooltip="https://learn.microsoft.com/azure/aks/load-balancer-standard" display="More info" xr:uid="{91BA5814-4A4F-46F7-AA24-832C7205ED93}"/>
    <hyperlink ref="L56" r:id="rId2813" location="add-a-node-pool-with-a-unique-subnet" tooltip="https://learn.microsoft.com/azure/aks/use-multiple-node-pools#add-a-node-pool-with-a-unique-subnet" display="More info" xr:uid="{0C88AE25-93AC-4964-9E4E-4F0AB4C74028}"/>
    <hyperlink ref="L57" r:id="rId2814" tooltip="https://learn.microsoft.com/azure/private-link/private-link-overview" display="More info" xr:uid="{C4636808-FBB4-43E6-8A6E-4D5078690595}"/>
    <hyperlink ref="L58" r:id="rId2815" tooltip="https://learn.microsoft.com/azure/expressroute/designing-for-disaster-recovery-with-expressroute-privatepeering" display="More info" xr:uid="{1C4254BF-C9F8-4E94-825D-4EFE12A71248}"/>
    <hyperlink ref="L59" r:id="rId2816" tooltip="https://learn.microsoft.com/azure/aks/operator-best-practices-network" display="More info" xr:uid="{FD890E17-C7DB-4C53-A670-7C3F2A28A082}"/>
    <hyperlink ref="L60" r:id="rId2817" tooltip="https://learn.microsoft.com/azure/aks/configure-azure-cni" display="More info" xr:uid="{1CABDD6C-6A68-42BE-9B49-93293D19E89C}"/>
    <hyperlink ref="L61" r:id="rId2818" tooltip="https://learn.microsoft.com/azure/aks/configure-azure-cni" display="More info" xr:uid="{420094FD-7F41-4E2A-A5F6-E0D991D6A2AD}"/>
    <hyperlink ref="L62" r:id="rId2819" tooltip="https://learn.microsoft.com/azure/aks/internal-lb" display="More info" xr:uid="{3ECB8872-B1A9-4416-8259-2F72EB5485DB}"/>
    <hyperlink ref="L63" r:id="rId2820" tooltip="https://learn.microsoft.com/azure/aks/configure-azure-cni" display="More info" xr:uid="{48875DD7-D857-4CFB-8D69-2B7EE79B1083}"/>
    <hyperlink ref="L64" r:id="rId2821" tooltip="https://learn.microsoft.com/azure/aks/use-byo-cni" display="More info" xr:uid="{E28B3F8B-D606-429B-B370-C88ADCE81E70}"/>
    <hyperlink ref="L65" r:id="rId2822" location="assign-a-public-ip-per-node-for-your-node-pools" tooltip="https://learn.microsoft.com/azure/aks/use-multiple-node-pools#assign-a-public-ip-per-node-for-your-node-pools" display="More info" xr:uid="{7C62F847-B596-4F58-B0F8-A125A0860AEF}"/>
    <hyperlink ref="L66" r:id="rId2823" tooltip="https://learn.microsoft.com/azure/aks/concepts-network" display="More info" xr:uid="{DB79F165-CEDB-4867-A9D4-AC6842B34404}"/>
    <hyperlink ref="L67" r:id="rId2824" tooltip="https://learn.microsoft.com/azure/aks/nat-gateway" display="More info" xr:uid="{9BAA6BCA-7135-42CC-9E29-AECA73D60FDF}"/>
    <hyperlink ref="L68" r:id="rId2825" location="dynamic-allocation-of-ips-and-enhanced-subnet-support" tooltip="https://learn.microsoft.com/azure/aks/configure-azure-cni#dynamic-allocation-of-ips-and-enhanced-subnet-support" display="More info" xr:uid="{66B91865-4BB7-454E-A915-E68D8DAC23B7}"/>
    <hyperlink ref="L69" r:id="rId2826" tooltip="https://learn.microsoft.com/azure/aks/limit-egress-traffic" display="More info" xr:uid="{621FA01A-3BB0-47D0-8979-929F5E2B32B6}"/>
    <hyperlink ref="L70" r:id="rId2827" tooltip="https://learn.microsoft.com/azure/aks/api-server-authorized-ip-ranges" display="More info" xr:uid="{B6D26554-2BB4-405B-BCAA-FB1FEB2A1ADB}"/>
    <hyperlink ref="L71" r:id="rId2828" tooltip="https://learn.microsoft.com/azure/aks/private-clusters" display="More info" xr:uid="{257A4216-6FD4-4E7D-819A-78A6D595635A}"/>
    <hyperlink ref="L72" r:id="rId2829" tooltip="https://learn.microsoft.com/azure/aks/use-network-policies" display="More info" xr:uid="{BC1E837A-D37B-4643-9B7C-BD5CD07EBEC1}"/>
    <hyperlink ref="L73" r:id="rId2830" tooltip="https://learn.microsoft.com/azure/aks/use-network-policies" display="More info" xr:uid="{F2625F66-98FA-49D0-9E15-326E399D4584}"/>
    <hyperlink ref="L74" r:id="rId2831" tooltip="https://learn.microsoft.com/azure/aks/operator-best-practices-network" display="More info" xr:uid="{C6534C22-41EF-429A-BBDB-362D6CF57D12}"/>
    <hyperlink ref="L75" r:id="rId2832" tooltip="https://learn.microsoft.com/azure/aks/operator-best-practices-network" display="More info" xr:uid="{03CA5F33-6DE5-41EC-834B-575A468EE55B}"/>
    <hyperlink ref="L76" r:id="rId2833" tooltip="https://learn.microsoft.com/azure/virtual-network/ddos-protection-overview" display="More info" xr:uid="{3348CEE0-A7EE-4034-BF5B-C8C6640010AC}"/>
    <hyperlink ref="L77" r:id="rId2834" tooltip="https://learn.microsoft.com/azure/aks/http-proxy" display="More info" xr:uid="{E56B195D-226E-4269-BFF2-EB9BAE4AFDD0}"/>
    <hyperlink ref="L78" r:id="rId2835" tooltip="https://learn.microsoft.com/azure/aks/servicemesh-about" display="More info" xr:uid="{30B4BAE1-F9B8-4200-A677-B57F081C29EC}"/>
    <hyperlink ref="L79" r:id="rId2836" tooltip="https://learn.microsoft.com/azure/azure-monitor/insights/container-insights-metric-alerts" display="More info" xr:uid="{0534A638-9D9E-44CF-9C90-5CF2A1D13D20}"/>
    <hyperlink ref="L80" r:id="rId2837" tooltip="https://learn.microsoft.com/azure/advisor/advisor-get-started" display="More info" xr:uid="{EDBBD872-41DC-4D06-9CAF-867986F0695F}"/>
    <hyperlink ref="L81" r:id="rId2838" tooltip="https://learn.microsoft.com/azure/aks/certificate-rotation" display="More info" xr:uid="{6138C4EE-3D8B-41EA-AB79-51A80AD36444}"/>
    <hyperlink ref="L82" r:id="rId2839" tooltip="https://learn.microsoft.com/azure/aks/supported-kubernetes-versions" display="More info" xr:uid="{5E431955-8563-41C4-B07C-CF8582F5E45F}"/>
    <hyperlink ref="L83" r:id="rId2840" tooltip="https://learn.microsoft.com/azure/aks/node-updates-kured" display="More info" xr:uid="{9B5E7394-C699-4C45-9F45-B6D4AF8546FC}"/>
    <hyperlink ref="L84" r:id="rId2841" tooltip="https://learn.microsoft.com/azure/aks/node-image-upgrade" display="More info" xr:uid="{88AB62AF-EF41-4AA9-AEED-6EC245ACA707}"/>
    <hyperlink ref="L85" r:id="rId2842" tooltip="https://learn.microsoft.com/azure/architecture/example-scenario/bedrock/bedrock-automated-deployments" display="More info" xr:uid="{10C7C0ED-DA6B-4D50-BAFC-C0B1B9956683}"/>
    <hyperlink ref="L86" r:id="rId2843" tooltip="https://learn.microsoft.com/azure/aks/command-invoke" display="More info" xr:uid="{AC811A64-B442-4880-93D8-E6DD03C068D7}"/>
    <hyperlink ref="L87" r:id="rId2844" location="node-autodrain" tooltip="https://learn.microsoft.com/azure/aks/node-auto-repair#node-autodrain" display="More info" xr:uid="{ADA87E81-6920-4CD1-8B3F-5422486018A7}"/>
    <hyperlink ref="L88" r:id="rId2845" tooltip="https://learn.microsoft.com/azure/aks/faq" display="More info" xr:uid="{87D4D135-D1F9-40AC-8ECD-899C2E1D0313}"/>
    <hyperlink ref="L89" r:id="rId2846" tooltip="https://learn.microsoft.com/azure/aks/cluster-configuration" display="More info" xr:uid="{C8A0890E-52AD-42F3-96BF-86718C073981}"/>
    <hyperlink ref="L90" r:id="rId2847" tooltip="https://kubernetes.io/docs/setup/release/notes/" display="More info" xr:uid="{755CD9A1-EE86-4AF7-B7DE-D050F2D83E16}"/>
    <hyperlink ref="L91" r:id="rId2848" tooltip="https://learn.microsoft.com/azure-stack/aks-hci/adapt-apps-mixed-os-clusters" display="More info" xr:uid="{79B44869-4A85-4587-A36E-F81EED140768}"/>
    <hyperlink ref="L92" r:id="rId2849" tooltip="https://learn.microsoft.com/virtualization/windowscontainers/deploy-containers/version-compatibility?tabs=windows-server-20H2%2Cwindows-10-20H2" display="More info" xr:uid="{092FEB2F-1702-4FF6-B1C6-3A2D3439D1CE}"/>
    <hyperlink ref="L93" r:id="rId2850" tooltip="https://learn.microsoft.com/azure/aks/monitor-aks" display="More info" xr:uid="{2E6CFD74-5F4F-4E11-93E5-0EF1B4028F77}"/>
    <hyperlink ref="L94" r:id="rId2851" tooltip="https://learn.microsoft.com/azure/aks/node-pool-snapshot" display="More info" xr:uid="{FDF2A022-AC2E-48ED-A4FF-BC91C68CC831}"/>
    <hyperlink ref="L95" r:id="rId2852" tooltip="https://learn.microsoft.com/azure/aks/spot-node-pool" display="More info" xr:uid="{87442316-D3C0-414E-866D-D49FB1C26098}"/>
    <hyperlink ref="L96" r:id="rId2853" tooltip="https://learn.microsoft.com/azure/aks/concepts-scale" display="More info" xr:uid="{6318FE93-5F51-4140-82F9-8419C630081E}"/>
    <hyperlink ref="L97" r:id="rId2854" tooltip="https://learn.microsoft.com/azure/azure-monitor/insights/container-insights-overview" display="More info" xr:uid="{44BA1F10-FA9F-4801-A380-D94FE590B7DF}"/>
    <hyperlink ref="L98" r:id="rId2855" tooltip="https://learn.microsoft.com/azure/azure-monitor/insights/container-insights-overview" display="More info" xr:uid="{14460235-AA96-4AE6-940D-EFA47DAAD220}"/>
    <hyperlink ref="L99" r:id="rId2856" tooltip="https://learn.microsoft.com/azure/azure-monitor/containers/container-insights-analyze" display="More info" xr:uid="{7C6DF7E6-0F0A-404F-B66D-C4DCB4230ACF}"/>
    <hyperlink ref="L100" r:id="rId2857" tooltip="https://learn.microsoft.com/azure/aks/configure-azure-cni" display="More info" xr:uid="{52950329-5F1C-450C-94D4-405F7DFCE8DA}"/>
    <hyperlink ref="L101" r:id="rId2858" tooltip="https://learn.microsoft.com/azure/virtual-machines/premium-storage-performance" display="More info" xr:uid="{32CD5225-4A36-4952-BDC4-5BBCD33AD8DC}"/>
    <hyperlink ref="L102" r:id="rId2859" tooltip="https://learn.microsoft.com/azure/aks/load-balancer-standard" display="More info" xr:uid="{092934D2-534D-4A40-9C8D-507F7F967E02}"/>
    <hyperlink ref="L103" r:id="rId2860" tooltip="https://learn.microsoft.com/azure/aks/aks-resource-health" display="More info" xr:uid="{2B7A57D5-6C46-4FAC-BD7F-CA8A18A1030C}"/>
    <hyperlink ref="L104" r:id="rId2861" tooltip="https://learn.microsoft.com/azure/aks/operator-best-practices-scheduler" display="More info" xr:uid="{F986F641-8C87-448E-8C88-E77312FA0B23}"/>
    <hyperlink ref="L105" r:id="rId2862" tooltip="https://learn.microsoft.com/azure/aks/operator-best-practices-scheduler" display="More info" xr:uid="{9AB8B2A3-1BE8-4E07-A841-0808BE48DABC}"/>
    <hyperlink ref="L106" r:id="rId2863" tooltip="https://learn.microsoft.com/azure/azure-resource-manager/management/azure-subscription-service-limits" display="More info" xr:uid="{6A10731B-B0B0-4D3C-B2DE-3CA6D8E045ED}"/>
    <hyperlink ref="L107" r:id="rId2864" tooltip="https://kubernetes.io/docs/tasks/configure-pod-container/configure-liveness-readiness-startup-probes/" display="More info" xr:uid="{0A7C69F4-9DBA-45BB-990A-FCD8060F200A}"/>
    <hyperlink ref="L108" r:id="rId2865" tooltip="https://learn.microsoft.com/azure/aks/concepts-scale" display="More info" xr:uid="{A504224D-4437-4D4B-9F6B-F2A754668BEA}"/>
    <hyperlink ref="L109" r:id="rId2866" tooltip="https://learn.microsoft.com/azure/aks/custom-node-configuration" display="More info" xr:uid="{EA8A9D7B-71E9-4D34-B808-197988375633}"/>
    <hyperlink ref="L110" r:id="rId2867" tooltip="https://learn.microsoft.com/azure/aks/concepts-scale" display="More info" xr:uid="{857C6700-EB67-4FC7-8BF6-D3C093BA8E7E}"/>
    <hyperlink ref="L111" r:id="rId2868" tooltip="https://blog.cloudtrooper.net/2020/10/23/which-vm-size-should-i-choose-as-aks-node/" display="More info" xr:uid="{8536B1E1-6357-4B01-9196-84E440E80363}"/>
    <hyperlink ref="L112" r:id="rId2869" location="service-quotas-and-limits" tooltip="https://learn.microsoft.com/azure/aks/quotas-skus-regions#service-quotas-and-limits" display="More info" xr:uid="{8BB95F62-B908-4BD6-80C8-F9281E7659E8}"/>
    <hyperlink ref="L113" r:id="rId2870" tooltip="https://learn.microsoft.com/azure/event-grid/event-schema-aks" display="More info" xr:uid="{6C9D5964-C1AB-4744-9629-D68B51837A0A}"/>
    <hyperlink ref="L114" r:id="rId2871" tooltip="https://learn.microsoft.com/azure/aks/manage-abort-operations" display="More info" xr:uid="{B762A96D-7CB1-48CA-99D4-3C28056C73C5}"/>
    <hyperlink ref="L115" r:id="rId2872" tooltip="https://learn.microsoft.com/azure/aks/use-azure-dedicated-hosts" display="More info" xr:uid="{AD1AD6D8-6A35-4E0B-A50E-C303B2CFF640}"/>
    <hyperlink ref="L116" r:id="rId2873" tooltip="https://learn.microsoft.com/azure/aks/cluster-configuration" display="More info" xr:uid="{194C1CA8-C6F0-4329-9BF6-DA82580DBE19}"/>
    <hyperlink ref="L117" r:id="rId2874" tooltip="https://learn.microsoft.com/azure/virtual-machines/disks-types" display="More info" xr:uid="{53E8F94D-AD5D-4CE3-9FDF-DD284D547364}"/>
    <hyperlink ref="L118" r:id="rId2875" tooltip="https://learn.microsoft.com/azure/aks/use-ultra-disks" display="More info" xr:uid="{D342550D-A912-4EA0-AE75-8AF18F08E03A}"/>
    <hyperlink ref="L119" r:id="rId2876" tooltip="https://learn.microsoft.com/azure/aks/operator-best-practices-multi-region" display="More info" xr:uid="{E1BC447F-A7EF-4066-BEF4-B71B1431E3AB}"/>
    <hyperlink ref="L120" r:id="rId2877" tooltip="https://learn.microsoft.com/azure/aks/operator-best-practices-storage" display="More info" xr:uid="{CCE0CA63-5567-4FC3-B63F-B2ED20F8083F}"/>
    <hyperlink ref="L121" r:id="rId2878" location="azure-disk-availability-zone-support" tooltip="https://learn.microsoft.com/azure/aks/availability-zones#azure-disk-availability-zone-support" display="More info" xr:uid="{0559BDAB-8F75-46F3-B528-E1CC6F426816}"/>
  </hyperlinks>
  <pageMargins left="0.7" right="0.7" top="0.75" bottom="0.75" header="0.3" footer="0.3"/>
  <pageSetup paperSize="9" orientation="portrait" horizontalDpi="4294967293" r:id="rId2879"/>
  <drawing r:id="rId2880"/>
  <legacyDrawing r:id="rId288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82" name="Button 1">
              <controlPr defaultSize="0" print="0" autoFill="0" autoPict="0" macro="[0]!Sheet1.export_json">
                <anchor>
                  <from>
                    <xdr:col>9</xdr:col>
                    <xdr:colOff>4448175</xdr:colOff>
                    <xdr:row>1</xdr:row>
                    <xdr:rowOff>619125</xdr:rowOff>
                  </from>
                  <to>
                    <xdr:col>11</xdr:col>
                    <xdr:colOff>600075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83" name="Button 3">
              <controlPr defaultSize="0" print="0" autoFill="0" autoPict="0" macro="[0]!Sheet1.import_checklist">
                <anchor>
                  <from>
                    <xdr:col>9</xdr:col>
                    <xdr:colOff>4448175</xdr:colOff>
                    <xdr:row>1</xdr:row>
                    <xdr:rowOff>314325</xdr:rowOff>
                  </from>
                  <to>
                    <xdr:col>11</xdr:col>
                    <xdr:colOff>600075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884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885" name="Button 19">
              <controlPr defaultSize="0" print="0" autoFill="0" autoPict="0" macro="[0]!Sheet1.import_graph_results">
                <anchor>
                  <from>
                    <xdr:col>9</xdr:col>
                    <xdr:colOff>4448175</xdr:colOff>
                    <xdr:row>3</xdr:row>
                    <xdr:rowOff>0</xdr:rowOff>
                  </from>
                  <to>
                    <xdr:col>11</xdr:col>
                    <xdr:colOff>600075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886" name="Group Box 5">
              <controlPr defaultSize="0" autoFill="0" autoPict="0">
                <anchor>
                  <from>
                    <xdr:col>9</xdr:col>
                    <xdr:colOff>4257675</xdr:colOff>
                    <xdr:row>1</xdr:row>
                    <xdr:rowOff>123825</xdr:rowOff>
                  </from>
                  <to>
                    <xdr:col>14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887" name="Button 31">
              <controlPr defaultSize="0" print="0" autoFill="0" autoPict="0" macro="[0]!Sheet1.ProcessGraphQueries">
                <anchor>
                  <from>
                    <xdr:col>11</xdr:col>
                    <xdr:colOff>657225</xdr:colOff>
                    <xdr:row>1</xdr:row>
                    <xdr:rowOff>323850</xdr:rowOff>
                  </from>
                  <to>
                    <xdr:col>13</xdr:col>
                    <xdr:colOff>676275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888" name="Button 32">
              <controlPr defaultSize="0" print="0" autoFill="0" autoPict="0" macro="[0]!Sheet1.ShowAllColumns">
                <anchor>
                  <from>
                    <xdr:col>11</xdr:col>
                    <xdr:colOff>657225</xdr:colOff>
                    <xdr:row>1</xdr:row>
                    <xdr:rowOff>609600</xdr:rowOff>
                  </from>
                  <to>
                    <xdr:col>13</xdr:col>
                    <xdr:colOff>676275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  <x14:dataValidation type="list" allowBlank="1" showInputMessage="1" showErrorMessage="1" xr:uid="{D1412479-1CA8-4F35-8E2F-40DF6F1A942B}">
          <x14:formula1>
            <xm:f>Values!$F$2:$F$8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Values!$F$2:$F$18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Q18"/>
  <sheetViews>
    <sheetView workbookViewId="0">
      <selection activeCell="I18" sqref="I18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7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76</v>
      </c>
      <c r="M1" s="12" t="s">
        <v>88</v>
      </c>
      <c r="N1" s="12" t="s">
        <v>110</v>
      </c>
      <c r="O1" s="12" t="s">
        <v>113</v>
      </c>
      <c r="P1" s="12" t="s">
        <v>112</v>
      </c>
      <c r="Q1" s="12" t="s">
        <v>118</v>
      </c>
    </row>
    <row r="2" spans="1:17">
      <c r="A2" t="s">
        <v>4</v>
      </c>
      <c r="B2" s="10" t="s">
        <v>5</v>
      </c>
      <c r="D2" t="s">
        <v>20</v>
      </c>
      <c r="E2" t="s">
        <v>36</v>
      </c>
      <c r="F2" t="s">
        <v>81</v>
      </c>
      <c r="G2" t="s">
        <v>31</v>
      </c>
      <c r="H2" t="s">
        <v>39</v>
      </c>
      <c r="J2" t="s">
        <v>83</v>
      </c>
      <c r="K2" t="s">
        <v>50</v>
      </c>
      <c r="L2" t="s">
        <v>77</v>
      </c>
      <c r="M2" t="s">
        <v>89</v>
      </c>
      <c r="N2" t="s">
        <v>108</v>
      </c>
      <c r="O2" t="str">
        <f>IF(Checklist!F4=Values!M3,"no","yes")</f>
        <v>yes</v>
      </c>
      <c r="P2" t="s">
        <v>111</v>
      </c>
      <c r="Q2" t="e" cm="1" vm="1">
        <f t="array" ref="Q2">_xlfn._xlws.SORT(_xlfn.UNIQUE(_xlfn._xlws.FILTER(Checklist!$E$10:$E$2513, Checklist!$E$10:$E$2513&lt;&gt;"")))</f>
        <v>#VALUE!</v>
      </c>
    </row>
    <row r="3" spans="1:17">
      <c r="A3" t="s">
        <v>7</v>
      </c>
      <c r="B3" s="7" t="s">
        <v>8</v>
      </c>
      <c r="F3" t="s">
        <v>162</v>
      </c>
      <c r="G3" t="s">
        <v>32</v>
      </c>
      <c r="H3" t="s">
        <v>40</v>
      </c>
      <c r="J3" t="s">
        <v>163</v>
      </c>
      <c r="K3" t="s">
        <v>51</v>
      </c>
      <c r="L3" t="s">
        <v>30</v>
      </c>
      <c r="M3" t="s">
        <v>90</v>
      </c>
      <c r="N3" t="s">
        <v>114</v>
      </c>
      <c r="O3" t="s">
        <v>109</v>
      </c>
      <c r="P3" t="s">
        <v>111</v>
      </c>
    </row>
    <row r="4" spans="1:17">
      <c r="A4" t="s">
        <v>6</v>
      </c>
      <c r="B4" s="8" t="s">
        <v>9</v>
      </c>
      <c r="F4" t="s">
        <v>28</v>
      </c>
      <c r="G4" t="s">
        <v>33</v>
      </c>
      <c r="H4" t="s">
        <v>42</v>
      </c>
      <c r="J4" t="s">
        <v>45</v>
      </c>
      <c r="K4" t="s">
        <v>52</v>
      </c>
      <c r="L4" t="s">
        <v>56</v>
      </c>
    </row>
    <row r="5" spans="1:17">
      <c r="B5" s="8" t="s">
        <v>64</v>
      </c>
      <c r="F5" t="s">
        <v>29</v>
      </c>
      <c r="G5" t="s">
        <v>34</v>
      </c>
      <c r="H5" t="s">
        <v>117</v>
      </c>
      <c r="J5" t="s">
        <v>46</v>
      </c>
      <c r="K5" t="s">
        <v>53</v>
      </c>
      <c r="L5" t="s">
        <v>75</v>
      </c>
    </row>
    <row r="6" spans="1:17">
      <c r="B6" s="9" t="s">
        <v>10</v>
      </c>
      <c r="F6" t="s">
        <v>97</v>
      </c>
      <c r="G6" t="s">
        <v>35</v>
      </c>
      <c r="H6" t="s">
        <v>41</v>
      </c>
      <c r="J6" t="s">
        <v>47</v>
      </c>
      <c r="K6" t="s">
        <v>54</v>
      </c>
      <c r="L6" t="s">
        <v>78</v>
      </c>
    </row>
    <row r="7" spans="1:17">
      <c r="F7" t="s">
        <v>96</v>
      </c>
      <c r="G7" t="s">
        <v>103</v>
      </c>
      <c r="J7" t="s">
        <v>95</v>
      </c>
      <c r="K7" t="s">
        <v>102</v>
      </c>
    </row>
    <row r="8" spans="1:17">
      <c r="F8" t="s">
        <v>30</v>
      </c>
      <c r="J8" t="s">
        <v>48</v>
      </c>
    </row>
    <row r="9" spans="1:17">
      <c r="F9" t="s">
        <v>43</v>
      </c>
      <c r="J9" t="s">
        <v>55</v>
      </c>
    </row>
    <row r="10" spans="1:17">
      <c r="F10" t="s">
        <v>98</v>
      </c>
      <c r="J10" t="s">
        <v>99</v>
      </c>
    </row>
    <row r="11" spans="1:17">
      <c r="F11" t="s">
        <v>70</v>
      </c>
      <c r="J11" t="s">
        <v>71</v>
      </c>
    </row>
    <row r="12" spans="1:17">
      <c r="F12" t="s">
        <v>73</v>
      </c>
      <c r="J12" t="s">
        <v>72</v>
      </c>
    </row>
    <row r="13" spans="1:17">
      <c r="F13" t="s">
        <v>93</v>
      </c>
      <c r="J13" t="s">
        <v>94</v>
      </c>
    </row>
    <row r="14" spans="1:17">
      <c r="F14" t="s">
        <v>91</v>
      </c>
      <c r="J14" t="s">
        <v>92</v>
      </c>
    </row>
    <row r="15" spans="1:17">
      <c r="F15" t="s">
        <v>100</v>
      </c>
      <c r="J15" t="s">
        <v>101</v>
      </c>
    </row>
    <row r="16" spans="1:17">
      <c r="F16" t="s">
        <v>104</v>
      </c>
      <c r="J16" t="s">
        <v>105</v>
      </c>
    </row>
    <row r="17" spans="6:10">
      <c r="F17" t="s">
        <v>79</v>
      </c>
      <c r="J17" t="s">
        <v>80</v>
      </c>
    </row>
    <row r="18" spans="6:10">
      <c r="F18" t="s">
        <v>106</v>
      </c>
      <c r="J18" t="s">
        <v>107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5"/>
  <cols>
    <col min="1" max="1" width="8.28515625" customWidth="1"/>
    <col min="3" max="3" width="33.42578125" customWidth="1"/>
  </cols>
  <sheetData>
    <row r="2" spans="1:9">
      <c r="A2" t="s">
        <v>124</v>
      </c>
      <c r="C2" s="47"/>
    </row>
    <row r="3" spans="1:9">
      <c r="A3" t="s">
        <v>157</v>
      </c>
    </row>
    <row r="4" spans="1:9">
      <c r="A4" t="s">
        <v>158</v>
      </c>
    </row>
    <row r="5" spans="1:9">
      <c r="A5" t="s">
        <v>159</v>
      </c>
      <c r="C5">
        <v>100</v>
      </c>
    </row>
    <row r="7" spans="1:9">
      <c r="A7" s="12" t="s">
        <v>125</v>
      </c>
      <c r="B7" s="12" t="s">
        <v>126</v>
      </c>
      <c r="C7" s="12" t="s">
        <v>127</v>
      </c>
      <c r="D7" s="12" t="s">
        <v>128</v>
      </c>
      <c r="E7" s="12" t="s">
        <v>129</v>
      </c>
      <c r="F7" s="12" t="s">
        <v>145</v>
      </c>
      <c r="G7" s="12" t="s">
        <v>146</v>
      </c>
      <c r="H7" s="12" t="s">
        <v>147</v>
      </c>
      <c r="I7" s="12" t="s">
        <v>130</v>
      </c>
    </row>
    <row r="54" spans="8:8">
      <c r="H54" s="48"/>
    </row>
    <row r="55" spans="8:8">
      <c r="H55" s="48"/>
    </row>
    <row r="56" spans="8:8">
      <c r="H56" s="48"/>
    </row>
    <row r="57" spans="8:8">
      <c r="H57" s="48"/>
    </row>
    <row r="429" spans="8:8">
      <c r="H429" s="48"/>
    </row>
    <row r="1240" spans="1:9">
      <c r="A1240" t="s">
        <v>122</v>
      </c>
      <c r="B1240" t="s">
        <v>123</v>
      </c>
    </row>
    <row r="1241" spans="1:9">
      <c r="A1241" t="s">
        <v>122</v>
      </c>
      <c r="B1241" t="s">
        <v>123</v>
      </c>
      <c r="C1241" t="s">
        <v>133</v>
      </c>
      <c r="D1241" t="s">
        <v>131</v>
      </c>
      <c r="E1241" t="s">
        <v>134</v>
      </c>
      <c r="F1241" t="s">
        <v>150</v>
      </c>
      <c r="G1241" t="s">
        <v>149</v>
      </c>
      <c r="H1241" t="s">
        <v>132</v>
      </c>
      <c r="I1241" t="s">
        <v>148</v>
      </c>
    </row>
    <row r="1242" spans="1:9">
      <c r="A1242" t="s">
        <v>122</v>
      </c>
      <c r="B1242" t="s">
        <v>123</v>
      </c>
      <c r="C1242" t="s">
        <v>137</v>
      </c>
      <c r="D1242" t="s">
        <v>135</v>
      </c>
      <c r="E1242" t="s">
        <v>136</v>
      </c>
      <c r="F1242" t="s">
        <v>150</v>
      </c>
      <c r="G1242" t="s">
        <v>149</v>
      </c>
      <c r="H1242" t="s">
        <v>151</v>
      </c>
    </row>
    <row r="1243" spans="1:9">
      <c r="A1243" t="s">
        <v>122</v>
      </c>
      <c r="B1243" t="s">
        <v>123</v>
      </c>
      <c r="C1243" t="s">
        <v>138</v>
      </c>
      <c r="D1243" t="s">
        <v>135</v>
      </c>
      <c r="E1243" t="s">
        <v>136</v>
      </c>
      <c r="F1243" t="s">
        <v>150</v>
      </c>
      <c r="G1243" t="s">
        <v>149</v>
      </c>
      <c r="H1243" t="s">
        <v>152</v>
      </c>
    </row>
    <row r="1244" spans="1:9">
      <c r="A1244" t="s">
        <v>122</v>
      </c>
      <c r="B1244" t="s">
        <v>123</v>
      </c>
      <c r="C1244" t="s">
        <v>140</v>
      </c>
      <c r="D1244" t="s">
        <v>135</v>
      </c>
      <c r="E1244" t="s">
        <v>139</v>
      </c>
      <c r="F1244" t="s">
        <v>150</v>
      </c>
      <c r="G1244" t="s">
        <v>149</v>
      </c>
      <c r="H1244" t="s">
        <v>153</v>
      </c>
    </row>
    <row r="1245" spans="1:9">
      <c r="A1245" t="s">
        <v>122</v>
      </c>
      <c r="B1245" t="s">
        <v>123</v>
      </c>
      <c r="C1245" t="s">
        <v>141</v>
      </c>
      <c r="D1245" t="s">
        <v>135</v>
      </c>
      <c r="E1245" t="s">
        <v>142</v>
      </c>
      <c r="F1245" t="s">
        <v>150</v>
      </c>
      <c r="G1245" t="s">
        <v>149</v>
      </c>
      <c r="H1245" t="s">
        <v>154</v>
      </c>
    </row>
    <row r="1246" spans="1:9">
      <c r="A1246" t="s">
        <v>122</v>
      </c>
      <c r="B1246" t="s">
        <v>123</v>
      </c>
      <c r="C1246" t="s">
        <v>143</v>
      </c>
      <c r="D1246" t="s">
        <v>135</v>
      </c>
      <c r="E1246" t="s">
        <v>144</v>
      </c>
      <c r="F1246" t="s">
        <v>150</v>
      </c>
      <c r="G1246" t="s">
        <v>149</v>
      </c>
      <c r="H1246" t="s">
        <v>155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Checklist</vt:lpstr>
      <vt:lpstr>Values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2024-04-09T11:13:27Z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