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hkudyba\Git\review-checklists\spreadsheet\"/>
    </mc:Choice>
  </mc:AlternateContent>
  <xr:revisionPtr revIDLastSave="0" documentId="13_ncr:1_{E76B2796-3C65-4C42-B708-5BE32ECFA5AD}"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Checklist!$A$4:$I$149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8" i="7" l="1"/>
  <c r="N27" i="7"/>
  <c r="N26" i="7"/>
  <c r="N25" i="7"/>
  <c r="N24" i="7"/>
  <c r="N23" i="7"/>
  <c r="N22" i="7"/>
  <c r="N21" i="7"/>
  <c r="H13" i="7"/>
  <c r="H12" i="7"/>
  <c r="H11" i="7"/>
  <c r="H10" i="7"/>
  <c r="H9" i="7"/>
  <c r="H8" i="7"/>
  <c r="H7" i="7"/>
  <c r="H6" i="7"/>
  <c r="Q28" i="7" l="1" a="1"/>
  <c r="Q28" i="7" s="1"/>
  <c r="O28" i="7" l="1" a="1"/>
  <c r="O28" i="7" s="1"/>
  <c r="P28" i="7" a="1"/>
  <c r="P28" i="7" s="1"/>
  <c r="K9" i="7" a="1"/>
  <c r="K9" i="7" s="1"/>
  <c r="I11" i="7" a="1"/>
  <c r="I11" i="7" s="1"/>
  <c r="Q25" i="7" a="1"/>
  <c r="Q25" i="7" s="1"/>
  <c r="P20" i="7"/>
  <c r="O20" i="7"/>
  <c r="L5" i="7"/>
  <c r="L13" i="7" s="1" a="1"/>
  <c r="L13" i="7" s="1"/>
  <c r="K5" i="7"/>
  <c r="K13" i="7" s="1" a="1"/>
  <c r="K13" i="7" s="1"/>
  <c r="J5" i="7"/>
  <c r="J13" i="7" s="1" a="1"/>
  <c r="J13" i="7" s="1"/>
  <c r="I5" i="7"/>
  <c r="I13" i="7" s="1" a="1"/>
  <c r="I13" i="7" s="1"/>
  <c r="E5" i="7"/>
  <c r="D5" i="7"/>
  <c r="C5" i="7"/>
  <c r="B5" i="7"/>
  <c r="A7" i="7"/>
  <c r="A8" i="7"/>
  <c r="A6" i="7"/>
  <c r="L12" i="7" l="1" a="1"/>
  <c r="L12" i="7" s="1"/>
  <c r="L10" i="7" a="1"/>
  <c r="L10" i="7" s="1"/>
  <c r="L6" i="7" a="1"/>
  <c r="L6" i="7" s="1"/>
  <c r="R28" i="7"/>
  <c r="S28" i="7" s="1"/>
  <c r="M13" i="7"/>
  <c r="P21" i="7" a="1"/>
  <c r="P21" i="7" s="1"/>
  <c r="P27" i="7" a="1"/>
  <c r="P27" i="7" s="1"/>
  <c r="O24" i="7" a="1"/>
  <c r="O24" i="7" s="1"/>
  <c r="E8" i="7" a="1"/>
  <c r="E8" i="7" s="1"/>
  <c r="P23" i="7" a="1"/>
  <c r="P23" i="7" s="1"/>
  <c r="K8" i="7" a="1"/>
  <c r="K8" i="7" s="1"/>
  <c r="B6" i="7" a="1"/>
  <c r="B6" i="7" s="1"/>
  <c r="E7" i="7" a="1"/>
  <c r="E7" i="7" s="1"/>
  <c r="O22" i="7" a="1"/>
  <c r="O22" i="7" s="1"/>
  <c r="L7" i="7" a="1"/>
  <c r="L7" i="7" s="1"/>
  <c r="B7" i="7" a="1"/>
  <c r="B7" i="7" s="1"/>
  <c r="C6" i="7" a="1"/>
  <c r="C6" i="7" s="1"/>
  <c r="B8" i="7" a="1"/>
  <c r="B8" i="7" s="1"/>
  <c r="C8" i="7" a="1"/>
  <c r="C8" i="7" s="1"/>
  <c r="D8" i="7" a="1"/>
  <c r="D8" i="7" s="1"/>
  <c r="C7" i="7" a="1"/>
  <c r="C7" i="7" s="1"/>
  <c r="D7" i="7" a="1"/>
  <c r="D7" i="7" s="1"/>
  <c r="D6" i="7" a="1"/>
  <c r="D6" i="7" s="1"/>
  <c r="E6" i="7" a="1"/>
  <c r="E6" i="7" s="1"/>
  <c r="J12" i="7" a="1"/>
  <c r="J12" i="7" s="1"/>
  <c r="Q24" i="7" a="1"/>
  <c r="Q24" i="7" s="1"/>
  <c r="J7" i="7" a="1"/>
  <c r="J7" i="7" s="1"/>
  <c r="K12" i="7" a="1"/>
  <c r="K12" i="7" s="1"/>
  <c r="Q27" i="7" a="1"/>
  <c r="Q27" i="7" s="1"/>
  <c r="L9" i="7" a="1"/>
  <c r="L9" i="7" s="1"/>
  <c r="I9" i="7" a="1"/>
  <c r="I9" i="7" s="1"/>
  <c r="O23" i="7" a="1"/>
  <c r="O23" i="7" s="1"/>
  <c r="Q23" i="7" a="1"/>
  <c r="Q23" i="7" s="1"/>
  <c r="I8" i="7" a="1"/>
  <c r="I8" i="7" s="1"/>
  <c r="L8" i="7" a="1"/>
  <c r="L8" i="7" s="1"/>
  <c r="Q22" i="7" a="1"/>
  <c r="Q22" i="7" s="1"/>
  <c r="I12" i="7" a="1"/>
  <c r="I12" i="7" s="1"/>
  <c r="O27" i="7" a="1"/>
  <c r="O27" i="7" s="1"/>
  <c r="Q26" i="7" a="1"/>
  <c r="Q26" i="7" s="1"/>
  <c r="O26" i="7" a="1"/>
  <c r="O26" i="7" s="1"/>
  <c r="P26" i="7" a="1"/>
  <c r="P26" i="7" s="1"/>
  <c r="J11" i="7" a="1"/>
  <c r="J11" i="7" s="1"/>
  <c r="K11" i="7" a="1"/>
  <c r="K11" i="7" s="1"/>
  <c r="L11" i="7" a="1"/>
  <c r="L11" i="7" s="1"/>
  <c r="P25" i="7" a="1"/>
  <c r="P25" i="7" s="1"/>
  <c r="J10" i="7" a="1"/>
  <c r="J10" i="7" s="1"/>
  <c r="O25" i="7" a="1"/>
  <c r="O25" i="7" s="1"/>
  <c r="K10" i="7" a="1"/>
  <c r="K10" i="7" s="1"/>
  <c r="I10" i="7" a="1"/>
  <c r="I10" i="7" s="1"/>
  <c r="P24" i="7" a="1"/>
  <c r="P24" i="7" s="1"/>
  <c r="J9" i="7" a="1"/>
  <c r="J9" i="7" s="1"/>
  <c r="J8" i="7" a="1"/>
  <c r="J8" i="7" s="1"/>
  <c r="P22" i="7" a="1"/>
  <c r="P22" i="7" s="1"/>
  <c r="K7" i="7" a="1"/>
  <c r="K7" i="7" s="1"/>
  <c r="I7" i="7" a="1"/>
  <c r="I7" i="7" s="1"/>
  <c r="J6" i="7" a="1"/>
  <c r="J6" i="7" s="1"/>
  <c r="O21" i="7" a="1"/>
  <c r="O21" i="7" s="1"/>
  <c r="I6" i="7" a="1"/>
  <c r="I6" i="7" s="1"/>
  <c r="K6" i="7" a="1"/>
  <c r="K6" i="7" s="1"/>
  <c r="Q21" i="7" a="1"/>
  <c r="Q21" i="7" s="1"/>
  <c r="O29" i="7" l="1"/>
  <c r="Q29" i="7"/>
  <c r="L14" i="7"/>
  <c r="P29" i="7"/>
  <c r="I14" i="7"/>
  <c r="K14" i="7"/>
  <c r="J14" i="7"/>
  <c r="E9" i="7"/>
  <c r="B9" i="7"/>
  <c r="F8" i="7"/>
  <c r="C9" i="7"/>
  <c r="F7" i="7"/>
  <c r="D9" i="7"/>
  <c r="F6" i="7"/>
  <c r="R24" i="7"/>
  <c r="S24" i="7" s="1"/>
  <c r="M12" i="7"/>
  <c r="R23" i="7"/>
  <c r="S23" i="7" s="1"/>
  <c r="R27" i="7"/>
  <c r="S27" i="7" s="1"/>
  <c r="M9" i="7"/>
  <c r="M8" i="7"/>
  <c r="R22" i="7"/>
  <c r="S22" i="7" s="1"/>
  <c r="R25" i="7"/>
  <c r="S25" i="7" s="1"/>
  <c r="M7" i="7"/>
  <c r="M6" i="7"/>
  <c r="M10" i="7"/>
  <c r="M11" i="7"/>
  <c r="R21" i="7"/>
  <c r="R26" i="7"/>
  <c r="S26" i="7" s="1"/>
  <c r="S21" i="7" l="1"/>
  <c r="R29" i="7"/>
  <c r="D2" i="7" s="1"/>
  <c r="M14" i="7"/>
  <c r="F9" i="7"/>
  <c r="E2" i="7" l="1"/>
  <c r="S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<sst xmlns="http://schemas.openxmlformats.org/spreadsheetml/2006/main" count="1318" uniqueCount="401">
  <si>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</si>
  <si>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</si>
  <si>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</si>
  <si>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</si>
  <si>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</si>
  <si>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</si>
  <si>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</si>
  <si>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</si>
  <si>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</si>
  <si>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</si>
  <si>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</si>
  <si>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</si>
  <si>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</si>
  <si>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</si>
  <si>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</si>
  <si>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</si>
  <si>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</si>
  <si>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</si>
  <si>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</si>
  <si>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</si>
  <si>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</si>
  <si>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Graph Query Success</t>
  </si>
  <si>
    <t>Graph Query Failure</t>
  </si>
  <si>
    <t>GUID</t>
  </si>
  <si>
    <t>https://raw.githubusercontent.com/Azure/review-checklists/main/checklists/</t>
  </si>
  <si>
    <t>Reviewed Items</t>
  </si>
  <si>
    <t>Open Items</t>
  </si>
  <si>
    <t>Use the "Import latest" button to get the latest version of a review checklist</t>
  </si>
  <si>
    <t>Default title</t>
  </si>
  <si>
    <t>Checklist item</t>
  </si>
  <si>
    <t>Description (optional)</t>
  </si>
  <si>
    <t>Identity</t>
  </si>
  <si>
    <t>Technologies</t>
  </si>
  <si>
    <t>Languages</t>
  </si>
  <si>
    <t>Landing Zone</t>
  </si>
  <si>
    <t>AKS</t>
  </si>
  <si>
    <t>AVD</t>
  </si>
  <si>
    <t>Security</t>
  </si>
  <si>
    <t>English</t>
  </si>
  <si>
    <t>Japanese</t>
  </si>
  <si>
    <t>Korean</t>
  </si>
  <si>
    <t>Brazilian Portuguese</t>
  </si>
  <si>
    <t>Spanish</t>
  </si>
  <si>
    <t>Azure Landing Zone Review</t>
  </si>
  <si>
    <t>Implement for emergency access or break-glass accounts to prevent tenant-wide account lockout</t>
  </si>
  <si>
    <t>984a859c-773e-47d2-9162-3a765a917e1f</t>
  </si>
  <si>
    <t>Enforce a RBAC model for management groups, subscriptions, resource groups and resources</t>
  </si>
  <si>
    <t>348ef254-c27d-442e-abba-c7571559ab91</t>
  </si>
  <si>
    <t>Enforce Azure AD conditional-access policies for any user with rights to Azure environments</t>
  </si>
  <si>
    <t>53e8908a-e28c-484c-93b6-b7808b9fe5c4</t>
  </si>
  <si>
    <t>Enforce multi-factor authentication for any user with rights to the Azure environments</t>
  </si>
  <si>
    <t>1049d403-a923-4c34-94d0-0018ac6a9e01</t>
  </si>
  <si>
    <t>Enforce centralized and delegated responsibilities to manage resources deployed inside the landing zone based on role and security requirements</t>
  </si>
  <si>
    <t>e6a83de5-de32-4c19-a248-1607d5d1e4e6</t>
  </si>
  <si>
    <t>Enforce Azure AD Privileged Identity Management (PIM) to establish zero standing access and least privilege</t>
  </si>
  <si>
    <t>14658d35-58fd-4772-99b8-21112df27ee4</t>
  </si>
  <si>
    <t>Only use the authentication type Work or school account for all account types. Avoid using the Microsoft account</t>
  </si>
  <si>
    <t>12e7f983-f630-4472-8dd6-9c5b5c2622f5</t>
  </si>
  <si>
    <t>Only use groups to assign permissions. Add on-premises groups to the Azure-AD-only group if a group management system is already in place.</t>
  </si>
  <si>
    <t>4b69bad3-3aad-45e8-a68e-1d76667313b4</t>
  </si>
  <si>
    <t>If the following roles roles are considered, use Azure custom roles: Azure platform owner, network management, security operations, subscription owner, application owner</t>
  </si>
  <si>
    <t>f5664b5e-984a-4859-a773-e7d261623a76</t>
  </si>
  <si>
    <t>If any data sovereignty requirements exist, custom user policies can be deployed to enforce them</t>
  </si>
  <si>
    <t>5a917e1f-348e-4f25-9c27-d42e8bbac757</t>
  </si>
  <si>
    <t>If Azure DS in use, deploy ADS within the primary region because this service can only be projected into one subscription</t>
  </si>
  <si>
    <t>1559ab91-53e8-4908-ae28-c84c33b6b780</t>
  </si>
  <si>
    <t>If Azure DS in use, evaluate the compatibility of all workloads</t>
  </si>
  <si>
    <t>8b9fe5c4-1049-4d40-9a92-3c3474d00018</t>
  </si>
  <si>
    <t>If AD on Windows server in use, can all required resources access correct domain controller?</t>
  </si>
  <si>
    <t>ac6a9e01-e6a8-43de-9de3-2c1992481607</t>
  </si>
  <si>
    <t xml:space="preserve">Has Azure AD Application Proxy been considered for remote access to on-premises applications? </t>
  </si>
  <si>
    <t>d5d1e4e6-1465-48d3-958f-d77249b82111</t>
  </si>
  <si>
    <t>Subscriptions</t>
  </si>
  <si>
    <t>Enforce reasonably flat management group hierarchy with no more than three to four levels, ideally</t>
  </si>
  <si>
    <t>2df27ee4-12e7-4f98-9f63-04722dd69c5b</t>
  </si>
  <si>
    <t>resourcecontainers | where type == 'microsoft.resources/subscriptions' | extend ManagementGroup = tostring(tags),mgmtChain = properties.managementGroupAncestorsChain | where array_length(mgmtChain) &lt;=4 | mvexpand mgmt=mgmtChain | project subscriptionId, name, ['id'], management_group_name=mgmt.displayName, resourceGroup=mgmt.displayName</t>
  </si>
  <si>
    <t>resourcecontainers | where type == 'microsoft.resources/subscriptions' | extend ManagementGroup = tostring(tags),mgmtChain = properties.managementGroupAncestorsChain | where array_length(mgmtChain) &gt;4 | mvexpand mgmt=mgmtChain | project subscriptionId, name, ['id'], management_group_name=mgmt.displayName, resourceGroup=mgmt.displayName</t>
  </si>
  <si>
    <t>Enforce or appended resource tags through Azure Policy</t>
  </si>
  <si>
    <t>5c2622f5-4b69-4bad-93aa-d5e8c68e1d76</t>
  </si>
  <si>
    <t>Enfore a sandbox management group to allow users to immediately experiment with Azure</t>
  </si>
  <si>
    <t>667313b4-f566-44b5-b984-a859c773e7d2</t>
  </si>
  <si>
    <t>Enforce a platform management group under the root management group to support common platform policy and Azure role assignment</t>
  </si>
  <si>
    <t>61623a76-5a91-47e1-b348-ef254c27d42e</t>
  </si>
  <si>
    <t>Enforce a dedicated connectivity subscription in the Platform management group to host an Azure Virtual WAN hub, private Domain Name System (DNS), ExpressRoute circuit, and other networking resources.</t>
  </si>
  <si>
    <t>8bbac757-1559-4ab9-853e-8908ae28c84c</t>
  </si>
  <si>
    <t>Enforce no subscriptions are placed under the root management group</t>
  </si>
  <si>
    <t>33b6b780-8b9f-4e5c-9104-9d403a923c34</t>
  </si>
  <si>
    <t>Enforce that only privileged users can operate management groups in the tenant by enabling Azure RBAC authorization in the management group hierarchy settings</t>
  </si>
  <si>
    <t>74d00018-ac6a-49e0-8e6a-83de5de32c19</t>
  </si>
  <si>
    <t>Enforce management groups under the root-level management group to represent the types of workloads, based on their security, compliance, connectivity, and feature needs.</t>
  </si>
  <si>
    <t>92481607-d5d1-4e4e-9146-58d3558fd772</t>
  </si>
  <si>
    <t>Enforce a process to make resource owners aware of their roles and responsibilities, access review, budget review, policy compliance and remediate when necessary.</t>
  </si>
  <si>
    <t>49b82111-2df2-47ee-912e-7f983f630472</t>
  </si>
  <si>
    <t>Enforce that all subscription owners and IT core team are aware of subscription support limitations</t>
  </si>
  <si>
    <t>2dd69c5b-5c26-422f-94b6-9bad33aad5e8</t>
  </si>
  <si>
    <t>Enforce the use of reserved instances to prioritize reserved capacity in required regions. Then the workload will have the required capacity even when there's a high demand for that resource in a specific region.</t>
  </si>
  <si>
    <t>c68e1d76-6673-413b-9f56-64b5e984a859</t>
  </si>
  <si>
    <t>Enforce a dashboard, workbook or manual process to monitor used capacity levels</t>
  </si>
  <si>
    <t>c773e7d2-6162-43a7-95a9-17e1f348ef25</t>
  </si>
  <si>
    <t>Ensure required services and features are available within the chosen deployment regions</t>
  </si>
  <si>
    <t>4c27d42e-8bba-4c75-9155-9ab9153e8908</t>
  </si>
  <si>
    <t>Enforce a process for cost management</t>
  </si>
  <si>
    <t>ae28c84c-33b6-4b78-88b9-fe5c41049d40</t>
  </si>
  <si>
    <t>If AD on Windows Server, establish a dedicated identity subscription in the Platform management group to host Windows Server Active Directory domain controllers</t>
  </si>
  <si>
    <t>3a923c34-74d0-4001-aac6-a9e01e6a83de</t>
  </si>
  <si>
    <t>Ensure tags are used for billing and cost management</t>
  </si>
  <si>
    <t>5de32c19-9248-4160-9d5d-1e4e614658d3</t>
  </si>
  <si>
    <t>Networking</t>
  </si>
  <si>
    <t>IP plan</t>
  </si>
  <si>
    <t>Ensure no overlapping IP address spaces across Azure regions and on-premises locations</t>
  </si>
  <si>
    <t>558fd772-49b8-4211-82df-27ee412e7f98</t>
  </si>
  <si>
    <t>Ensure to use IP addresses from the address allocation for private internets (RFC 1918).</t>
  </si>
  <si>
    <t>3f630472-2dd6-49c5-a5c2-622f54b69bad</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</si>
  <si>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where cidr matches regex @'^(?:10|127|172\.(?:1[6-9]|2[0-9]|3[01])|192\.168)\..*'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</si>
  <si>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where not (cidr matches regex @'^(?:10|127|172\.(?:1[6-9]|2[0-9]|3[01])|192\.168)\..*')</t>
  </si>
  <si>
    <t xml:space="preserve">Ensure that IP address space isn't wasted, don't create unnecessarily large virtual networks (for example /16) </t>
  </si>
  <si>
    <t>33aad5e8-c68e-41d7-9667-313b4f5664b5</t>
  </si>
  <si>
    <t>resources | where type == 'microsoft.network/virtualnetworks' | extend addressSpace = todynamic(properties.addressSpace) | extend addressPrefix = todynamic(properties.addressSpace.addressPrefixes) | mvexpand addressSpace | mvexpand addressPrefix | extend addressMask = split(addressPrefix,'/')[1] | where addressMask &gt; 16 | project name, id, subscriptionId, resourceGroup, addressPrefix</t>
  </si>
  <si>
    <t>resources | where type == 'microsoft.network/virtualnetworks' | extend addressSpace = todynamic(properties.addressSpace) | extend addressPrefix = todynamic(properties.addressSpace.addressPrefixes) | mvexpand addressSpace | mvexpand addressPrefix | extend addressMask = split(addressPrefix,'/')[1] | where addressMask &lt;= 16 | project name, id, subscriptionId, resourceGroup, addressPrefix</t>
  </si>
  <si>
    <t>Ensure no public IP address are used inside of VNET</t>
  </si>
  <si>
    <t>e984a859-c773-4e7d-8616-23a765a917e1</t>
  </si>
  <si>
    <t>Avoid using overlapping IP address ranges for production and DR sites.</t>
  </si>
  <si>
    <t>f348ef25-4c27-4d42-b8bb-ac7571559ab9</t>
  </si>
  <si>
    <t>For environments where name resolution in Azure is all that's required, use Azure Private DNS for resolution. Create a delegated zone for name resolution (such as?azure.contoso.com).</t>
  </si>
  <si>
    <t>153e8908-ae28-4c84-a33b-6b7808b9fe5c</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</si>
  <si>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</si>
  <si>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41049d40-3a92-43c3-974d-00018ac6a9e0</t>
  </si>
  <si>
    <t>Special workloads that require and deploy their own DNS (such as Red Hat OpenShift) should use their preferred DNS solution.</t>
  </si>
  <si>
    <t>1e6a83de-5de3-42c1-a924-81607d5d1e4e</t>
  </si>
  <si>
    <t>Enable auto-registration for Azure DNS to automatically manage the lifecycle of the DNS records for the virtual machines deployed within a virtual network.</t>
  </si>
  <si>
    <t>614658d3-558f-4d77-849b-821112df27ee</t>
  </si>
  <si>
    <t>Virtual WAN</t>
  </si>
  <si>
    <t>Ensure, for new large or global network deployments in Azure where you need global transit connectivity across Azure regions and on-premises locations, use virtual WAN</t>
  </si>
  <si>
    <t>412e7f98-3f63-4047-82dd-69c5b5c2622f</t>
  </si>
  <si>
    <t>Use a Virtual WAN hub per Azure region to connect multiple landing zones together across Azure regions via a common global Azure Virtual WAN.</t>
  </si>
  <si>
    <t>54b69bad-33aa-4d5e-ac68-e1d76667313b</t>
  </si>
  <si>
    <t>Use Virtual Hub Routing features to further segment traffic between VNets and branches.</t>
  </si>
  <si>
    <t>4f5664b5-e984-4a85-ac77-3e7d261623a7</t>
  </si>
  <si>
    <t>Connect Virtual WAN hubs to on-premises datacenters by using ExpressRoute</t>
  </si>
  <si>
    <t>65a917e1-f348-4ef2-94c2-7d42e8bbac75</t>
  </si>
  <si>
    <t>Connect branches and remote locations to the nearest Virtual WAN hub via Site-to-Site VPN, or enable branch connectivity to Virtual WAN via an SD-WAN partner solution.</t>
  </si>
  <si>
    <t>71559ab9-153e-4890-aae2-8c84c33b6b78</t>
  </si>
  <si>
    <t>Connect users to the Virtual WAN hub via a Point-to-Site VPN.</t>
  </si>
  <si>
    <t>08b9fe5c-4104-49d4-83a9-23c3474d0001</t>
  </si>
  <si>
    <t xml:space="preserve">Follow the principle </t>
  </si>
  <si>
    <t>8ac6a9e0-1e6a-483d-b5de-32c199248160</t>
  </si>
  <si>
    <t>For outbound Internet traffic protection and filtering,  deploy Azure Firewall</t>
  </si>
  <si>
    <t>7d5d1e4e-6146-458d-9558-fd77249b8211</t>
  </si>
  <si>
    <t>When you're deploying partner networking technologies and NVAs, verify configuration with partner vendor's guidance to ensure there are no conflicting configurations</t>
  </si>
  <si>
    <t>12df27ee-412e-47f9-a3f6-304722dd69c5</t>
  </si>
  <si>
    <t>Ensure that  Azure Virtual WAN and Azure Firewall resources are created in the connectivity subscription.</t>
  </si>
  <si>
    <t>b5c2622f-54b6-49ba-b33a-ad5e8c68e1d7</t>
  </si>
  <si>
    <t>Ensure that the network architecture is within the Azure Virtual WAN limits.</t>
  </si>
  <si>
    <t>6667313b-4f56-464b-9e98-4a859c773e7d</t>
  </si>
  <si>
    <t>Use Azure Monitor Insights for Virtual WAN to monitor the end-to-end topology of the Virtual WAN as well as status and key metrics.</t>
  </si>
  <si>
    <t>261623a7-65a9-417e-8f34-8ef254c27d42</t>
  </si>
  <si>
    <t>Hub and spoke</t>
  </si>
  <si>
    <t>Consider a network design based on the traditional hub-and-spoke network topology for the following scenarios</t>
  </si>
  <si>
    <t>e8bbac75-7155-49ab-a153-e8908ae28c84</t>
  </si>
  <si>
    <t>Ensure that shared services, including ExpressRoute gateways, VPN gateways, and Azure Firewall or partner NVAs in the central-hub virtual network. If necessary, also deploy Active Directory domain controllers and DNS servers.</t>
  </si>
  <si>
    <t>7dd61623-a364-4a90-9eca-e48ebd54cd7d</t>
  </si>
  <si>
    <t>When you're deploying partner networking technologies or NVAs, follow the partner vendor's guidance</t>
  </si>
  <si>
    <t>e2e8abac-3571-4559-ab91-53e89f89dc7b</t>
  </si>
  <si>
    <t>Do not deploy L7 inbound NVAs such as Azure Application Gateway as a shared service in the central-hub virtual network. Instead, deploy them together with the app in their respective landing zones.</t>
  </si>
  <si>
    <t>44ce3b1a-2808-4b9e-a1bf-1038df03a822</t>
  </si>
  <si>
    <t>Ensure no transit in Azure between ExpressRoute and VPN gateways, isn't supported.</t>
  </si>
  <si>
    <t>ce463dbb-bc8a-4c2a-aebc-92a43da1dae2</t>
  </si>
  <si>
    <t xml:space="preserve">For network architectures with multiple hub-and-spoke topologies across Azure regions, use global virtual network peering to connect landing-zone virtual networks when a small number of landing zones need to communicate across regions. </t>
  </si>
  <si>
    <t>cc881471-607c-41cc-a0e6-14658dd558f9</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</si>
  <si>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</si>
  <si>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37239b82-1112-4dbd-9eaf-12e6f943e53f</t>
  </si>
  <si>
    <t>Use Azure Monitor for Networks to monitor the end-to-end state of the networks on Azure.</t>
  </si>
  <si>
    <t>4722d929-c1b1-4cd6-81f5-4b29bade39ad</t>
  </si>
  <si>
    <t>When connecting spoke virtual networks to the central hub virtual network, consider VNet peering limits and the maximum number of prefixes that can be advertised via ExpressRoute</t>
  </si>
  <si>
    <t>0e7c28ec-9366-4572-83b0-f4664b1d944a</t>
  </si>
  <si>
    <t>Hybrid</t>
  </si>
  <si>
    <t>Ensure that you have investigated the possibility to use ExpressRoute as primary connection to Azure.</t>
  </si>
  <si>
    <t>359c373e-7dd6-4162-9a36-4a907ecae48e</t>
  </si>
  <si>
    <t>When you use multiple ExpressRoute circuits,?optimize ExpressRoute routing via BGP local preference and AS PATH prepending.</t>
  </si>
  <si>
    <t>f29812b2-363c-4efe-879b-599de0d5973c</t>
  </si>
  <si>
    <t>Ensure that you're using the right SKU for the ExpressRoute/VPN gateways based on bandwidth and performance requirements.</t>
  </si>
  <si>
    <t>d4cd21b0-8813-47f5-b6c4-cfd3e504547c</t>
  </si>
  <si>
    <t>Deploy a zone-redundant ExpressRoute gateway in the supported Azure regions.</t>
  </si>
  <si>
    <t>2447ec66-138a-4720-8f1c-e16ed301d6e8</t>
  </si>
  <si>
    <t>For scenarios that require bandwidth higher than 10 Gbps or dedicated 10/100-Gbps ports, use ExpressRoute Direct.</t>
  </si>
  <si>
    <t>72e52e36-11cc-458b-9a4b-1511e43a58a9</t>
  </si>
  <si>
    <t>When low latency is required, or throughput from on-premises to Azure must be greater than 10 Gbps, enable FastPath to bypass the ExpressRoute gateway from the data path.</t>
  </si>
  <si>
    <t>c2299c4d-7b57-4d0c-9555-62f2b3e4563a</t>
  </si>
  <si>
    <t>Use VPN gateways to connect branches or remote locations to Azure. For higher resilience, deploy zone-redundant gateways (where available).</t>
  </si>
  <si>
    <t>4d873974-8b66-42d6-b15f-512a65498f6d</t>
  </si>
  <si>
    <t>Use ExpressRoute Global Reach to connect large offices, regional headquarters, or datacenters connected to Azure via ExpressRoute.</t>
  </si>
  <si>
    <t>fe237de1-43b1-46c3-8d7a-a9b64704489a</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</si>
  <si>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</si>
  <si>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</si>
  <si>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Monitor ExpressRoute availability and utilization using built-in Azure Monitor metrics.</t>
  </si>
  <si>
    <t>b30e38c3-f298-412b-8363-cefe179b599d</t>
  </si>
  <si>
    <t>Use Connection Monitor for connectivity monitoring across the environment.</t>
  </si>
  <si>
    <t>5bf68dc9-325e-4873-bf88-f8214ef2e5d2</t>
  </si>
  <si>
    <t>Don't explicitly use ExpressRoute circuits from a single peering location. This creates a single point of failure and makes the organization susceptible to peering location outages.</t>
  </si>
  <si>
    <t>e0d5973c-d4cd-421b-8881-37f5e6c4cfd3</t>
  </si>
  <si>
    <t>PaaS</t>
  </si>
  <si>
    <t>Use virtual network injection for supported Azure services to make them available from within the virtual network.</t>
  </si>
  <si>
    <t>e504547c-2447-4ec6-9138-a7200f1ce16e</t>
  </si>
  <si>
    <t>Azure PaaS services that have been injected into a virtual network still perform management plane operations by using public IP addresses. Ensure that this communication is locked down within the virtual network by using UDRs and NSGs.</t>
  </si>
  <si>
    <t>d301d6e8-72e5-42e3-911c-c58b5a4b1511</t>
  </si>
  <si>
    <t>Use Private Link, where available, for shared Azure PaaS services.</t>
  </si>
  <si>
    <t>e43a58a9-c229-49c4-b7b5-7d0c655562f2</t>
  </si>
  <si>
    <t>Access Azure PaaS services from on-premises via ExpressRoute private peering. This method avoids transiting over the public internet.</t>
  </si>
  <si>
    <t>b3e4563a-4d87-4397-98b6-62d6d15f512a</t>
  </si>
  <si>
    <t>Use virtual network service endpoints when Private Link isn't available</t>
  </si>
  <si>
    <t>65498f6d-fe23-47de-843b-16c31d7aa9b6</t>
  </si>
  <si>
    <t>Don't enable virtual network service endpoints by default on all subnets.</t>
  </si>
  <si>
    <t>4704489a-8042-4d88-b79d-17b73b22a5a6</t>
  </si>
  <si>
    <t>Don't use virtual network service endpoints when there are data exfiltration concerns, unless you use NVA filtering.</t>
  </si>
  <si>
    <t>7e7a8ed4-b30e-438c-9f29-812b2363cefe</t>
  </si>
  <si>
    <t>Dont implement forced tunneling to enable communication from Azure to Azure resources.</t>
  </si>
  <si>
    <t>179b599d-e0d5-4973-ad4c-d21b088137f5</t>
  </si>
  <si>
    <t>Internet</t>
  </si>
  <si>
    <t>Use Azure Firewall to govern Azure outbound traffic to the internet, non-HTTP/S inbound connections and East/West traffic filtering (if the organization requires it)</t>
  </si>
  <si>
    <t>e6c4cfd3-e504-4547-a244-7ec66138a720</t>
  </si>
  <si>
    <t>Use Firewall Manager with Virtual WAN to deploy and manage Azure firewalls across Virtual WAN hubs or in hub virtual networks. Firewall Manager is now in general availability for both Virtual WAN and regular virtual networks.</t>
  </si>
  <si>
    <t>0f1ce16e-d301-4d6e-a72e-52e3611cc58b</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</si>
  <si>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</si>
  <si>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</si>
  <si>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Configure supported partner SaaS security providers within Firewall Manager if the organization wants to use such solutions to help protect outbound connections.</t>
  </si>
  <si>
    <t>655562f2-b3e4-4563-a4d8-739748b662d6</t>
  </si>
  <si>
    <t>Use WAF within a landing-zone virtual network for protecting inbound HTTP/S traffic from the internet.</t>
  </si>
  <si>
    <t>d15f512a-6549-48f6-bfe2-37de143b16c3</t>
  </si>
  <si>
    <t>Use Azure Front Door and WAF policies to provide global protection across Azure regions for inbound HTTP/S connections to a landing zone.</t>
  </si>
  <si>
    <t>1d7aa9b6-4704-4489-a804-2d88e79d17b7</t>
  </si>
  <si>
    <t>When you're using Azure Front Door and Azure Application Gateway to help protect HTTP/S apps, use WAF policies in Azure Front Door. Lock down Azure Application Gateway to receive traffic only from Azure Front Door.</t>
  </si>
  <si>
    <t>3b22a5a6-7e7a-48ed-9b30-e38c3f29812b</t>
  </si>
  <si>
    <t>If partner NVAs are required for inbound HTTP/S connections, deploy them within a landing-zone virtual network and together with the apps that they're protecting and exposing to the internet.</t>
  </si>
  <si>
    <t>2363cefe-179b-4599-be0d-5973cd4cd21b</t>
  </si>
  <si>
    <t>Use Azure DDoS Protection Standard protection plans to help protect all public endpoints hosted within the virtual networks.</t>
  </si>
  <si>
    <t>088137f5-e6c4-4cfd-9e50-4547c2447ec6</t>
  </si>
  <si>
    <t>App delivery</t>
  </si>
  <si>
    <t>Perform app delivery within landing zones for both internal-facing and external-facing apps.</t>
  </si>
  <si>
    <t>6138a720-0f1c-4e16-bd30-1d6e872e52e3</t>
  </si>
  <si>
    <t>For secure delivery of HTTP/S apps, use Application Gateway v2 and ensure that WAF protection and policies are enabled.</t>
  </si>
  <si>
    <t>611cc58b-5a4b-4151-8e43-a58a9c2299c4</t>
  </si>
  <si>
    <t>Use a partner NVA if you can't use Application Gateway v2 for the security of HTTP/S apps.</t>
  </si>
  <si>
    <t>d7b57d0c-6555-462f-8b3e-4563a4d87397</t>
  </si>
  <si>
    <t>Deploy Azure Application Gateway v2 or partner NVAs used for inbound HTTP/S connections within the landing-zone virtual network and with the apps that they're securing.</t>
  </si>
  <si>
    <t>48b662d6-d15f-4512-a654-98f6dfe237de</t>
  </si>
  <si>
    <t>Use a DDoS standard protection plan for all public IP addresses in a landing zone.</t>
  </si>
  <si>
    <t>143b16c3-1d7a-4a9b-9470-4489a8042d88</t>
  </si>
  <si>
    <t>Use Azure Front Door with WAF policies to deliver and help protect global HTTP/S apps that span Azure regions.</t>
  </si>
  <si>
    <t>e79d17b7-3b22-4a5a-97e7-a8ed4b30e38c</t>
  </si>
  <si>
    <t>When you're using Front Door and Application Gateway to help protect HTTP/S apps, use WAF policies in Front Door. Lock down Application Gateway to receive traffic only from Front Door.</t>
  </si>
  <si>
    <t>3f29812b-2363-4cef-b179-b599de0d5973</t>
  </si>
  <si>
    <t>Use Traffic Manager to deliver global apps that span protocols other than HTTP/S.</t>
  </si>
  <si>
    <t>cd4cd21b-0881-437f-9e6c-4cfd3e504547</t>
  </si>
  <si>
    <t>Segmentation</t>
  </si>
  <si>
    <t xml:space="preserve">Delegate subnet creation to the landing zone owner. </t>
  </si>
  <si>
    <t>c2447ec6-6138-4a72-80f1-ce16ed301d6e</t>
  </si>
  <si>
    <t>Use NSGs to help protect traffic across subnets, as well as east/west traffic across the platform (traffic between landing zones).</t>
  </si>
  <si>
    <t>872e52e3-611c-4c58-a5a4-b1511e43a58a</t>
  </si>
  <si>
    <t>The application team should use application security groups at the subnet-level NSGs to help protect multitier VMs within the landing zone.</t>
  </si>
  <si>
    <t>9c2299c4-d7b5-47d0-a655-562f2b3e4563</t>
  </si>
  <si>
    <t>Use NSGs and application security groups to micro-segment traffic within the landing zone and avoid using a central NVA to filter traffic flows.</t>
  </si>
  <si>
    <t>a4d87397-48b6-462d-9d15-f512a65498f6</t>
  </si>
  <si>
    <t>Enable NSG flow logs and feed them into Traffic Analytics to gain insights into internal and external traffic flows.</t>
  </si>
  <si>
    <t>dfe237de-143b-416c-91d7-aa9b64704489</t>
  </si>
  <si>
    <t>Use NSGs to selectively allow connectivity between landing zones.</t>
  </si>
  <si>
    <t>a8042d88-e79d-417b-93b2-2a5a67e7a8ed</t>
  </si>
  <si>
    <t>For Virtual WAN topologies, route traffic across landing zones via Azure Firewall if the organization requires filtering and logging capabilities for traffic flowing across landing zones.</t>
  </si>
  <si>
    <t>4b30e38c-3f29-4812-a236-3cefe179b599</t>
  </si>
  <si>
    <t>Encryption</t>
  </si>
  <si>
    <t>When you're using ExpressRoute Direct, configure MACsec in order to encrypt traffic at the layer-two level between the organization's routers and MSEE. The diagram shows this encryption in flow.</t>
  </si>
  <si>
    <t>de0d5973-cd4c-4d21-a088-137f5e6c4cfd</t>
  </si>
  <si>
    <t>If traffic between Azure regions must be encrypted, use global VNet peering to connect virtual networks across regions.</t>
  </si>
  <si>
    <t>3e504547-c244-47ec-9613-8a7200f1ce16</t>
  </si>
  <si>
    <t xml:space="preserve">For Virtual WAN scenarios where MACsec isn't an option (for example, not using ExpressRoute Direct), use a Virtual WAN VPN gateway to establish?IPsec tunnels over ExpressRoute private peering. </t>
  </si>
  <si>
    <t>ed301d6e-872e-452e-9611-cc58b5a4b151</t>
  </si>
  <si>
    <t>Inspection</t>
  </si>
  <si>
    <t>Use Network Watcher packets to capture despite the limited capture window.</t>
  </si>
  <si>
    <t>1e43a58a-9c22-499c-9d7b-57d0c655562f</t>
  </si>
  <si>
    <t>Evaluate whether the latest version of NSG flow logs provides the level of detail that you need.</t>
  </si>
  <si>
    <t>2b3e4563-a4d8-4739-948b-662d6d15f512</t>
  </si>
  <si>
    <t>Use partner solutions for scenarios that require deep packet inspection.</t>
  </si>
  <si>
    <t>a65498f6-dfe2-437d-b143-b16c31d7aa9b</t>
  </si>
  <si>
    <t>Don't develop a custom solution to mirror traffic. Although this approach might be acceptable for small-scale scenarios, we don't encourage it at scale because of complexity and the supportability issues that might arise.</t>
  </si>
  <si>
    <t>64704489-a804-42d8-ae79-d17b73b22a5a</t>
  </si>
  <si>
    <t>Management</t>
  </si>
  <si>
    <t>Monitoring</t>
  </si>
  <si>
    <t>Use a single monitor logs workspace to manage platforms centrally except where Azure role-based access control (Azure RBAC), data sovereignty requirements, or data retention policies mandate separate workspaces.</t>
  </si>
  <si>
    <t>67e7a8ed-4b30-4e38-a3f2-9812b2363cef</t>
  </si>
  <si>
    <t>Is the landing zone documented?</t>
  </si>
  <si>
    <t>e179b599-de0d-4597-9cd4-cd21b088137f</t>
  </si>
  <si>
    <t>Export logs to Azure Storage if log retention requirements exceed two years. Use immutable storage with a write-once, read-many policy to make data non-erasable and non-modifiable for a user-specified interval.</t>
  </si>
  <si>
    <t>5e6c4cfd-3e50-4454-9c24-47ec66138a72</t>
  </si>
  <si>
    <t xml:space="preserve">Use Azure Policy for access control and compliance reporting. Azure Policy provides the ability to enforce organization-wide settings to ensure consistent policy adherence and fast violation detection. </t>
  </si>
  <si>
    <t>00f1ce16-ed30-41d6-b872-e52e3611cc58</t>
  </si>
  <si>
    <t>Monitor in-guest virtual machine (VM) configuration drift using Azure Policy. Enabling guest configuration audit capabilities through policy helps application team workloads to immediately consume feature capabilities with little effort.</t>
  </si>
  <si>
    <t>e7d7e484-3276-4d8b-bc05-5bcf619e8a13</t>
  </si>
  <si>
    <t xml:space="preserve">Use Update Management in Azure Automation as a long-term patching mechanism for both Windows and Linux VMs. </t>
  </si>
  <si>
    <t>f9887952-5d62-4688-9d70-ba6c97be9951</t>
  </si>
  <si>
    <t>Use Network Watcher to proactively monitor traffic flows</t>
  </si>
  <si>
    <t>90483845-c986-4cb2-a131-56a12476e49f</t>
  </si>
  <si>
    <t>Use resource locks to prevent accidental deletion of critical shared services.</t>
  </si>
  <si>
    <t>541acdce-9793-477b-adb3-751ab2ab13ad</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</si>
  <si>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</si>
  <si>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</si>
  <si>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Include service and resource health events as part of the overall platform monitoring solution. Tracking service and resource health from the platform perspective is an important component of resource management in Azure.</t>
  </si>
  <si>
    <t>e5695f22-23ac-4e8c-a123-08ca5017f154</t>
  </si>
  <si>
    <t>Don't send raw log entries back to on-premises monitoring systems. Instead, adopt a principle that?data born in Azure stays in Azure. If on-premises SIEM integration is required, then?send critical alerts?instead of logs.</t>
  </si>
  <si>
    <t>e3ab3693-829e-47e3-8618-3687a0477a20</t>
  </si>
  <si>
    <t>Use a centralized Azure Monitor Log Analytics workspace to collect logs and metrics from IaaS and PaaS application resources and?control log access with Azure RBAC.</t>
  </si>
  <si>
    <t>9945bda4-3334-4f24-a116-34182ba52752</t>
  </si>
  <si>
    <t>Use Azure Monitor Logs for insights and reporting.</t>
  </si>
  <si>
    <t>6944008b-e7d7-4e48-9327-6d8bdc055bcf</t>
  </si>
  <si>
    <t>When necessary, use shared storage accounts within the landing zone for Azure diagnostic extension log storage.</t>
  </si>
  <si>
    <t>619e8a13-f988-4795-85d6-26886d70ba6c</t>
  </si>
  <si>
    <t>Use Azure Monitor alerts for the generation of operational alerts.</t>
  </si>
  <si>
    <t>97be9951-9048-4384-9c98-6cb2913156a1</t>
  </si>
  <si>
    <t>Employ Azure Site Recovery for Azure-to-Azure Virtual Machines disaster recovery scenarios. This enables you to replicate workloads across regions.</t>
  </si>
  <si>
    <t>2476e49f-541a-4cdc-b979-377bcdb3751a</t>
  </si>
  <si>
    <t>Ensure to use and test native PaaS service disaster recovery capabilities.</t>
  </si>
  <si>
    <t>b2ab13ad-a6e5-45d7-b8a2-adb117d6326a</t>
  </si>
  <si>
    <t>Use Azure-native backup capabilities. Verify that partner/customer is aware of Azure Backup and all new capabilities which greatly can simplify backup management</t>
  </si>
  <si>
    <t>f625ca44-e569-45f2-823a-ce8cb12308ca</t>
  </si>
  <si>
    <t>Secrets</t>
  </si>
  <si>
    <t>Azure Key Vault</t>
  </si>
  <si>
    <t>5017f154-e3ab-4369-9829-e7e316183687</t>
  </si>
  <si>
    <t>Use a federated Azure Key Vault model to avoid transaction scale limits.</t>
  </si>
  <si>
    <t>a0477a20-9945-4bda-9333-4f2491163418</t>
  </si>
  <si>
    <t>Provision Azure Key Vault with the soft delete and purge policies enabled to allow retention protection for deleted objects.</t>
  </si>
  <si>
    <t>2ba52752-6944-4008-ae7d-7e4843276d8b</t>
  </si>
  <si>
    <t>Follow a least privilege model by limiting authorization to permanently delete keys, secrets, and certificates to specialized custom Azure Active Directory (Azure AD) roles.</t>
  </si>
  <si>
    <t>dc055bcf-619e-48a1-9f98-879525d62688</t>
  </si>
  <si>
    <t>Automate the certificate management and renewal process with public certificate authorities to ease administration.</t>
  </si>
  <si>
    <t>6d70ba6c-97be-4995-8904-83845c986cb2</t>
  </si>
  <si>
    <t>Establish an automated process for key and certificate rotation.</t>
  </si>
  <si>
    <t>913156a1-2476-4e49-b541-acdce979377b</t>
  </si>
  <si>
    <t>Enable firewall and virtual network service endpoint on the vault to control access to the key vault.</t>
  </si>
  <si>
    <t>cdb3751a-b2ab-413a-ba6e-55d7d8a2adb1</t>
  </si>
  <si>
    <t>Use the platform-central Azure Monitor Log Analytics workspace to audit key, certificate, and secret usage within each instance of Key Vault.</t>
  </si>
  <si>
    <t>17d6326a-f625-4ca4-9e56-95f2223ace8c</t>
  </si>
  <si>
    <t>Delegate Key Vault instantiation and privileged access and use Azure Policy to enforce a consistent compliant configuration.</t>
  </si>
  <si>
    <t>b12308ca-5017-4f15-9e3a-b3693829e7e3</t>
  </si>
  <si>
    <t>Default to Microsoft-managed keys for principal encryption functionality and use customer-managed keys when required.</t>
  </si>
  <si>
    <t>16183687-a047-47a2-8994-5bda43334f24</t>
  </si>
  <si>
    <t>Use a vault per application per environment per region.</t>
  </si>
  <si>
    <t>91163418-2ba5-4275-8694-4008be7d7e48</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</si>
  <si>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</si>
  <si>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</si>
  <si>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Governance</t>
  </si>
  <si>
    <t>Leverage Azure Policy</t>
  </si>
  <si>
    <t>5c986cb2-9131-456a-8247-6e49f541acdc</t>
  </si>
  <si>
    <t>Identify required Azure tags and use the append policy mode to enforce usage.</t>
  </si>
  <si>
    <t>e979377b-cdb3-4751-ab2a-b13ada6e55d7</t>
  </si>
  <si>
    <t>Map regulatory and compliance requirements to Azure Policy definitions and Azure role assignments.</t>
  </si>
  <si>
    <t>d8a2adb1-17d6-4326-af62-5ca44e5695f2</t>
  </si>
  <si>
    <t>Establish Azure Policy definitions at the top-level root management group so that they can be assigned at inherited scopes</t>
  </si>
  <si>
    <t>223ace8c-b123-408c-a501-7f154e3ab369</t>
  </si>
  <si>
    <t>Manage policy assignments at the highest appropriate level with exclusions at bottom levels, if required</t>
  </si>
  <si>
    <t>3829e7e3-1618-4368-9a04-77a209945bda</t>
  </si>
  <si>
    <t>Use Azure Policy to control resource provider registrations at the subscription and/or management group levels</t>
  </si>
  <si>
    <t>43334f24-9116-4341-a2ba-527526944008</t>
  </si>
  <si>
    <t>Use built-in policies where possible to minimize operational overhead.</t>
  </si>
  <si>
    <t>be7d7e48-4327-46d8-adc0-55bcf619e8a1</t>
  </si>
  <si>
    <t>Assign the built-in Policy Contributor role at a particular scope to enable application-level governance.</t>
  </si>
  <si>
    <t>3f988795-25d6-4268-a6d7-0ba6c97be995</t>
  </si>
  <si>
    <t>Limit the number of Azure Policy assignments made at the root management group scope to avoid managing through exclusions at inherited scopes.</t>
  </si>
  <si>
    <t>19048384-5c98-46cb-8913-156a12476e49</t>
  </si>
  <si>
    <t>Use Azure policies to automatically deploy software configurations through VM extensions and enforce a compliant baseline VM configuration.</t>
  </si>
  <si>
    <t>f541acdc-e979-4377-acdb-3751ab2ab13a</t>
  </si>
  <si>
    <t>Monitor VM security configuration drift via Azure Policy.</t>
  </si>
  <si>
    <t>da6e55d7-d8a2-4adb-817d-6326af625ca4</t>
  </si>
  <si>
    <t>Use Azure AD reporting capabilities to generate access control audit reports.</t>
  </si>
  <si>
    <t>4e5695f2-223a-4ce8-ab12-308ca5017f15</t>
  </si>
  <si>
    <t>Export Azure activity logs to Azure Monitor Logs for long-term data retention. Export to Azure Storage for long-term storage beyond two years, if necessary.</t>
  </si>
  <si>
    <t>4e3ab369-3829-4e7e-9161-83687a0477a2</t>
  </si>
  <si>
    <t>Enable Security Center Standard for all subscriptions.</t>
  </si>
  <si>
    <t>09945bda-4333-44f2-9911-634182ba5275</t>
  </si>
  <si>
    <t>Monitor base operating system patching drift via Azure Monitor Logs and Azure Security Center.</t>
  </si>
  <si>
    <t>15833ee7-ad6c-46d3-9331-65c7acbe44ab</t>
  </si>
  <si>
    <t>Connect default resource configurations to a centralized Azure Monitor Log Analytics workspace.</t>
  </si>
  <si>
    <t>e5f8d79f-2e87-4768-924c-516775c6ea95</t>
  </si>
  <si>
    <t>Determine the incident response plan for Azure services before allowing it into production.</t>
  </si>
  <si>
    <t>b86ad884-08e3-4727-94b8-75ba18f20459</t>
  </si>
  <si>
    <t>Implement a zero-trust approach for access to the Azure platform, where appropriate.</t>
  </si>
  <si>
    <t>01365d38-e43f-49cc-ad86-8266abca264f</t>
  </si>
  <si>
    <t>Plan how new azure services will be implemented</t>
  </si>
  <si>
    <t>9a19bf39-c95d-444c-9c89-19ca1f6d5215</t>
  </si>
  <si>
    <t>Plan how service request will be fullfilled for Azure services</t>
  </si>
  <si>
    <t>ae514b93-3d45-485e-8112-9bd7ba012f7b</t>
  </si>
  <si>
    <t>Configure Azure policy - Learn | Microsoft Docs</t>
  </si>
  <si>
    <t>Configure Azure Monitor - Learn | Microsoft Docs</t>
  </si>
  <si>
    <t>Cloud-native security operations with Microsoft Sentinel - Learn | Microsoft Docs</t>
  </si>
  <si>
    <t>Monitor the usage, performance, and availability of resources with Azure Monitor - Learn | Microsoft Docs</t>
  </si>
  <si>
    <t>Architect migration, business continuity, and disaster recovery in Azure learning path - Learn | Microsoft Docs</t>
  </si>
  <si>
    <t>Secure your cloud data in Azure learning path - Learn | Microsoft Docs</t>
  </si>
  <si>
    <t>AZ-305: Design identity, governance, and monitor solutions - Learn | Microsoft Docs</t>
  </si>
  <si>
    <t>Architect infrastructure operations in Azure learning path - Learn | Microsoft Docs</t>
  </si>
  <si>
    <t>Monitor and report on security events in Azure AD - Learn | Microsoft Docs</t>
  </si>
  <si>
    <t>Improve your cloud security posture with Azure Security Center - Learn | Microsoft Docs</t>
  </si>
  <si>
    <t>Implement Windows Server IaaS VM Security - Learn | Microsoft Docs</t>
  </si>
  <si>
    <t>Manage security operations in Azure - Learn | Microsoft Docs</t>
  </si>
  <si>
    <t>Introduction to Azure Policy - Learn | Microsoft Docs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</si>
</sst>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19"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theme="1"/>
      <name val="Consolas"/>
      <family val="3"/>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33">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 fillId="0" borderId="0" xfId="1" applyFill="1" applyBorder="1" applyAlignment="1">
      <alignment vertical="center"/>
    </xf>
    <xf numFmtId="0" fontId="0" fillId="0" borderId="0" xfId="0" applyFill="1"/>
    <xf numFmtId="0" fontId="13" fillId="0" borderId="0" xfId="2" applyFont="1" applyFill="1" applyBorder="1" applyAlignment="1">
      <alignment horizontal="left" vertical="center"/>
    </xf>
    <xf numFmtId="0" fontId="14" fillId="0" borderId="0" xfId="0" applyFont="1" applyAlignment="1">
      <alignment horizontal="left" vertical="top"/>
    </xf>
    <xf numFmtId="0" fontId="16" fillId="5" borderId="0" xfId="0" applyFont="1" applyFill="1" applyAlignment="1">
      <alignment horizontal="left" vertical="top"/>
    </xf>
    <xf numFmtId="11" fontId="14" fillId="0" borderId="0" xfId="0" applyNumberFormat="1" applyFont="1" applyAlignment="1">
      <alignment horizontal="left" vertical="top"/>
    </xf>
    <xf numFmtId="164" fontId="18" fillId="0" borderId="0" xfId="0" applyNumberFormat="1" applyFont="1"/>
    <xf numFmtId="0" fontId="17" fillId="0" borderId="0" xfId="0" applyFont="1" applyAlignment="1">
      <alignment horizontal="center" vertical="center" wrapText="1"/>
    </xf>
    <xf numFmtId="0" fontId="0" fillId="0" borderId="0" xfId="0"/>
    <xf numFmtId="0" fontId="1" fillId="0" borderId="0" xfId="1" applyAlignment="1">
      <alignment horizontal="left" vertical="top"/>
    </xf>
    <xf numFmtId="0" fontId="0" fillId="0" borderId="0" xfId="0" quotePrefix="1"/>
    <xf numFmtId="0" fontId="3"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horizontal="left"/>
    </xf>
    <xf numFmtId="0" fontId="1" fillId="0" borderId="0" xfId="1"/>
  </cellXfs>
  <cellStyles count="4">
    <cellStyle name="Hyperlink" xfId="1" builtinId="8"/>
    <cellStyle name="Normal" xfId="0" builtinId="0"/>
    <cellStyle name="Note" xfId="2" builtinId="10"/>
    <cellStyle name="Percent" xfId="3" builtinId="5"/>
  </cellStyles>
  <dxfs count="20">
    <dxf>
      <fill>
        <patternFill>
          <bgColor rgb="FFFF0000"/>
        </patternFill>
      </fill>
    </dxf>
    <dxf>
      <fill>
        <patternFill>
          <bgColor theme="2"/>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ont>
        <color theme="0" tint="-0.34998626667073579"/>
      </font>
      <fill>
        <patternFill>
          <bgColor theme="2"/>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149</c:v>
                </c:pt>
                <c:pt idx="2">
                  <c:v>2</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161</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149</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2</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Dashboard!$H$6:$H$13</c:f>
              <c:strCache>
                <c:ptCount val="5"/>
                <c:pt idx="0">
                  <c:v>Identity</c:v>
                </c:pt>
                <c:pt idx="1">
                  <c:v>Networking</c:v>
                </c:pt>
                <c:pt idx="2">
                  <c:v>Security</c:v>
                </c:pt>
                <c:pt idx="3">
                  <c:v>Management</c:v>
                </c:pt>
                <c:pt idx="4">
                  <c:v>Subscriptions</c:v>
                </c:pt>
              </c:strCache>
            </c:strRef>
          </c:cat>
          <c:val>
            <c:numRef>
              <c:f>Dashboard!$M$6:$M$13</c:f>
              <c:numCache>
                <c:formatCode>General</c:formatCode>
                <c:ptCount val="8"/>
                <c:pt idx="0">
                  <c:v>14</c:v>
                </c:pt>
                <c:pt idx="1">
                  <c:v>81</c:v>
                </c:pt>
                <c:pt idx="2">
                  <c:v>32</c:v>
                </c:pt>
                <c:pt idx="3">
                  <c:v>18</c:v>
                </c:pt>
                <c:pt idx="4">
                  <c:v>16</c:v>
                </c:pt>
                <c:pt idx="5">
                  <c:v>0</c:v>
                </c:pt>
                <c:pt idx="6">
                  <c:v>0</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Dashboard!$I$6:$I$13</c:f>
              <c:numCache>
                <c:formatCode>General</c:formatCode>
                <c:ptCount val="8"/>
                <c:pt idx="0">
                  <c:v>14</c:v>
                </c:pt>
                <c:pt idx="1">
                  <c:v>81</c:v>
                </c:pt>
                <c:pt idx="2">
                  <c:v>32</c:v>
                </c:pt>
                <c:pt idx="3">
                  <c:v>18</c:v>
                </c:pt>
                <c:pt idx="4">
                  <c:v>16</c:v>
                </c:pt>
                <c:pt idx="5">
                  <c:v>0</c:v>
                </c:pt>
                <c:pt idx="6">
                  <c:v>0</c:v>
                </c:pt>
                <c:pt idx="7">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Dashboard!$J$6:$J$13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Dashboard!$S$20</c:f>
              <c:strCache>
                <c:ptCount val="1"/>
                <c:pt idx="0">
                  <c:v>Progress</c:v>
                </c:pt>
              </c:strCache>
            </c:strRef>
          </c:tx>
          <c:spPr>
            <a:solidFill>
              <a:schemeClr val="accent1"/>
            </a:solidFill>
            <a:ln>
              <a:solidFill>
                <a:schemeClr val="accent2"/>
              </a:solidFill>
            </a:ln>
            <a:effectLst/>
          </c:spPr>
          <c:cat>
            <c:strRef>
              <c:f>Dashboard!$N$21:$N$28</c:f>
              <c:strCache>
                <c:ptCount val="5"/>
                <c:pt idx="0">
                  <c:v>Identity</c:v>
                </c:pt>
                <c:pt idx="1">
                  <c:v>Networking</c:v>
                </c:pt>
                <c:pt idx="2">
                  <c:v>Security</c:v>
                </c:pt>
                <c:pt idx="3">
                  <c:v>Management</c:v>
                </c:pt>
                <c:pt idx="4">
                  <c:v>Subscriptions</c:v>
                </c:pt>
              </c:strCache>
            </c:strRef>
          </c:cat>
          <c:val>
            <c:numRef>
              <c:f>Dashboard!$S$21:$S$28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31</xdr:row>
      <xdr:rowOff>180974</xdr:rowOff>
    </xdr:from>
    <xdr:to>
      <xdr:col>11</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17</xdr:row>
      <xdr:rowOff>57150</xdr:rowOff>
    </xdr:from>
    <xdr:to>
      <xdr:col>25</xdr:col>
      <xdr:colOff>447675</xdr:colOff>
      <xdr:row>25</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31</xdr:row>
      <xdr:rowOff>180975</xdr:rowOff>
    </xdr:from>
    <xdr:to>
      <xdr:col>6</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15</xdr:row>
      <xdr:rowOff>28574</xdr:rowOff>
    </xdr:from>
    <xdr:to>
      <xdr:col>11</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576263</xdr:colOff>
      <xdr:row>29</xdr:row>
      <xdr:rowOff>150019</xdr:rowOff>
    </xdr:from>
    <xdr:to>
      <xdr:col>20</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4763</xdr:rowOff>
    </xdr:from>
    <xdr:to>
      <xdr:col>2</xdr:col>
      <xdr:colOff>171822</xdr:colOff>
      <xdr:row>1</xdr:row>
      <xdr:rowOff>103046</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63"/>
          <a:ext cx="3140289" cy="1644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2933700</xdr:colOff>
          <xdr:row>0</xdr:row>
          <xdr:rowOff>619125</xdr:rowOff>
        </xdr:from>
        <xdr:to>
          <xdr:col>7</xdr:col>
          <xdr:colOff>152400</xdr:colOff>
          <xdr:row>0</xdr:row>
          <xdr:rowOff>876300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2914650</xdr:colOff>
          <xdr:row>0</xdr:row>
          <xdr:rowOff>295275</xdr:rowOff>
        </xdr:from>
        <xdr:to>
          <xdr:col>7</xdr:col>
          <xdr:colOff>171450</xdr:colOff>
          <xdr:row>0</xdr:row>
          <xdr:rowOff>571500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5867400</xdr:colOff>
          <xdr:row>0</xdr:row>
          <xdr:rowOff>571500</xdr:rowOff>
        </xdr:from>
        <xdr:to>
          <xdr:col>3</xdr:col>
          <xdr:colOff>1943100</xdr:colOff>
          <xdr:row>0</xdr:row>
          <xdr:rowOff>1047750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2676525</xdr:colOff>
          <xdr:row>0</xdr:row>
          <xdr:rowOff>180975</xdr:rowOff>
        </xdr:from>
        <xdr:to>
          <xdr:col>7</xdr:col>
          <xdr:colOff>619125</xdr:colOff>
          <xdr:row>0</xdr:row>
          <xdr:rowOff>1314450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5572125</xdr:colOff>
          <xdr:row>0</xdr:row>
          <xdr:rowOff>142875</xdr:rowOff>
        </xdr:from>
        <xdr:to>
          <xdr:col>6</xdr:col>
          <xdr:colOff>228600</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Easy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2924175</xdr:colOff>
          <xdr:row>0</xdr:row>
          <xdr:rowOff>952500</xdr:rowOff>
        </xdr:from>
        <xdr:to>
          <xdr:col>7</xdr:col>
          <xdr:colOff>152400</xdr:colOff>
          <xdr:row>0</xdr:row>
          <xdr:rowOff>1190625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Graph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azure/networking/" TargetMode="External"/><Relationship Id="rId299" Type="http://schemas.openxmlformats.org/officeDocument/2006/relationships/ctrlProp" Target="../ctrlProps/ctrlProp4.xml"/><Relationship Id="rId21" Type="http://schemas.openxmlformats.org/officeDocument/2006/relationships/hyperlink" Target="https://docs.microsoft.com/azure/active-directory-domain-services/overview" TargetMode="External"/><Relationship Id="rId63" Type="http://schemas.openxmlformats.org/officeDocument/2006/relationships/hyperlink" Target="https://docs.microsoft.com/en-gb/learn/paths/architect-network-infrastructure/" TargetMode="External"/><Relationship Id="rId159" Type="http://schemas.openxmlformats.org/officeDocument/2006/relationships/hyperlink" Target="https://azure.microsoft.com/solutions/network-appliances/" TargetMode="External"/><Relationship Id="rId170" Type="http://schemas.openxmlformats.org/officeDocument/2006/relationships/hyperlink" Target="https://docs.microsoft.com/learn/paths/secure-networking-infrastructure/" TargetMode="External"/><Relationship Id="rId226" Type="http://schemas.openxmlformats.org/officeDocument/2006/relationships/hyperlink" Target="https://docs.microsoft.com/azure/key-vault/general/best-practices" TargetMode="External"/><Relationship Id="rId268" Type="http://schemas.openxmlformats.org/officeDocument/2006/relationships/hyperlink" Target="https://docs.microsoft.com/en-us/learn/paths/secure-your-cloud-data/" TargetMode="External"/><Relationship Id="rId32" Type="http://schemas.openxmlformats.org/officeDocument/2006/relationships/hyperlink" Target="https://docs.microsoft.com/learn/paths/implement-resource-mgmt-security/" TargetMode="External"/><Relationship Id="rId74" Type="http://schemas.openxmlformats.org/officeDocument/2006/relationships/hyperlink" Target="https://docs.microsoft.com/azure/virtual-wan/virtual-wan-about" TargetMode="External"/><Relationship Id="rId128" Type="http://schemas.openxmlformats.org/officeDocument/2006/relationships/hyperlink" Target="https://docs.microsoft.com/learn/paths/implement-network-security/?source=learn" TargetMode="External"/><Relationship Id="rId5" Type="http://schemas.openxmlformats.org/officeDocument/2006/relationships/hyperlink" Target="https://docs.microsoft.com/azure/active-directory/conditional-access/overview" TargetMode="External"/><Relationship Id="rId181" Type="http://schemas.openxmlformats.org/officeDocument/2006/relationships/hyperlink" Target="https://docs.microsoft.com/azure/virtual-network/network-security-group-how-it-works" TargetMode="External"/><Relationship Id="rId237" Type="http://schemas.openxmlformats.org/officeDocument/2006/relationships/hyperlink" Target="https://docs.microsoft.com/azure/governance/policy/overview" TargetMode="External"/><Relationship Id="rId279" Type="http://schemas.openxmlformats.org/officeDocument/2006/relationships/hyperlink" Target="https://docs.microsoft.com/en-us/learn/paths/architect-infrastructure-operations/" TargetMode="External"/><Relationship Id="rId43" Type="http://schemas.openxmlformats.org/officeDocument/2006/relationships/hyperlink" Target="https://docs.microsoft.com/azure/azure-resource-manager/management/azure-subscription-service-limits" TargetMode="External"/><Relationship Id="rId139" Type="http://schemas.openxmlformats.org/officeDocument/2006/relationships/hyperlink" Target="https://docs.microsoft.com/azure/app-service/networking-features" TargetMode="External"/><Relationship Id="rId290" Type="http://schemas.openxmlformats.org/officeDocument/2006/relationships/hyperlink" Target="https://docs.microsoft.com/en-us/learn/paths/manage-security-operations/" TargetMode="External"/><Relationship Id="rId85" Type="http://schemas.openxmlformats.org/officeDocument/2006/relationships/hyperlink" Target="https://docs.microsoft.com/azure/virtual-wan/virtual-wan-about" TargetMode="External"/><Relationship Id="rId150" Type="http://schemas.openxmlformats.org/officeDocument/2006/relationships/hyperlink" Target="https://docs.microsoft.com/learn/paths/secure-application-delivery/" TargetMode="External"/><Relationship Id="rId192" Type="http://schemas.openxmlformats.org/officeDocument/2006/relationships/hyperlink" Target="https://docs.microsoft.com/azure/expressroute/expressroute-erdirect-about" TargetMode="External"/><Relationship Id="rId206" Type="http://schemas.openxmlformats.org/officeDocument/2006/relationships/hyperlink" Target="https://docs.microsoft.com/learn/paths/implement-resource-mgmt-security/" TargetMode="External"/><Relationship Id="rId248" Type="http://schemas.openxmlformats.org/officeDocument/2006/relationships/hyperlink" Target="https://docs.microsoft.com/azure/security-center/" TargetMode="External"/><Relationship Id="rId12" Type="http://schemas.openxmlformats.org/officeDocument/2006/relationships/hyperlink" Target="https://docs.microsoft.com/learn/modules/azure-ad-privileged-identity-management/" TargetMode="External"/><Relationship Id="rId108" Type="http://schemas.openxmlformats.org/officeDocument/2006/relationships/hyperlink" Target="https://docs.microsoft.com/learn/modules/design-implement-azure-expressroute/" TargetMode="External"/><Relationship Id="rId54" Type="http://schemas.openxmlformats.org/officeDocument/2006/relationships/hyperlink" Target="https://docs.microsoft.com/azure/cloud-adoption-framework/decision-guides/resource-tagging/?toc=/azure/azure-resource-manager/management/toc.json" TargetMode="External"/><Relationship Id="rId96" Type="http://schemas.openxmlformats.org/officeDocument/2006/relationships/hyperlink" Target="https://docs.microsoft.com/azure/expressroute/expressroute-faqs" TargetMode="External"/><Relationship Id="rId161" Type="http://schemas.openxmlformats.org/officeDocument/2006/relationships/hyperlink" Target="https://docs.microsoft.com/azure/ddos-protection/ddos-protection-overview" TargetMode="External"/><Relationship Id="rId217" Type="http://schemas.openxmlformats.org/officeDocument/2006/relationships/hyperlink" Target="https://docs.microsoft.com/azure/sentinel/quickstart-onboard" TargetMode="External"/><Relationship Id="rId6" Type="http://schemas.openxmlformats.org/officeDocument/2006/relationships/hyperlink" Target="https://docs.microsoft.com/learn/modules/plan-implement-administer-conditional-access/" TargetMode="External"/><Relationship Id="rId238" Type="http://schemas.openxmlformats.org/officeDocument/2006/relationships/hyperlink" Target="https://docs.microsoft.com/azure/cloud-adoption-framework/ready/enterprise-scale/security-governance-and-compliance" TargetMode="External"/><Relationship Id="rId259" Type="http://schemas.openxmlformats.org/officeDocument/2006/relationships/hyperlink" Target="https://docs.microsoft.com/en-us/learn/paths/monitor-usage-performance-availability-resources-azure-monitor/" TargetMode="External"/><Relationship Id="rId23" Type="http://schemas.openxmlformats.org/officeDocument/2006/relationships/hyperlink" Target="https://docs.microsoft.com/azure/active-directory-domain-services/overview" TargetMode="External"/><Relationship Id="rId119" Type="http://schemas.openxmlformats.org/officeDocument/2006/relationships/hyperlink" Target="https://docs.microsoft.com/azure/expressroute/expressroute-monitoring-metrics-alerts" TargetMode="External"/><Relationship Id="rId270" Type="http://schemas.openxmlformats.org/officeDocument/2006/relationships/hyperlink" Target="https://docs.microsoft.com/en-us/learn/paths/secure-your-cloud-data/" TargetMode="External"/><Relationship Id="rId291" Type="http://schemas.openxmlformats.org/officeDocument/2006/relationships/hyperlink" Target="https://docs.microsoft.com/en-us/learn/paths/manage-security-operations/" TargetMode="External"/><Relationship Id="rId44" Type="http://schemas.openxmlformats.org/officeDocument/2006/relationships/hyperlink" Target="https://docs.microsoft.com/azure/cost-management-billing/reservations/save-compute-costs-reservations" TargetMode="External"/><Relationship Id="rId65" Type="http://schemas.openxmlformats.org/officeDocument/2006/relationships/hyperlink" Target="https://docs.microsoft.com/en-gb/learn/paths/az-104-manage-virtual-networks/" TargetMode="External"/><Relationship Id="rId86" Type="http://schemas.openxmlformats.org/officeDocument/2006/relationships/hyperlink" Target="https://docs.microsoft.com/azure/virtual-wan/virtual-wan-about" TargetMode="External"/><Relationship Id="rId130" Type="http://schemas.openxmlformats.org/officeDocument/2006/relationships/hyperlink" Target="https://docs.microsoft.com/learn/paths/secure-application-delivery/" TargetMode="External"/><Relationship Id="rId151" Type="http://schemas.openxmlformats.org/officeDocument/2006/relationships/hyperlink" Target="https://docs.microsoft.com/azure/web-application-firewall/ag/ag-overview" TargetMode="External"/><Relationship Id="rId172" Type="http://schemas.openxmlformats.org/officeDocument/2006/relationships/hyperlink" Target="https://docs.microsoft.com/learn/paths/secure-networking-infrastructure/" TargetMode="External"/><Relationship Id="rId193" Type="http://schemas.openxmlformats.org/officeDocument/2006/relationships/hyperlink" Target="https://docs.microsoft.com/learn/paths/implement-network-security/" TargetMode="External"/><Relationship Id="rId207" Type="http://schemas.openxmlformats.org/officeDocument/2006/relationships/hyperlink" Target="https://docs.microsoft.com/azure/azure-monitor/logs/design-logs-deployment" TargetMode="External"/><Relationship Id="rId228" Type="http://schemas.openxmlformats.org/officeDocument/2006/relationships/hyperlink" Target="https://docs.microsoft.com/azure/key-vault/general/best-practices" TargetMode="External"/><Relationship Id="rId249" Type="http://schemas.openxmlformats.org/officeDocument/2006/relationships/hyperlink" Target="https://docs.microsoft.com/azure/security-center/" TargetMode="External"/><Relationship Id="rId13" Type="http://schemas.openxmlformats.org/officeDocument/2006/relationships/hyperlink" Target="https://docs.microsoft.com/azure/active-directory-b2c/user-overview" TargetMode="External"/><Relationship Id="rId109" Type="http://schemas.openxmlformats.org/officeDocument/2006/relationships/hyperlink" Target="https://docs.microsoft.com/azure/networking/" TargetMode="External"/><Relationship Id="rId260" Type="http://schemas.openxmlformats.org/officeDocument/2006/relationships/hyperlink" Target="https://docs.microsoft.com/en-us/learn/paths/architect-migration-bcdr/" TargetMode="External"/><Relationship Id="rId281" Type="http://schemas.openxmlformats.org/officeDocument/2006/relationships/hyperlink" Target="https://docs.microsoft.com/en-us/learn/paths/architect-infrastructure-operations/" TargetMode="External"/><Relationship Id="rId34" Type="http://schemas.openxmlformats.org/officeDocument/2006/relationships/hyperlink" Target="https://docs.microsoft.com/learn/paths/enterprise-scale-architecture/" TargetMode="External"/><Relationship Id="rId55" Type="http://schemas.openxmlformats.org/officeDocument/2006/relationships/hyperlink" Target="https://docs.microsoft.com/learn/paths/implement-resource-mgmt-security/" TargetMode="External"/><Relationship Id="rId76" Type="http://schemas.openxmlformats.org/officeDocument/2006/relationships/hyperlink" Target="https://docs.microsoft.com/azure/virtual-wan/virtual-wan-about" TargetMode="External"/><Relationship Id="rId97" Type="http://schemas.openxmlformats.org/officeDocument/2006/relationships/hyperlink" Target="https://docs.microsoft.com/learn/modules/design-implement-azure-expressroute/" TargetMode="External"/><Relationship Id="rId120" Type="http://schemas.openxmlformats.org/officeDocument/2006/relationships/hyperlink" Target="https://docs.microsoft.com/learn/modules/design-implement-azure-expressroute/" TargetMode="External"/><Relationship Id="rId141" Type="http://schemas.openxmlformats.org/officeDocument/2006/relationships/hyperlink" Target="https://docs.microsoft.com/azure/app-service/networking-features" TargetMode="External"/><Relationship Id="rId7" Type="http://schemas.openxmlformats.org/officeDocument/2006/relationships/hyperlink" Target="https://docs.microsoft.com/azure/active-directory/authentication/concept-mfa-howitworks" TargetMode="External"/><Relationship Id="rId162" Type="http://schemas.openxmlformats.org/officeDocument/2006/relationships/hyperlink" Target="https://docs.microsoft.com/learn/paths/secure-application-delivery/" TargetMode="External"/><Relationship Id="rId183" Type="http://schemas.openxmlformats.org/officeDocument/2006/relationships/hyperlink" Target="https://docs.microsoft.com/azure/virtual-network/network-security-group-how-it-works" TargetMode="External"/><Relationship Id="rId218" Type="http://schemas.openxmlformats.org/officeDocument/2006/relationships/hyperlink" Target="https://docs.microsoft.com/azure/azure-monitor/logs/design-logs-deployment" TargetMode="External"/><Relationship Id="rId239" Type="http://schemas.openxmlformats.org/officeDocument/2006/relationships/hyperlink" Target="https://docs.microsoft.com/azure/governance/policy/overview" TargetMode="External"/><Relationship Id="rId250" Type="http://schemas.openxmlformats.org/officeDocument/2006/relationships/hyperlink" Target="https://docs.microsoft.com/azure/azure-monitor/logs/design-logs-deployment" TargetMode="External"/><Relationship Id="rId271" Type="http://schemas.openxmlformats.org/officeDocument/2006/relationships/hyperlink" Target="https://docs.microsoft.com/en-us/learn/paths/secure-your-cloud-data/" TargetMode="External"/><Relationship Id="rId292" Type="http://schemas.openxmlformats.org/officeDocument/2006/relationships/hyperlink" Target="https://docs.microsoft.com/en-us/learn/modules/intro-to-azure-policy/" TargetMode="External"/><Relationship Id="rId24" Type="http://schemas.openxmlformats.org/officeDocument/2006/relationships/hyperlink" Target="https://docs.microsoft.com/en-gb/learn/modules/implement-hybrid-identity-windows-server/" TargetMode="External"/><Relationship Id="rId45" Type="http://schemas.openxmlformats.org/officeDocument/2006/relationships/hyperlink" Target="https://docs.microsoft.com/en-gb/learn/paths/improve-reliability-modern-operations/" TargetMode="External"/><Relationship Id="rId66" Type="http://schemas.openxmlformats.org/officeDocument/2006/relationships/hyperlink" Target="https://docs.microsoft.com/azure/virtual-network/virtual-networks-name-resolution-for-vms-and-role-instances" TargetMode="External"/><Relationship Id="rId87" Type="http://schemas.openxmlformats.org/officeDocument/2006/relationships/hyperlink" Target="https://docs.microsoft.com/azure/virtual-wan/virtual-wan-about" TargetMode="External"/><Relationship Id="rId110" Type="http://schemas.openxmlformats.org/officeDocument/2006/relationships/hyperlink" Target="https://docs.microsoft.com/learn/modules/design-implement-azure-expressroute/" TargetMode="External"/><Relationship Id="rId131" Type="http://schemas.openxmlformats.org/officeDocument/2006/relationships/hyperlink" Target="https://docs.microsoft.com/azure/app-service/networking-features" TargetMode="External"/><Relationship Id="rId152" Type="http://schemas.openxmlformats.org/officeDocument/2006/relationships/hyperlink" Target="https://docs.microsoft.com/learn/paths/secure-application-delivery/" TargetMode="External"/><Relationship Id="rId173" Type="http://schemas.openxmlformats.org/officeDocument/2006/relationships/hyperlink" Target="https://docs.microsoft.com/azure/web-application-firewall/ag/ag-overview" TargetMode="External"/><Relationship Id="rId194" Type="http://schemas.openxmlformats.org/officeDocument/2006/relationships/hyperlink" Target="https://docs.microsoft.com/azure/virtual-network/virtual-network-peering-overview" TargetMode="External"/><Relationship Id="rId208" Type="http://schemas.openxmlformats.org/officeDocument/2006/relationships/hyperlink" Target="https://docs.microsoft.com/learn/paths/azure-administrator-manage-compute-resources/" TargetMode="External"/><Relationship Id="rId229" Type="http://schemas.openxmlformats.org/officeDocument/2006/relationships/hyperlink" Target="https://docs.microsoft.com/azure/key-vault/general/best-practices" TargetMode="External"/><Relationship Id="rId240" Type="http://schemas.openxmlformats.org/officeDocument/2006/relationships/hyperlink" Target="https://docs.microsoft.com/azure/governance/policy/overview" TargetMode="External"/><Relationship Id="rId261" Type="http://schemas.openxmlformats.org/officeDocument/2006/relationships/hyperlink" Target="https://docs.microsoft.com/en-us/learn/paths/architect-migration-bcdr/" TargetMode="External"/><Relationship Id="rId14" Type="http://schemas.openxmlformats.org/officeDocument/2006/relationships/hyperlink" Target="https://docs.microsoft.com/learn/modules/explore-basic-services-identity-types/" TargetMode="External"/><Relationship Id="rId35" Type="http://schemas.openxmlformats.org/officeDocument/2006/relationships/hyperlink" Target="https://docs.microsoft.com/azure/governance/management-groups/overview" TargetMode="External"/><Relationship Id="rId56" Type="http://schemas.openxmlformats.org/officeDocument/2006/relationships/hyperlink" Target="https://docs.microsoft.com/azure/cloud-adoption-framework/ready/azure-best-practices/plan-for-ip-addressing" TargetMode="External"/><Relationship Id="rId77" Type="http://schemas.openxmlformats.org/officeDocument/2006/relationships/hyperlink" Target="https://docs.microsoft.com/learn/modules/configure-expressroute-virtual-wan/" TargetMode="External"/><Relationship Id="rId100" Type="http://schemas.openxmlformats.org/officeDocument/2006/relationships/hyperlink" Target="https://docs.microsoft.com/azure/azure-monitor/insights/network-insights-overview" TargetMode="External"/><Relationship Id="rId282" Type="http://schemas.openxmlformats.org/officeDocument/2006/relationships/hyperlink" Target="https://docs.microsoft.com/en-us/learn/paths/architect-infrastructure-operations/" TargetMode="External"/><Relationship Id="rId8" Type="http://schemas.openxmlformats.org/officeDocument/2006/relationships/hyperlink" Target="https://docs.microsoft.com/en-gb/learn/modules/secure-aad-users-with-mfa/" TargetMode="External"/><Relationship Id="rId98" Type="http://schemas.openxmlformats.org/officeDocument/2006/relationships/hyperlink" Target="https://docs.microsoft.com/azure/expressroute/expressroute-faqs" TargetMode="External"/><Relationship Id="rId121" Type="http://schemas.openxmlformats.org/officeDocument/2006/relationships/hyperlink" Target="https://docs.microsoft.com/azure/expressroute/how-to-configure-connection-monitor" TargetMode="External"/><Relationship Id="rId142" Type="http://schemas.openxmlformats.org/officeDocument/2006/relationships/hyperlink" Target="https://docs.microsoft.com/en-gb/learn/paths/secure-networking-infrastructure/" TargetMode="External"/><Relationship Id="rId163" Type="http://schemas.openxmlformats.org/officeDocument/2006/relationships/hyperlink" Target="https://docs.microsoft.com/azure/cloud-adoption-framework/ready/azure-setup-guide/organize-resources?tabs=AzureManagementGroupsAndHierarchy" TargetMode="External"/><Relationship Id="rId184" Type="http://schemas.openxmlformats.org/officeDocument/2006/relationships/hyperlink" Target="https://docs.microsoft.com/learn/modules/design-implement-network-monitoring/" TargetMode="External"/><Relationship Id="rId219" Type="http://schemas.openxmlformats.org/officeDocument/2006/relationships/hyperlink" Target="https://docs.microsoft.com/azure/cloud-adoption-framework/ready/azure-setup-guide/monitoring-reporting?tabs=AzureMonitor" TargetMode="External"/><Relationship Id="rId230" Type="http://schemas.openxmlformats.org/officeDocument/2006/relationships/hyperlink" Target="https://docs.microsoft.com/azure/key-vault/general/best-practices" TargetMode="External"/><Relationship Id="rId251" Type="http://schemas.openxmlformats.org/officeDocument/2006/relationships/hyperlink" Target="https://docs.microsoft.com/security/benchmark/azure/security-control-incident-response" TargetMode="External"/><Relationship Id="rId25" Type="http://schemas.openxmlformats.org/officeDocument/2006/relationships/hyperlink" Target="https://docs.microsoft.com/azure/architecture/reference-architectures/identity/adds-extend-domain" TargetMode="External"/><Relationship Id="rId46" Type="http://schemas.openxmlformats.org/officeDocument/2006/relationships/hyperlink" Target="https://docs.microsoft.com/azure/architecture/framework/scalability/design-capacity" TargetMode="External"/><Relationship Id="rId67" Type="http://schemas.openxmlformats.org/officeDocument/2006/relationships/hyperlink" Target="https://docs.microsoft.com/en-gb/learn/paths/az-104-manage-virtual-networks/" TargetMode="External"/><Relationship Id="rId272" Type="http://schemas.openxmlformats.org/officeDocument/2006/relationships/hyperlink" Target="https://docs.microsoft.com/en-us/learn/paths/secure-your-cloud-data/" TargetMode="External"/><Relationship Id="rId293" Type="http://schemas.openxmlformats.org/officeDocument/2006/relationships/printerSettings" Target="../printerSettings/printerSettings2.bin"/><Relationship Id="rId88" Type="http://schemas.openxmlformats.org/officeDocument/2006/relationships/hyperlink" Target="https://docs.microsoft.com/azure/cloud-adoption-framework/ready/enterprise-scale/network-topology-and-connectivity" TargetMode="External"/><Relationship Id="rId111" Type="http://schemas.openxmlformats.org/officeDocument/2006/relationships/hyperlink" Target="https://docs.microsoft.com/azure/expressroute/expressroute-routing" TargetMode="External"/><Relationship Id="rId132" Type="http://schemas.openxmlformats.org/officeDocument/2006/relationships/hyperlink" Target="https://docs.microsoft.com/learn/modules/design-implement-azure-expressroute/" TargetMode="External"/><Relationship Id="rId153" Type="http://schemas.openxmlformats.org/officeDocument/2006/relationships/hyperlink" Target="https://docs.microsoft.com/azure/web-application-firewall/ag/ag-overview" TargetMode="External"/><Relationship Id="rId174" Type="http://schemas.openxmlformats.org/officeDocument/2006/relationships/hyperlink" Target="https://docs.microsoft.com/learn/paths/secure-networking-infrastructure/" TargetMode="External"/><Relationship Id="rId195" Type="http://schemas.openxmlformats.org/officeDocument/2006/relationships/hyperlink" Target="https://docs.microsoft.com/learn/modules/design-implement-network-monitoring/" TargetMode="External"/><Relationship Id="rId209" Type="http://schemas.openxmlformats.org/officeDocument/2006/relationships/hyperlink" Target="https://docs.microsoft.com/azure/governance/policy/how-to/guest-configuration-create" TargetMode="External"/><Relationship Id="rId220" Type="http://schemas.openxmlformats.org/officeDocument/2006/relationships/hyperlink" Target="https://docs.microsoft.com/azure/azure-monitor/agents/diagnostics-extension-overview" TargetMode="External"/><Relationship Id="rId241" Type="http://schemas.openxmlformats.org/officeDocument/2006/relationships/hyperlink" Target="https://docs.microsoft.com/azure/governance/policy/overview" TargetMode="External"/><Relationship Id="rId15" Type="http://schemas.openxmlformats.org/officeDocument/2006/relationships/hyperlink" Target="https://docs.microsoft.com/azure/active-directory/fundamentals/active-directory-groups-create-azure-portal" TargetMode="External"/><Relationship Id="rId36" Type="http://schemas.openxmlformats.org/officeDocument/2006/relationships/hyperlink" Target="https://docs.microsoft.com/learn/paths/enterprise-scale-architecture/" TargetMode="External"/><Relationship Id="rId57" Type="http://schemas.openxmlformats.org/officeDocument/2006/relationships/hyperlink" Target="https://docs.microsoft.com/en-gb/learn/paths/architect-network-infrastructure/" TargetMode="External"/><Relationship Id="rId262" Type="http://schemas.openxmlformats.org/officeDocument/2006/relationships/hyperlink" Target="https://docs.microsoft.com/en-us/learn/paths/architect-migration-bcdr/" TargetMode="External"/><Relationship Id="rId283" Type="http://schemas.openxmlformats.org/officeDocument/2006/relationships/hyperlink" Target="https://docs.microsoft.com/en-us/learn/paths/architect-infrastructure-operations/" TargetMode="External"/><Relationship Id="rId78" Type="http://schemas.openxmlformats.org/officeDocument/2006/relationships/hyperlink" Target="https://docs.microsoft.com/azure/virtual-wan/virtual-wan-about" TargetMode="External"/><Relationship Id="rId99" Type="http://schemas.openxmlformats.org/officeDocument/2006/relationships/hyperlink" Target="https://docs.microsoft.com/learn/modules/design-implement-network-monitoring/" TargetMode="External"/><Relationship Id="rId101" Type="http://schemas.openxmlformats.org/officeDocument/2006/relationships/hyperlink" Target="https://docs.microsoft.com/azure/architecture/reference-architectures/hybrid-networking/hub-spoke?tabs=cli" TargetMode="External"/><Relationship Id="rId122" Type="http://schemas.openxmlformats.org/officeDocument/2006/relationships/hyperlink" Target="https://docs.microsoft.com/learn/modules/design-implement-azure-expressroute/" TargetMode="External"/><Relationship Id="rId143" Type="http://schemas.openxmlformats.org/officeDocument/2006/relationships/hyperlink" Target="https://docs.microsoft.com/azure/firewall/" TargetMode="External"/><Relationship Id="rId164" Type="http://schemas.openxmlformats.org/officeDocument/2006/relationships/hyperlink" Target="https://docs.microsoft.com/learn/paths/architect-network-infrastructure/" TargetMode="External"/><Relationship Id="rId185" Type="http://schemas.openxmlformats.org/officeDocument/2006/relationships/hyperlink" Target="https://docs.microsoft.com/azure/virtual-network/network-security-group-how-it-works" TargetMode="External"/><Relationship Id="rId9" Type="http://schemas.openxmlformats.org/officeDocument/2006/relationships/hyperlink" Target="https://docs.microsoft.com/azure/role-based-access-control/overview" TargetMode="External"/><Relationship Id="rId210" Type="http://schemas.openxmlformats.org/officeDocument/2006/relationships/hyperlink" Target="https://docs.microsoft.com/learn/modules/configure-network-watcher/" TargetMode="External"/><Relationship Id="rId26" Type="http://schemas.openxmlformats.org/officeDocument/2006/relationships/hyperlink" Target="https://docs.microsoft.com/en-gb/learn/paths/implement-windows-server-iaas-virtual-machine-identity/" TargetMode="External"/><Relationship Id="rId231" Type="http://schemas.openxmlformats.org/officeDocument/2006/relationships/hyperlink" Target="https://docs.microsoft.com/azure/key-vault/general/best-practices" TargetMode="External"/><Relationship Id="rId252" Type="http://schemas.openxmlformats.org/officeDocument/2006/relationships/hyperlink" Target="https://www.microsoft.com/itshowcase/implementing-a-zero-trust-security-model-at-microsoft" TargetMode="External"/><Relationship Id="rId273" Type="http://schemas.openxmlformats.org/officeDocument/2006/relationships/hyperlink" Target="https://docs.microsoft.com/en-us/learn/paths/secure-your-cloud-data/" TargetMode="External"/><Relationship Id="rId294" Type="http://schemas.openxmlformats.org/officeDocument/2006/relationships/drawing" Target="../drawings/drawing2.xml"/><Relationship Id="rId47" Type="http://schemas.openxmlformats.org/officeDocument/2006/relationships/hyperlink" Target="https://docs.microsoft.com/learn/paths/monitor-usage-performance-availability-resources-azure-monitor/" TargetMode="External"/><Relationship Id="rId68" Type="http://schemas.openxmlformats.org/officeDocument/2006/relationships/hyperlink" Target="https://docs.microsoft.com/azure/virtual-network/virtual-networks-name-resolution-for-vms-and-role-instances" TargetMode="External"/><Relationship Id="rId89" Type="http://schemas.openxmlformats.org/officeDocument/2006/relationships/hyperlink" Target="https://docs.microsoft.com/en-gb/learn/paths/architect-network-infrastructure/" TargetMode="External"/><Relationship Id="rId112" Type="http://schemas.openxmlformats.org/officeDocument/2006/relationships/hyperlink" Target="https://docs.microsoft.com/learn/modules/design-implement-azure-expressroute/" TargetMode="External"/><Relationship Id="rId133" Type="http://schemas.openxmlformats.org/officeDocument/2006/relationships/hyperlink" Target="https://docs.microsoft.com/azure/app-service/networking-features" TargetMode="External"/><Relationship Id="rId154" Type="http://schemas.openxmlformats.org/officeDocument/2006/relationships/hyperlink" Target="https://docs.microsoft.com/learn/paths/secure-application-delivery/" TargetMode="External"/><Relationship Id="rId175" Type="http://schemas.openxmlformats.org/officeDocument/2006/relationships/hyperlink" Target="https://docs.microsoft.com/azure/web-application-firewall/ag/ag-overview" TargetMode="External"/><Relationship Id="rId196" Type="http://schemas.openxmlformats.org/officeDocument/2006/relationships/hyperlink" Target="https://docs.microsoft.com/azure/virtual-wan/virtual-wan-about" TargetMode="External"/><Relationship Id="rId200" Type="http://schemas.openxmlformats.org/officeDocument/2006/relationships/hyperlink" Target="https://docs.microsoft.com/azure/azure-monitor/logs/design-logs-deployment" TargetMode="External"/><Relationship Id="rId16" Type="http://schemas.openxmlformats.org/officeDocument/2006/relationships/hyperlink" Target="https://docs.microsoft.com/en-gb/learn/paths/manage-identity-and-access/" TargetMode="External"/><Relationship Id="rId221" Type="http://schemas.openxmlformats.org/officeDocument/2006/relationships/hyperlink" Target="https://docs.microsoft.com/azure/azure-monitor/alerts/alerts-overview" TargetMode="External"/><Relationship Id="rId242" Type="http://schemas.openxmlformats.org/officeDocument/2006/relationships/hyperlink" Target="https://docs.microsoft.com/azure/governance/policy/overview" TargetMode="External"/><Relationship Id="rId263" Type="http://schemas.openxmlformats.org/officeDocument/2006/relationships/hyperlink" Target="https://docs.microsoft.com/en-us/learn/paths/secure-your-cloud-data/" TargetMode="External"/><Relationship Id="rId284" Type="http://schemas.openxmlformats.org/officeDocument/2006/relationships/hyperlink" Target="https://docs.microsoft.com/en-us/learn/modules/monitor-report-aad-security-events/" TargetMode="External"/><Relationship Id="rId37" Type="http://schemas.openxmlformats.org/officeDocument/2006/relationships/hyperlink" Target="https://docs.microsoft.com/azure/governance/management-groups/overview" TargetMode="External"/><Relationship Id="rId58" Type="http://schemas.openxmlformats.org/officeDocument/2006/relationships/hyperlink" Target="https://docs.microsoft.com/azure/cloud-adoption-framework/ready/azure-best-practices/plan-for-ip-addressing" TargetMode="External"/><Relationship Id="rId79" Type="http://schemas.openxmlformats.org/officeDocument/2006/relationships/hyperlink" Target="https://docs.microsoft.com/learn/modules/design-implement-hybrid-networking/" TargetMode="External"/><Relationship Id="rId102" Type="http://schemas.openxmlformats.org/officeDocument/2006/relationships/hyperlink" Target="https://docs.microsoft.com/learn/modules/design-implement-azure-expressroute/" TargetMode="External"/><Relationship Id="rId123" Type="http://schemas.openxmlformats.org/officeDocument/2006/relationships/hyperlink" Target="https://docs.microsoft.com/azure/networking/" TargetMode="External"/><Relationship Id="rId144" Type="http://schemas.openxmlformats.org/officeDocument/2006/relationships/hyperlink" Target="https://docs.microsoft.com/en-gb/learn/paths/secure-networking-infrastructure/" TargetMode="External"/><Relationship Id="rId90" Type="http://schemas.openxmlformats.org/officeDocument/2006/relationships/hyperlink" Target="https://docs.microsoft.com/azure/architecture/reference-architectures/hybrid-networking/expressroute" TargetMode="External"/><Relationship Id="rId165" Type="http://schemas.openxmlformats.org/officeDocument/2006/relationships/hyperlink" Target="https://docs.microsoft.com/azure/web-application-firewall/ag/ag-overview" TargetMode="External"/><Relationship Id="rId186" Type="http://schemas.openxmlformats.org/officeDocument/2006/relationships/hyperlink" Target="https://docs.microsoft.com/learn/paths/implement-network-security/" TargetMode="External"/><Relationship Id="rId211" Type="http://schemas.openxmlformats.org/officeDocument/2006/relationships/hyperlink" Target="https://docs.microsoft.com/azure/automation/update-management/overview" TargetMode="External"/><Relationship Id="rId232" Type="http://schemas.openxmlformats.org/officeDocument/2006/relationships/hyperlink" Target="https://docs.microsoft.com/azure/key-vault/general/best-practices" TargetMode="External"/><Relationship Id="rId253" Type="http://schemas.openxmlformats.org/officeDocument/2006/relationships/hyperlink" Target="https://docs.microsoft.com/en-us/learn/modules/configure-azure-policy/" TargetMode="External"/><Relationship Id="rId274" Type="http://schemas.openxmlformats.org/officeDocument/2006/relationships/hyperlink" Target="https://docs.microsoft.com/en-us/learn/paths/design-identity-governance-monitor-solutions/" TargetMode="External"/><Relationship Id="rId295" Type="http://schemas.openxmlformats.org/officeDocument/2006/relationships/vmlDrawing" Target="../drawings/vmlDrawing1.vml"/><Relationship Id="rId27" Type="http://schemas.openxmlformats.org/officeDocument/2006/relationships/hyperlink" Target="https://docs.microsoft.com/azure/active-directory/app-proxy/application-proxy" TargetMode="External"/><Relationship Id="rId48" Type="http://schemas.openxmlformats.org/officeDocument/2006/relationships/hyperlink" Target="https://azure.microsoft.com/global-infrastructure/services/" TargetMode="External"/><Relationship Id="rId69" Type="http://schemas.openxmlformats.org/officeDocument/2006/relationships/hyperlink" Target="https://docs.microsoft.com/en-gb/learn/paths/az-104-manage-virtual-networks/" TargetMode="External"/><Relationship Id="rId113" Type="http://schemas.openxmlformats.org/officeDocument/2006/relationships/hyperlink" Target="https://docs.microsoft.com/azure/expressroute/expressroute-routing" TargetMode="External"/><Relationship Id="rId134" Type="http://schemas.openxmlformats.org/officeDocument/2006/relationships/hyperlink" Target="https://docs.microsoft.com/learn/paths/implement-network-security/?source=learn" TargetMode="External"/><Relationship Id="rId80" Type="http://schemas.openxmlformats.org/officeDocument/2006/relationships/hyperlink" Target="https://docs.microsoft.com/azure/virtual-wan/virtual-wan-about" TargetMode="External"/><Relationship Id="rId155" Type="http://schemas.openxmlformats.org/officeDocument/2006/relationships/hyperlink" Target="https://docs.microsoft.com/azure/web-application-firewall/ag/ag-overview" TargetMode="External"/><Relationship Id="rId176" Type="http://schemas.openxmlformats.org/officeDocument/2006/relationships/hyperlink" Target="https://docs.microsoft.com/learn/paths/implement-resource-mgmt-security/" TargetMode="External"/><Relationship Id="rId197" Type="http://schemas.openxmlformats.org/officeDocument/2006/relationships/hyperlink" Target="https://docs.microsoft.com/azure/network-watcher/network-watcher-monitoring-overview" TargetMode="External"/><Relationship Id="rId201" Type="http://schemas.openxmlformats.org/officeDocument/2006/relationships/hyperlink" Target="https://docs.microsoft.com/azure/azure-monitor/logs/design-logs-deployment" TargetMode="External"/><Relationship Id="rId222" Type="http://schemas.openxmlformats.org/officeDocument/2006/relationships/hyperlink" Target="https://docs.microsoft.com/azure/backup/backup-center-overview" TargetMode="External"/><Relationship Id="rId243" Type="http://schemas.openxmlformats.org/officeDocument/2006/relationships/hyperlink" Target="https://docs.microsoft.com/azure/governance/policy/overview" TargetMode="External"/><Relationship Id="rId264" Type="http://schemas.openxmlformats.org/officeDocument/2006/relationships/hyperlink" Target="https://docs.microsoft.com/en-us/learn/paths/secure-your-cloud-data/" TargetMode="External"/><Relationship Id="rId285" Type="http://schemas.openxmlformats.org/officeDocument/2006/relationships/hyperlink" Target="https://docs.microsoft.com/en-us/learn/modules/m365-security-azure-security-center/" TargetMode="External"/><Relationship Id="rId17" Type="http://schemas.openxmlformats.org/officeDocument/2006/relationships/hyperlink" Target="https://docs.microsoft.com/azure/role-based-access-control/custom-roles" TargetMode="External"/><Relationship Id="rId38" Type="http://schemas.openxmlformats.org/officeDocument/2006/relationships/hyperlink" Target="https://docs.microsoft.com/learn/paths/enterprise-scale-architecture/" TargetMode="External"/><Relationship Id="rId59" Type="http://schemas.openxmlformats.org/officeDocument/2006/relationships/hyperlink" Target="https://docs.microsoft.com/en-gb/learn/paths/architect-network-infrastructure/" TargetMode="External"/><Relationship Id="rId103" Type="http://schemas.openxmlformats.org/officeDocument/2006/relationships/hyperlink" Target="https://docs.microsoft.com/azure/expressroute/expressroute-routing" TargetMode="External"/><Relationship Id="rId124" Type="http://schemas.openxmlformats.org/officeDocument/2006/relationships/hyperlink" Target="https://docs.microsoft.com/learn/modules/design-implement-azure-expressroute/" TargetMode="External"/><Relationship Id="rId70" Type="http://schemas.openxmlformats.org/officeDocument/2006/relationships/hyperlink" Target="https://docs.microsoft.com/azure/virtual-network/virtual-networks-name-resolution-for-vms-and-role-instances" TargetMode="External"/><Relationship Id="rId91" Type="http://schemas.openxmlformats.org/officeDocument/2006/relationships/hyperlink" Target="https://docs.microsoft.com/azure/cloud-adoption-framework/ready/enterprise-scale/network-topology-and-connectivity" TargetMode="External"/><Relationship Id="rId145" Type="http://schemas.openxmlformats.org/officeDocument/2006/relationships/hyperlink" Target="https://docs.microsoft.com/azure/firewall/" TargetMode="External"/><Relationship Id="rId166" Type="http://schemas.openxmlformats.org/officeDocument/2006/relationships/hyperlink" Target="https://docs.microsoft.com/learn/paths/secure-application-delivery/" TargetMode="External"/><Relationship Id="rId187" Type="http://schemas.openxmlformats.org/officeDocument/2006/relationships/hyperlink" Target="https://docs.microsoft.com/azure/virtual-network/network-security-group-how-it-works" TargetMode="External"/><Relationship Id="rId1" Type="http://schemas.openxmlformats.org/officeDocument/2006/relationships/hyperlink" Target="https://docs.microsoft.com/azure/active-directory/roles/security-emergency-access" TargetMode="External"/><Relationship Id="rId212" Type="http://schemas.openxmlformats.org/officeDocument/2006/relationships/hyperlink" Target="https://docs.microsoft.com/learn/paths/implement-resource-mgmt-security/" TargetMode="External"/><Relationship Id="rId233" Type="http://schemas.openxmlformats.org/officeDocument/2006/relationships/hyperlink" Target="https://docs.microsoft.com/azure/key-vault/general/best-practices" TargetMode="External"/><Relationship Id="rId254" Type="http://schemas.openxmlformats.org/officeDocument/2006/relationships/hyperlink" Target="https://docs.microsoft.com/en-us/learn/modules/configure-azure-monitor/" TargetMode="External"/><Relationship Id="rId28" Type="http://schemas.openxmlformats.org/officeDocument/2006/relationships/hyperlink" Target="https://docs.microsoft.com/en-gb/learn/paths/implement-applications-external-access-azure-ad/" TargetMode="External"/><Relationship Id="rId49" Type="http://schemas.openxmlformats.org/officeDocument/2006/relationships/hyperlink" Target="https://docs.microsoft.com/learn/modules/azure-architecture-fundamentals/" TargetMode="External"/><Relationship Id="rId114" Type="http://schemas.openxmlformats.org/officeDocument/2006/relationships/hyperlink" Target="https://docs.microsoft.com/learn/modules/design-implement-azure-expressroute/" TargetMode="External"/><Relationship Id="rId275" Type="http://schemas.openxmlformats.org/officeDocument/2006/relationships/hyperlink" Target="https://docs.microsoft.com/en-us/learn/paths/architect-infrastructure-operations/" TargetMode="External"/><Relationship Id="rId296" Type="http://schemas.openxmlformats.org/officeDocument/2006/relationships/ctrlProp" Target="../ctrlProps/ctrlProp1.xml"/><Relationship Id="rId300" Type="http://schemas.openxmlformats.org/officeDocument/2006/relationships/ctrlProp" Target="../ctrlProps/ctrlProp5.xml"/><Relationship Id="rId60" Type="http://schemas.openxmlformats.org/officeDocument/2006/relationships/hyperlink" Target="https://docs.microsoft.com/azure/cloud-adoption-framework/ready/azure-best-practices/plan-for-ip-addressing" TargetMode="External"/><Relationship Id="rId81" Type="http://schemas.openxmlformats.org/officeDocument/2006/relationships/hyperlink" Target="https://docs.microsoft.com/learn/modules/design-implement-hybrid-networking/" TargetMode="External"/><Relationship Id="rId135" Type="http://schemas.openxmlformats.org/officeDocument/2006/relationships/hyperlink" Target="https://docs.microsoft.com/azure/app-service/networking-features" TargetMode="External"/><Relationship Id="rId156" Type="http://schemas.openxmlformats.org/officeDocument/2006/relationships/hyperlink" Target="https://docs.microsoft.com/learn/paths/architect-network-infrastructure/" TargetMode="External"/><Relationship Id="rId177" Type="http://schemas.openxmlformats.org/officeDocument/2006/relationships/hyperlink" Target="https://docs.microsoft.com/azure/web-application-firewall/ag/ag-overview" TargetMode="External"/><Relationship Id="rId198" Type="http://schemas.openxmlformats.org/officeDocument/2006/relationships/hyperlink" Target="https://docs.microsoft.com/azure/virtual-network/network-security-group-how-it-works" TargetMode="External"/><Relationship Id="rId202" Type="http://schemas.openxmlformats.org/officeDocument/2006/relationships/hyperlink" Target="https://docs.microsoft.com/learn/paths/architect-infrastructure-operations/" TargetMode="External"/><Relationship Id="rId223" Type="http://schemas.openxmlformats.org/officeDocument/2006/relationships/hyperlink" Target="https://docs.microsoft.com/azure/backup/backup-center-overview" TargetMode="External"/><Relationship Id="rId244" Type="http://schemas.openxmlformats.org/officeDocument/2006/relationships/hyperlink" Target="https://docs.microsoft.com/azure/governance/policy/overview" TargetMode="External"/><Relationship Id="rId18" Type="http://schemas.openxmlformats.org/officeDocument/2006/relationships/hyperlink" Target="https://docs.microsoft.com/en-gb/learn/modules/create-custom-azure-roles-with-rbac/" TargetMode="External"/><Relationship Id="rId39" Type="http://schemas.openxmlformats.org/officeDocument/2006/relationships/hyperlink" Target="https://docs.microsoft.com/azure/governance/management-groups/overview" TargetMode="External"/><Relationship Id="rId265" Type="http://schemas.openxmlformats.org/officeDocument/2006/relationships/hyperlink" Target="https://docs.microsoft.com/en-us/learn/paths/secure-your-cloud-data/" TargetMode="External"/><Relationship Id="rId286" Type="http://schemas.openxmlformats.org/officeDocument/2006/relationships/hyperlink" Target="https://docs.microsoft.com/en-us/learn/paths/implement-windows-server-iaas-virtual-machine-security/" TargetMode="External"/><Relationship Id="rId50" Type="http://schemas.openxmlformats.org/officeDocument/2006/relationships/hyperlink" Target="https://docs.microsoft.com/azure/cost-management-billing/cost-management-billing-overview" TargetMode="External"/><Relationship Id="rId104" Type="http://schemas.openxmlformats.org/officeDocument/2006/relationships/hyperlink" Target="https://docs.microsoft.com/learn/modules/design-implement-azure-expressroute/" TargetMode="External"/><Relationship Id="rId125" Type="http://schemas.openxmlformats.org/officeDocument/2006/relationships/hyperlink" Target="https://docs.microsoft.com/azure/networking/" TargetMode="External"/><Relationship Id="rId146" Type="http://schemas.openxmlformats.org/officeDocument/2006/relationships/hyperlink" Target="https://docs.microsoft.com/en-gb/learn/paths/secure-networking-infrastructure/" TargetMode="External"/><Relationship Id="rId167" Type="http://schemas.openxmlformats.org/officeDocument/2006/relationships/hyperlink" Target="https://docs.microsoft.com/azure/web-application-firewall/ag/ag-overview" TargetMode="External"/><Relationship Id="rId188" Type="http://schemas.openxmlformats.org/officeDocument/2006/relationships/hyperlink" Target="https://docs.microsoft.com/learn/paths/secure-networking-infrastructure/" TargetMode="External"/><Relationship Id="rId71" Type="http://schemas.openxmlformats.org/officeDocument/2006/relationships/hyperlink" Target="https://docs.microsoft.com/en-gb/learn/paths/az-104-manage-virtual-networks/" TargetMode="External"/><Relationship Id="rId92" Type="http://schemas.openxmlformats.org/officeDocument/2006/relationships/hyperlink" Target="https://azure.microsoft.com/solutions/network-appliances/" TargetMode="External"/><Relationship Id="rId213" Type="http://schemas.openxmlformats.org/officeDocument/2006/relationships/hyperlink" Target="https://docs.microsoft.com/azure/network-watcher/network-watcher-monitoring-overview" TargetMode="External"/><Relationship Id="rId234" Type="http://schemas.openxmlformats.org/officeDocument/2006/relationships/hyperlink" Target="https://docs.microsoft.com/azure/key-vault/general/best-practices" TargetMode="External"/><Relationship Id="rId2" Type="http://schemas.openxmlformats.org/officeDocument/2006/relationships/hyperlink" Target="https://docs.microsoft.com/learn/modules/azure-ad-privileged-identity-management/" TargetMode="External"/><Relationship Id="rId29" Type="http://schemas.openxmlformats.org/officeDocument/2006/relationships/hyperlink" Target="https://docs.microsoft.com/azure/governance/management-groups/overview" TargetMode="External"/><Relationship Id="rId255" Type="http://schemas.openxmlformats.org/officeDocument/2006/relationships/hyperlink" Target="https://docs.microsoft.com/en-us/learn/paths/security-ops-sentinel/" TargetMode="External"/><Relationship Id="rId276" Type="http://schemas.openxmlformats.org/officeDocument/2006/relationships/hyperlink" Target="https://docs.microsoft.com/en-us/learn/paths/architect-infrastructure-operations/" TargetMode="External"/><Relationship Id="rId297" Type="http://schemas.openxmlformats.org/officeDocument/2006/relationships/ctrlProp" Target="../ctrlProps/ctrlProp2.xml"/><Relationship Id="rId40" Type="http://schemas.openxmlformats.org/officeDocument/2006/relationships/hyperlink" Target="https://docs.microsoft.com/azure/governance/management-groups/overview" TargetMode="External"/><Relationship Id="rId115" Type="http://schemas.openxmlformats.org/officeDocument/2006/relationships/hyperlink" Target="https://docs.microsoft.com/azure/networking/" TargetMode="External"/><Relationship Id="rId136" Type="http://schemas.openxmlformats.org/officeDocument/2006/relationships/hyperlink" Target="https://docs.microsoft.com/learn/paths/implement-network-security/?source=learn" TargetMode="External"/><Relationship Id="rId157" Type="http://schemas.openxmlformats.org/officeDocument/2006/relationships/hyperlink" Target="https://azure.microsoft.com/solutions/network-appliances/" TargetMode="External"/><Relationship Id="rId178" Type="http://schemas.openxmlformats.org/officeDocument/2006/relationships/hyperlink" Target="https://docs.microsoft.com/learn/paths/implement-network-security/" TargetMode="External"/><Relationship Id="rId301" Type="http://schemas.openxmlformats.org/officeDocument/2006/relationships/ctrlProp" Target="../ctrlProps/ctrlProp6.xml"/><Relationship Id="rId61" Type="http://schemas.openxmlformats.org/officeDocument/2006/relationships/hyperlink" Target="https://docs.microsoft.com/en-gb/learn/paths/architect-network-infrastructure/" TargetMode="External"/><Relationship Id="rId82" Type="http://schemas.openxmlformats.org/officeDocument/2006/relationships/hyperlink" Target="https://docs.microsoft.com/azure/virtual-wan/virtual-wan-about" TargetMode="External"/><Relationship Id="rId199" Type="http://schemas.openxmlformats.org/officeDocument/2006/relationships/hyperlink" Target="https://docs.microsoft.com/azure/azure-monitor/logs/design-logs-deployment" TargetMode="External"/><Relationship Id="rId203" Type="http://schemas.openxmlformats.org/officeDocument/2006/relationships/hyperlink" Target="https://docs.microsoft.com/azure/azure-monitor/logs/design-logs-deployment" TargetMode="External"/><Relationship Id="rId19" Type="http://schemas.openxmlformats.org/officeDocument/2006/relationships/hyperlink" Target="https://azure.microsoft.com/resources/achieving-compliant-data-residency-and-security-with-azure/" TargetMode="External"/><Relationship Id="rId224" Type="http://schemas.openxmlformats.org/officeDocument/2006/relationships/hyperlink" Target="https://docs.microsoft.com/azure/key-vault/general/best-practices" TargetMode="External"/><Relationship Id="rId245" Type="http://schemas.openxmlformats.org/officeDocument/2006/relationships/hyperlink" Target="https://docs.microsoft.com/azure/governance/policy/overview" TargetMode="External"/><Relationship Id="rId266" Type="http://schemas.openxmlformats.org/officeDocument/2006/relationships/hyperlink" Target="https://docs.microsoft.com/en-us/learn/paths/secure-your-cloud-data/" TargetMode="External"/><Relationship Id="rId287" Type="http://schemas.openxmlformats.org/officeDocument/2006/relationships/hyperlink" Target="https://docs.microsoft.com/en-us/learn/paths/monitor-usage-performance-availability-resources-azure-monitor/" TargetMode="External"/><Relationship Id="rId30" Type="http://schemas.openxmlformats.org/officeDocument/2006/relationships/hyperlink" Target="https://docs.microsoft.com/learn/modules/azure-architecture-fundamentals/" TargetMode="External"/><Relationship Id="rId105" Type="http://schemas.openxmlformats.org/officeDocument/2006/relationships/hyperlink" Target="https://docs.microsoft.com/azure/expressroute/expressroute-routing" TargetMode="External"/><Relationship Id="rId126" Type="http://schemas.openxmlformats.org/officeDocument/2006/relationships/hyperlink" Target="https://docs.microsoft.com/learn/modules/design-implement-private-access-to-azure-services/" TargetMode="External"/><Relationship Id="rId147" Type="http://schemas.openxmlformats.org/officeDocument/2006/relationships/hyperlink" Target="https://docs.microsoft.com/azure/firewall/" TargetMode="External"/><Relationship Id="rId168" Type="http://schemas.openxmlformats.org/officeDocument/2006/relationships/hyperlink" Target="https://docs.microsoft.com/learn/paths/secure-networking-infrastructure/" TargetMode="External"/><Relationship Id="rId51" Type="http://schemas.openxmlformats.org/officeDocument/2006/relationships/hyperlink" Target="https://docs.microsoft.com/en-gb/learn/paths/control-spending-manage-bills/" TargetMode="External"/><Relationship Id="rId72" Type="http://schemas.openxmlformats.org/officeDocument/2006/relationships/hyperlink" Target="https://docs.microsoft.com/azure/virtual-wan/virtual-wan-about" TargetMode="External"/><Relationship Id="rId93" Type="http://schemas.openxmlformats.org/officeDocument/2006/relationships/hyperlink" Target="https://azure.microsoft.com/solutions/network-appliances/" TargetMode="External"/><Relationship Id="rId189" Type="http://schemas.openxmlformats.org/officeDocument/2006/relationships/hyperlink" Target="https://docs.microsoft.com/azure/virtual-network/network-security-group-how-it-works" TargetMode="External"/><Relationship Id="rId3" Type="http://schemas.openxmlformats.org/officeDocument/2006/relationships/hyperlink" Target="https://docs.microsoft.com/azure/role-based-access-control/overview" TargetMode="External"/><Relationship Id="rId214" Type="http://schemas.openxmlformats.org/officeDocument/2006/relationships/hyperlink" Target="https://docs.microsoft.com/azure/azure-resource-manager/management/lock-resources?tabs=json" TargetMode="External"/><Relationship Id="rId235" Type="http://schemas.openxmlformats.org/officeDocument/2006/relationships/hyperlink" Target="https://docs.microsoft.com/azure/governance/policy/overview" TargetMode="External"/><Relationship Id="rId256" Type="http://schemas.openxmlformats.org/officeDocument/2006/relationships/hyperlink" Target="https://docs.microsoft.com/en-us/learn/paths/monitor-usage-performance-availability-resources-azure-monitor/" TargetMode="External"/><Relationship Id="rId277" Type="http://schemas.openxmlformats.org/officeDocument/2006/relationships/hyperlink" Target="https://docs.microsoft.com/en-us/learn/paths/architect-infrastructure-operations/" TargetMode="External"/><Relationship Id="rId298" Type="http://schemas.openxmlformats.org/officeDocument/2006/relationships/ctrlProp" Target="../ctrlProps/ctrlProp3.xml"/><Relationship Id="rId116" Type="http://schemas.openxmlformats.org/officeDocument/2006/relationships/hyperlink" Target="https://docs.microsoft.com/learn/modules/design-implement-azure-expressroute/" TargetMode="External"/><Relationship Id="rId137" Type="http://schemas.openxmlformats.org/officeDocument/2006/relationships/hyperlink" Target="https://docs.microsoft.com/azure/app-service/networking-features" TargetMode="External"/><Relationship Id="rId158" Type="http://schemas.openxmlformats.org/officeDocument/2006/relationships/hyperlink" Target="https://docs.microsoft.com/learn/paths/secure-networking-infrastructure/" TargetMode="External"/><Relationship Id="rId20" Type="http://schemas.openxmlformats.org/officeDocument/2006/relationships/hyperlink" Target="https://docs.microsoft.com/en-gb/learn/paths/secure-your-cloud-data/" TargetMode="External"/><Relationship Id="rId41" Type="http://schemas.openxmlformats.org/officeDocument/2006/relationships/hyperlink" Target="https://docs.microsoft.com/azure/governance/management-groups/overview" TargetMode="External"/><Relationship Id="rId62" Type="http://schemas.openxmlformats.org/officeDocument/2006/relationships/hyperlink" Target="https://docs.microsoft.com/azure/cloud-adoption-framework/ready/azure-best-practices/plan-for-ip-addressing" TargetMode="External"/><Relationship Id="rId83" Type="http://schemas.openxmlformats.org/officeDocument/2006/relationships/hyperlink" Target="https://docs.microsoft.com/azure/virtual-wan/virtual-wan-about" TargetMode="External"/><Relationship Id="rId179" Type="http://schemas.openxmlformats.org/officeDocument/2006/relationships/hyperlink" Target="https://docs.microsoft.com/azure/cloud-adoption-framework/ready/azure-setup-guide/organize-resources?tabs=AzureManagementGroupsAndHierarchy" TargetMode="External"/><Relationship Id="rId190" Type="http://schemas.openxmlformats.org/officeDocument/2006/relationships/hyperlink" Target="https://docs.microsoft.com/azure/firewall/" TargetMode="External"/><Relationship Id="rId204" Type="http://schemas.openxmlformats.org/officeDocument/2006/relationships/hyperlink" Target="https://docs.microsoft.com/learn/paths/architect-infrastructure-operations/" TargetMode="External"/><Relationship Id="rId225" Type="http://schemas.openxmlformats.org/officeDocument/2006/relationships/hyperlink" Target="https://docs.microsoft.com/azure/key-vault/general/best-practices" TargetMode="External"/><Relationship Id="rId246" Type="http://schemas.openxmlformats.org/officeDocument/2006/relationships/hyperlink" Target="https://docs.microsoft.com/azure/active-directory/reports-monitoring/overview-reports" TargetMode="External"/><Relationship Id="rId267" Type="http://schemas.openxmlformats.org/officeDocument/2006/relationships/hyperlink" Target="https://docs.microsoft.com/en-us/learn/paths/secure-your-cloud-data/" TargetMode="External"/><Relationship Id="rId288" Type="http://schemas.openxmlformats.org/officeDocument/2006/relationships/hyperlink" Target="https://docs.microsoft.com/en-us/learn/paths/manage-security-operations/" TargetMode="External"/><Relationship Id="rId106" Type="http://schemas.openxmlformats.org/officeDocument/2006/relationships/hyperlink" Target="https://docs.microsoft.com/learn/modules/design-implement-azure-expressroute/" TargetMode="External"/><Relationship Id="rId127" Type="http://schemas.openxmlformats.org/officeDocument/2006/relationships/hyperlink" Target="https://docs.microsoft.com/azure/app-service/networking-features" TargetMode="External"/><Relationship Id="rId10" Type="http://schemas.openxmlformats.org/officeDocument/2006/relationships/hyperlink" Target="https://docs.microsoft.com/en-gb/learn/paths/azure-administrator-manage-identities-governance/" TargetMode="External"/><Relationship Id="rId31" Type="http://schemas.openxmlformats.org/officeDocument/2006/relationships/hyperlink" Target="https://docs.microsoft.com/azure/cloud-adoption-framework/decision-guides/resource-tagging/?toc=/azure/azure-resource-manager/management/toc.json" TargetMode="External"/><Relationship Id="rId52" Type="http://schemas.openxmlformats.org/officeDocument/2006/relationships/hyperlink" Target="https://docs.microsoft.com/azure/governance/management-groups/overview" TargetMode="External"/><Relationship Id="rId73" Type="http://schemas.openxmlformats.org/officeDocument/2006/relationships/hyperlink" Target="https://docs.microsoft.com/learn/modules/introduction-azure-virtual-wan/" TargetMode="External"/><Relationship Id="rId94" Type="http://schemas.openxmlformats.org/officeDocument/2006/relationships/hyperlink" Target="https://docs.microsoft.com/azure/expressroute/expressroute-faqs" TargetMode="External"/><Relationship Id="rId148" Type="http://schemas.openxmlformats.org/officeDocument/2006/relationships/hyperlink" Target="https://docs.microsoft.com/en-gb/learn/paths/secure-networking-infrastructure/" TargetMode="External"/><Relationship Id="rId169" Type="http://schemas.openxmlformats.org/officeDocument/2006/relationships/hyperlink" Target="https://docs.microsoft.com/azure/web-application-firewall/ag/ag-overview" TargetMode="External"/><Relationship Id="rId4" Type="http://schemas.openxmlformats.org/officeDocument/2006/relationships/hyperlink" Target="https://docs.microsoft.com/en-gb/learn/paths/implement-resource-mgmt-security/" TargetMode="External"/><Relationship Id="rId180" Type="http://schemas.openxmlformats.org/officeDocument/2006/relationships/hyperlink" Target="https://docs.microsoft.com/learn/paths/implement-network-security/" TargetMode="External"/><Relationship Id="rId215" Type="http://schemas.openxmlformats.org/officeDocument/2006/relationships/hyperlink" Target="https://docs.microsoft.com/azure/governance/policy/overview" TargetMode="External"/><Relationship Id="rId236" Type="http://schemas.openxmlformats.org/officeDocument/2006/relationships/hyperlink" Target="https://docs.microsoft.com/azure/cloud-adoption-framework/decision-guides/resource-tagging/?toc=/azure/azure-resource-manager/management/toc.json" TargetMode="External"/><Relationship Id="rId257" Type="http://schemas.openxmlformats.org/officeDocument/2006/relationships/hyperlink" Target="https://docs.microsoft.com/en-us/learn/paths/monitor-usage-performance-availability-resources-azure-monitor/" TargetMode="External"/><Relationship Id="rId278" Type="http://schemas.openxmlformats.org/officeDocument/2006/relationships/hyperlink" Target="https://docs.microsoft.com/en-us/learn/paths/architect-infrastructure-operations/" TargetMode="External"/><Relationship Id="rId42" Type="http://schemas.openxmlformats.org/officeDocument/2006/relationships/hyperlink" Target="https://docs.microsoft.com/azure/governance/management-groups/overview" TargetMode="External"/><Relationship Id="rId84" Type="http://schemas.openxmlformats.org/officeDocument/2006/relationships/hyperlink" Target="https://docs.microsoft.com/en-gb/learn/paths/secure-networking-infrastructure/" TargetMode="External"/><Relationship Id="rId138" Type="http://schemas.openxmlformats.org/officeDocument/2006/relationships/hyperlink" Target="https://docs.microsoft.com/learn/paths/implement-network-security/?source=learn" TargetMode="External"/><Relationship Id="rId191" Type="http://schemas.openxmlformats.org/officeDocument/2006/relationships/hyperlink" Target="https://docs.microsoft.com/learn/paths/implement-network-security/" TargetMode="External"/><Relationship Id="rId205" Type="http://schemas.openxmlformats.org/officeDocument/2006/relationships/hyperlink" Target="https://docs.microsoft.com/azure/azure-monitor/logs/design-logs-deployment" TargetMode="External"/><Relationship Id="rId247" Type="http://schemas.openxmlformats.org/officeDocument/2006/relationships/hyperlink" Target="https://docs.microsoft.com/azure/azure-monitor/logs/logs-data-export?tabs=portal" TargetMode="External"/><Relationship Id="rId107" Type="http://schemas.openxmlformats.org/officeDocument/2006/relationships/hyperlink" Target="https://docs.microsoft.com/azure/expressroute/expressroute-about-virtual-network-gateways" TargetMode="External"/><Relationship Id="rId289" Type="http://schemas.openxmlformats.org/officeDocument/2006/relationships/hyperlink" Target="https://docs.microsoft.com/en-us/learn/paths/manage-security-operations/" TargetMode="External"/><Relationship Id="rId11" Type="http://schemas.openxmlformats.org/officeDocument/2006/relationships/hyperlink" Target="https://docs.microsoft.com/azure/active-directory/privileged-identity-management/pim-configure" TargetMode="External"/><Relationship Id="rId53" Type="http://schemas.openxmlformats.org/officeDocument/2006/relationships/hyperlink" Target="https://docs.microsoft.com/learn/paths/enterprise-scale-architecture/" TargetMode="External"/><Relationship Id="rId149" Type="http://schemas.openxmlformats.org/officeDocument/2006/relationships/hyperlink" Target="https://docs.microsoft.com/azure/firewall/" TargetMode="External"/><Relationship Id="rId95" Type="http://schemas.openxmlformats.org/officeDocument/2006/relationships/hyperlink" Target="https://docs.microsoft.com/en-gb/learn/paths/azure-administrator-manage-virtual-networks/" TargetMode="External"/><Relationship Id="rId160" Type="http://schemas.openxmlformats.org/officeDocument/2006/relationships/hyperlink" Target="https://docs.microsoft.com/learn/paths/secure-application-delivery/" TargetMode="External"/><Relationship Id="rId216" Type="http://schemas.openxmlformats.org/officeDocument/2006/relationships/hyperlink" Target="https://docs.microsoft.com/azure/?product=featured" TargetMode="External"/><Relationship Id="rId258" Type="http://schemas.openxmlformats.org/officeDocument/2006/relationships/hyperlink" Target="https://docs.microsoft.com/en-us/learn/paths/monitor-usage-performance-availability-resources-azure-monitor/" TargetMode="External"/><Relationship Id="rId22" Type="http://schemas.openxmlformats.org/officeDocument/2006/relationships/hyperlink" Target="https://docs.microsoft.com/learn/modules/azure-active-directory/" TargetMode="External"/><Relationship Id="rId64" Type="http://schemas.openxmlformats.org/officeDocument/2006/relationships/hyperlink" Target="https://docs.microsoft.com/azure/virtual-network/virtual-networks-name-resolution-for-vms-and-role-instances" TargetMode="External"/><Relationship Id="rId118" Type="http://schemas.openxmlformats.org/officeDocument/2006/relationships/hyperlink" Target="https://docs.microsoft.com/learn/modules/design-implement-azure-expressroute/" TargetMode="External"/><Relationship Id="rId171" Type="http://schemas.openxmlformats.org/officeDocument/2006/relationships/hyperlink" Target="https://docs.microsoft.com/azure/ddos-protection/ddos-protection-overview" TargetMode="External"/><Relationship Id="rId227" Type="http://schemas.openxmlformats.org/officeDocument/2006/relationships/hyperlink" Target="https://docs.microsoft.com/azure/key-vault/general/best-practices" TargetMode="External"/><Relationship Id="rId269" Type="http://schemas.openxmlformats.org/officeDocument/2006/relationships/hyperlink" Target="https://docs.microsoft.com/en-us/learn/paths/secure-your-cloud-data/" TargetMode="External"/><Relationship Id="rId33" Type="http://schemas.openxmlformats.org/officeDocument/2006/relationships/hyperlink" Target="https://docs.microsoft.com/azure/governance/management-groups/overview" TargetMode="External"/><Relationship Id="rId129" Type="http://schemas.openxmlformats.org/officeDocument/2006/relationships/hyperlink" Target="https://docs.microsoft.com/azure/app-service/networking-features" TargetMode="External"/><Relationship Id="rId280" Type="http://schemas.openxmlformats.org/officeDocument/2006/relationships/hyperlink" Target="https://docs.microsoft.com/en-us/learn/paths/architect-infrastructure-operations/" TargetMode="External"/><Relationship Id="rId75" Type="http://schemas.openxmlformats.org/officeDocument/2006/relationships/hyperlink" Target="https://docs.microsoft.com/azure/virtual-wan/virtual-wan-about" TargetMode="External"/><Relationship Id="rId140" Type="http://schemas.openxmlformats.org/officeDocument/2006/relationships/hyperlink" Target="https://docs.microsoft.com/learn/paths/implement-network-security/?source=learn" TargetMode="External"/><Relationship Id="rId182" Type="http://schemas.openxmlformats.org/officeDocument/2006/relationships/hyperlink" Target="https://docs.microsoft.com/learn/paths/implement-network-security/"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S29"/>
  <sheetViews>
    <sheetView zoomScale="80" zoomScaleNormal="80" workbookViewId="0">
      <selection activeCell="D2" sqref="D2"/>
    </sheetView>
  </sheetViews>
  <sheetFormatPr defaultRowHeight="15" x14ac:dyDescent="0.25"/>
  <cols>
    <col min="1" max="1" width="28.28515625" customWidth="1"/>
    <col min="4" max="4" width="15" customWidth="1"/>
    <col min="5" max="5" width="12.85546875" customWidth="1"/>
  </cols>
  <sheetData>
    <row r="1" spans="1:13" ht="37.5" x14ac:dyDescent="0.25">
      <c r="D1" s="25" t="s">
        <v>25</v>
      </c>
      <c r="E1" s="25" t="s">
        <v>26</v>
      </c>
    </row>
    <row r="2" spans="1:13" ht="31.5" x14ac:dyDescent="0.5">
      <c r="A2" s="15" t="s">
        <v>14</v>
      </c>
      <c r="D2" s="24">
        <f>IF($R$29=0,0,1-$O$29/$R$29)</f>
        <v>0</v>
      </c>
      <c r="E2" s="24">
        <f>IF(R29=0,0,P29/R29)</f>
        <v>0</v>
      </c>
    </row>
    <row r="5" spans="1:13" x14ac:dyDescent="0.25">
      <c r="B5" s="14" t="str">
        <f>Values!$B$2</f>
        <v>Not verified</v>
      </c>
      <c r="C5" s="14" t="str">
        <f>Values!$B$3</f>
        <v>Open</v>
      </c>
      <c r="D5" s="14" t="str">
        <f>Values!$B$4</f>
        <v>Fulfilled</v>
      </c>
      <c r="E5" s="14" t="str">
        <f>Values!$B$5</f>
        <v>N/A</v>
      </c>
      <c r="I5" s="14" t="str">
        <f>Values!$B$2</f>
        <v>Not verified</v>
      </c>
      <c r="J5" s="14" t="str">
        <f>Values!$B$3</f>
        <v>Open</v>
      </c>
      <c r="K5" s="14" t="str">
        <f>Values!$B$4</f>
        <v>Fulfilled</v>
      </c>
      <c r="L5" s="14" t="str">
        <f>Values!$B$5</f>
        <v>N/A</v>
      </c>
      <c r="M5" s="14" t="s">
        <v>16</v>
      </c>
    </row>
    <row r="6" spans="1:13" x14ac:dyDescent="0.25">
      <c r="A6" s="14" t="str">
        <f>Values!A2</f>
        <v>High</v>
      </c>
      <c r="B6" cm="1">
        <f t="array" ref="B6">SUMPRODUCT(--(Checklist!$E$5:$H$483=$A6)*--(Checklist!$F$5:$F$483=B$5))</f>
        <v>10</v>
      </c>
      <c r="C6" cm="1">
        <f t="array" ref="C6">SUMPRODUCT(--(Checklist!$E$5:$H$483=$A6)*--(Checklist!$F$5:$F$483=C$5))</f>
        <v>0</v>
      </c>
      <c r="D6" cm="1">
        <f t="array" ref="D6">SUMPRODUCT(--(Checklist!$E$5:$H$483=$A6)*--(Checklist!$F$5:$F$483=D$5))</f>
        <v>0</v>
      </c>
      <c r="E6" cm="1">
        <f t="array" ref="E6">SUMPRODUCT(--(Checklist!$E$5:$H$483=$A6)*--(Checklist!$F$5:$F$483=E$5))</f>
        <v>0</v>
      </c>
      <c r="F6">
        <f>SUM(B6:E6)</f>
        <v>10</v>
      </c>
      <c r="H6" s="14" t="str">
        <f>IF(Values!$C2="","",Values!$C2)</f>
        <v>Identity</v>
      </c>
      <c r="I6" cm="1">
        <f t="array" ref="I6">IF($H6="","",SUMPRODUCT(--(Checklist!$A$5:$A$483=$H6)*--(Checklist!$F$5:$F$483=I$5)))</f>
        <v>14</v>
      </c>
      <c r="J6" cm="1">
        <f t="array" ref="J6">IF($H6="","",SUMPRODUCT(--(Checklist!$A$5:$A$483=$H6)*--(Checklist!$F$5:$F$483=J$5)))</f>
        <v>0</v>
      </c>
      <c r="K6" cm="1">
        <f t="array" ref="K6">IF($H6="","",SUMPRODUCT(--(Checklist!$A$5:$A$483=$H6)*--(Checklist!$F$5:$F$483=K$5)))</f>
        <v>0</v>
      </c>
      <c r="L6" cm="1">
        <f t="array" ref="L6">IF($H6="","",SUMPRODUCT(--(Checklist!$A$5:$A$483=$H6)*--(Checklist!$F$5:$F$483=L$5)))</f>
        <v>0</v>
      </c>
      <c r="M6">
        <f>IF($H6="","",SUM(I6:L6))</f>
        <v>14</v>
      </c>
    </row>
    <row r="7" spans="1:13" x14ac:dyDescent="0.25">
      <c r="A7" s="14" t="str">
        <f>Values!A3</f>
        <v>Medium</v>
      </c>
      <c r="B7" cm="1">
        <f t="array" ref="B7">SUMPRODUCT(--(Checklist!$E$5:$H$483=$A7)*--(Checklist!$F$5:$F$483=B$5))</f>
        <v>149</v>
      </c>
      <c r="C7" cm="1">
        <f t="array" ref="C7">SUMPRODUCT(--(Checklist!$E$5:$H$483=$A7)*--(Checklist!$F$5:$F$483=C$5))</f>
        <v>0</v>
      </c>
      <c r="D7" cm="1">
        <f t="array" ref="D7">SUMPRODUCT(--(Checklist!$E$5:$H$483=$A7)*--(Checklist!$F$5:$F$483=D$5))</f>
        <v>0</v>
      </c>
      <c r="E7" cm="1">
        <f t="array" ref="E7">SUMPRODUCT(--(Checklist!$E$5:$H$483=$A7)*--(Checklist!$F$5:$F$483=E$5))</f>
        <v>0</v>
      </c>
      <c r="F7">
        <f>SUM(B7:E7)</f>
        <v>149</v>
      </c>
      <c r="H7" s="14" t="str">
        <f>IF(Values!$C3="","",Values!$C3)</f>
        <v>Networking</v>
      </c>
      <c r="I7" cm="1">
        <f t="array" ref="I7">IF($H7="","",SUMPRODUCT(--(Checklist!$A$5:$A$483=$H7)*--(Checklist!$F$5:$F$483=I$5)))</f>
        <v>81</v>
      </c>
      <c r="J7" cm="1">
        <f t="array" ref="J7">IF($H7="","",SUMPRODUCT(--(Checklist!$A$5:$A$483=$H7)*--(Checklist!$F$5:$F$483=J$5)))</f>
        <v>0</v>
      </c>
      <c r="K7" cm="1">
        <f t="array" ref="K7">IF($H7="","",SUMPRODUCT(--(Checklist!$A$5:$A$483=$H7)*--(Checklist!$F$5:$F$483=K$5)))</f>
        <v>0</v>
      </c>
      <c r="L7" cm="1">
        <f t="array" ref="L7">IF($H7="","",SUMPRODUCT(--(Checklist!$A$5:$A$483=$H7)*--(Checklist!$F$5:$F$483=L$5)))</f>
        <v>0</v>
      </c>
      <c r="M7">
        <f t="shared" ref="M7:M12" si="0">IF($H7="","",SUM(I7:L7))</f>
        <v>81</v>
      </c>
    </row>
    <row r="8" spans="1:13" x14ac:dyDescent="0.25">
      <c r="A8" s="14" t="str">
        <f>Values!A4</f>
        <v>Low</v>
      </c>
      <c r="B8" cm="1">
        <f t="array" ref="B8">SUMPRODUCT(--(Checklist!$E$5:$H$483=$A8)*--(Checklist!$F$5:$F$483=B$5))</f>
        <v>2</v>
      </c>
      <c r="C8" cm="1">
        <f t="array" ref="C8">SUMPRODUCT(--(Checklist!$E$5:$H$483=$A8)*--(Checklist!$F$5:$F$483=C$5))</f>
        <v>0</v>
      </c>
      <c r="D8" cm="1">
        <f t="array" ref="D8">SUMPRODUCT(--(Checklist!$E$5:$H$483=$A8)*--(Checklist!$F$5:$F$483=D$5))</f>
        <v>0</v>
      </c>
      <c r="E8" cm="1">
        <f t="array" ref="E8">SUMPRODUCT(--(Checklist!$E$5:$H$483=$A8)*--(Checklist!$F$5:$F$483=E$5))</f>
        <v>0</v>
      </c>
      <c r="F8">
        <f>SUM(B8:E8)</f>
        <v>2</v>
      </c>
      <c r="H8" s="14" t="str">
        <f>IF(Values!$C4="","",Values!$C4)</f>
        <v>Security</v>
      </c>
      <c r="I8" cm="1">
        <f t="array" ref="I8">IF($H8="","",SUMPRODUCT(--(Checklist!$A$5:$A$483=$H8)*--(Checklist!$F$5:$F$483=I$5)))</f>
        <v>32</v>
      </c>
      <c r="J8" cm="1">
        <f t="array" ref="J8">IF($H8="","",SUMPRODUCT(--(Checklist!$A$5:$A$483=$H8)*--(Checklist!$F$5:$F$483=J$5)))</f>
        <v>0</v>
      </c>
      <c r="K8" cm="1">
        <f t="array" ref="K8">IF($H8="","",SUMPRODUCT(--(Checklist!$A$5:$A$483=$H8)*--(Checklist!$F$5:$F$483=K$5)))</f>
        <v>0</v>
      </c>
      <c r="L8" cm="1">
        <f t="array" ref="L8">IF($H8="","",SUMPRODUCT(--(Checklist!$A$5:$A$483=$H8)*--(Checklist!$F$5:$F$483=L$5)))</f>
        <v>0</v>
      </c>
      <c r="M8">
        <f t="shared" si="0"/>
        <v>32</v>
      </c>
    </row>
    <row r="9" spans="1:13" x14ac:dyDescent="0.25">
      <c r="B9">
        <f>SUM(B6:B8)</f>
        <v>161</v>
      </c>
      <c r="C9">
        <f>SUM(C6:C8)</f>
        <v>0</v>
      </c>
      <c r="D9">
        <f>SUM(D6:D8)</f>
        <v>0</v>
      </c>
      <c r="E9">
        <f>SUM(E6:E8)</f>
        <v>0</v>
      </c>
      <c r="F9" s="14">
        <f>SUM(F6:F8)</f>
        <v>161</v>
      </c>
      <c r="H9" s="14" t="str">
        <f>IF(Values!$C5="","",Values!$C5)</f>
        <v>Management</v>
      </c>
      <c r="I9" cm="1">
        <f t="array" ref="I9">IF($H9="","",SUMPRODUCT(--(Checklist!$A$5:$A$483=$H9)*--(Checklist!$F$5:$F$483=I$5)))</f>
        <v>18</v>
      </c>
      <c r="J9" cm="1">
        <f t="array" ref="J9">IF($H9="","",SUMPRODUCT(--(Checklist!$A$5:$A$483=$H9)*--(Checklist!$F$5:$F$483=J$5)))</f>
        <v>0</v>
      </c>
      <c r="K9" cm="1">
        <f t="array" ref="K9">IF($H9="","",SUMPRODUCT(--(Checklist!$A$5:$A$483=$H9)*--(Checklist!$F$5:$F$483=K$5)))</f>
        <v>0</v>
      </c>
      <c r="L9" cm="1">
        <f t="array" ref="L9">IF($H9="","",SUMPRODUCT(--(Checklist!$A$5:$A$483=$H9)*--(Checklist!$F$5:$F$483=L$5)))</f>
        <v>0</v>
      </c>
      <c r="M9">
        <f t="shared" si="0"/>
        <v>18</v>
      </c>
    </row>
    <row r="10" spans="1:13" x14ac:dyDescent="0.25">
      <c r="H10" s="14" t="str">
        <f>IF(Values!$C6="","",Values!$C6)</f>
        <v>Subscriptions</v>
      </c>
      <c r="I10" cm="1">
        <f t="array" ref="I10">IF($H10="","",SUMPRODUCT(--(Checklist!$A$5:$A$483=$H10)*--(Checklist!$F$5:$F$483=I$5)))</f>
        <v>16</v>
      </c>
      <c r="J10" cm="1">
        <f t="array" ref="J10">IF($H10="","",SUMPRODUCT(--(Checklist!$A$5:$A$483=$H10)*--(Checklist!$F$5:$F$483=J$5)))</f>
        <v>0</v>
      </c>
      <c r="K10" cm="1">
        <f t="array" ref="K10">IF($H10="","",SUMPRODUCT(--(Checklist!$A$5:$A$483=$H10)*--(Checklist!$F$5:$F$483=K$5)))</f>
        <v>0</v>
      </c>
      <c r="L10" cm="1">
        <f t="array" ref="L10">IF($H10="","",SUMPRODUCT(--(Checklist!$A$5:$A$483=$H10)*--(Checklist!$F$5:$F$483=L$5)))</f>
        <v>0</v>
      </c>
      <c r="M10">
        <f t="shared" si="0"/>
        <v>16</v>
      </c>
    </row>
    <row r="11" spans="1:13" x14ac:dyDescent="0.25">
      <c r="H11" s="14" t="str">
        <f>IF(Values!$C7="","",Values!$C7)</f>
        <v/>
      </c>
      <c r="I11" t="str" cm="1">
        <f t="array" ref="I11">IF($H11="","",SUMPRODUCT(--(Checklist!$A$5:$A$483=$H11)*--(Checklist!$F$5:$F$483=I$5)))</f>
        <v/>
      </c>
      <c r="J11" t="str" cm="1">
        <f t="array" ref="J11">IF($H11="","",SUMPRODUCT(--(Checklist!$A$5:$A$483=$H11)*--(Checklist!$F$5:$F$483=J$5)))</f>
        <v/>
      </c>
      <c r="K11" t="str" cm="1">
        <f t="array" ref="K11">IF($H11="","",SUMPRODUCT(--(Checklist!$A$5:$A$483=$H11)*--(Checklist!$F$5:$F$483=K$5)))</f>
        <v/>
      </c>
      <c r="L11" t="str" cm="1">
        <f t="array" ref="L11">IF($H11="","",SUMPRODUCT(--(Checklist!$A$5:$A$483=$H11)*--(Checklist!$F$5:$F$483=L$5)))</f>
        <v/>
      </c>
      <c r="M11" t="str">
        <f t="shared" si="0"/>
        <v/>
      </c>
    </row>
    <row r="12" spans="1:13" x14ac:dyDescent="0.25">
      <c r="H12" s="14" t="str">
        <f>IF(Values!$C8="","",Values!$C8)</f>
        <v/>
      </c>
      <c r="I12" t="str" cm="1">
        <f t="array" ref="I12">IF($H12="","",SUMPRODUCT(--(Checklist!$A$5:$A$483=$H12)*--(Checklist!$F$5:$F$483=I$5)))</f>
        <v/>
      </c>
      <c r="J12" t="str" cm="1">
        <f t="array" ref="J12">IF($H12="","",SUMPRODUCT(--(Checklist!$A$5:$A$483=$H12)*--(Checklist!$F$5:$F$483=J$5)))</f>
        <v/>
      </c>
      <c r="K12" t="str" cm="1">
        <f t="array" ref="K12">IF($H12="","",SUMPRODUCT(--(Checklist!$A$5:$A$483=$H12)*--(Checklist!$F$5:$F$483=K$5)))</f>
        <v/>
      </c>
      <c r="L12" t="str" cm="1">
        <f t="array" ref="L12">IF($H12="","",SUMPRODUCT(--(Checklist!$A$5:$A$483=$H12)*--(Checklist!$F$5:$F$483=L$5)))</f>
        <v/>
      </c>
      <c r="M12" t="str">
        <f t="shared" si="0"/>
        <v/>
      </c>
    </row>
    <row r="13" spans="1:13" x14ac:dyDescent="0.25">
      <c r="H13" s="14" t="str">
        <f>IF(Values!$C9="","",Values!$C9)</f>
        <v/>
      </c>
      <c r="I13" t="str" cm="1">
        <f t="array" ref="I13">IF($H13="","",SUMPRODUCT(--(Checklist!$A$5:$A$483=$H13)*--(Checklist!$F$5:$F$483=I$5)))</f>
        <v/>
      </c>
      <c r="J13" t="str" cm="1">
        <f t="array" ref="J13">IF($H13="","",SUMPRODUCT(--(Checklist!$A$5:$A$483=$H13)*--(Checklist!$F$5:$F$483=J$5)))</f>
        <v/>
      </c>
      <c r="K13" t="str" cm="1">
        <f t="array" ref="K13">IF($H13="","",SUMPRODUCT(--(Checklist!$A$5:$A$483=$H13)*--(Checklist!$F$5:$F$483=K$5)))</f>
        <v/>
      </c>
      <c r="L13" t="str" cm="1">
        <f t="array" ref="L13">IF($H13="","",SUMPRODUCT(--(Checklist!$A$5:$A$483=$H13)*--(Checklist!$F$5:$F$483=L$5)))</f>
        <v/>
      </c>
      <c r="M13" t="str">
        <f>IF($H13="","",SUM(I13:L13))</f>
        <v/>
      </c>
    </row>
    <row r="14" spans="1:13" x14ac:dyDescent="0.25">
      <c r="I14">
        <f>SUM(I6:I13)</f>
        <v>161</v>
      </c>
      <c r="J14">
        <f>SUM(J6:J13)</f>
        <v>0</v>
      </c>
      <c r="K14">
        <f>SUM(K6:K13)</f>
        <v>0</v>
      </c>
      <c r="L14">
        <f>SUM(L6:L13)</f>
        <v>0</v>
      </c>
      <c r="M14" s="14">
        <f>SUM(M6:M13)</f>
        <v>161</v>
      </c>
    </row>
    <row r="20" spans="14:19" x14ac:dyDescent="0.25">
      <c r="N20" s="14" t="s">
        <v>15</v>
      </c>
      <c r="O20" s="14" t="str">
        <f>Values!$B$2</f>
        <v>Not verified</v>
      </c>
      <c r="P20" s="14" t="str">
        <f>Values!$B$3</f>
        <v>Open</v>
      </c>
      <c r="Q20" s="14" t="s">
        <v>18</v>
      </c>
      <c r="R20" s="14" t="s">
        <v>16</v>
      </c>
      <c r="S20" s="14" t="s">
        <v>17</v>
      </c>
    </row>
    <row r="21" spans="14:19" x14ac:dyDescent="0.25">
      <c r="N21" s="14" t="str">
        <f>IF(Values!$C2="","",Values!$C2)</f>
        <v>Identity</v>
      </c>
      <c r="O21" cm="1">
        <f t="array" ref="O21">IF($N21="","",SUMPRODUCT(--(Checklist!$A$5:$A$483=$N21)*--(Checklist!$F$5:$F$483=O$20)))</f>
        <v>14</v>
      </c>
      <c r="P21" cm="1">
        <f t="array" ref="P21">IF($N21="","",SUMPRODUCT(--(Checklist!$A$5:$A$483=$N21)*--(Checklist!$F$5:$F$483=P$20)))</f>
        <v>0</v>
      </c>
      <c r="Q21" cm="1">
        <f t="array" ref="Q21">IF($N21="","",SUMPRODUCT(--(Checklist!$A$5:$A$483=$N21)*(--(Checklist!$F$5:$F$483=Values!$B$4)+--(Checklist!$F$5:$F$483=Values!$B$5))))</f>
        <v>0</v>
      </c>
      <c r="R21">
        <f>IF($N21="","",SUM(O21:Q21))</f>
        <v>14</v>
      </c>
      <c r="S21" s="16">
        <f>IF($N21="","",Q21/R21)</f>
        <v>0</v>
      </c>
    </row>
    <row r="22" spans="14:19" x14ac:dyDescent="0.25">
      <c r="N22" s="14" t="str">
        <f>IF(Values!$C3="","",Values!$C3)</f>
        <v>Networking</v>
      </c>
      <c r="O22" cm="1">
        <f t="array" ref="O22">IF($N22="","",SUMPRODUCT(--(Checklist!$A$5:$A$483=$N22)*--(Checklist!$F$5:$F$483=O$20)))</f>
        <v>81</v>
      </c>
      <c r="P22" cm="1">
        <f t="array" ref="P22">IF($N22="","",SUMPRODUCT(--(Checklist!$A$5:$A$483=$N22)*--(Checklist!$F$5:$F$483=P$20)))</f>
        <v>0</v>
      </c>
      <c r="Q22" cm="1">
        <f t="array" ref="Q22">IF($N22="","",SUMPRODUCT(--(Checklist!$A$5:$A$483=$N22)*(--(Checklist!$F$5:$F$483=Values!$B$4)+--(Checklist!$F$5:$F$483=Values!$B$5))))</f>
        <v>0</v>
      </c>
      <c r="R22">
        <f t="shared" ref="R22:R27" si="1">IF($N22="","",SUM(O22:Q22))</f>
        <v>81</v>
      </c>
      <c r="S22" s="16">
        <f t="shared" ref="S22:S27" si="2">IF($N22="","",Q22/R22)</f>
        <v>0</v>
      </c>
    </row>
    <row r="23" spans="14:19" x14ac:dyDescent="0.25">
      <c r="N23" s="14" t="str">
        <f>IF(Values!$C4="","",Values!$C4)</f>
        <v>Security</v>
      </c>
      <c r="O23" cm="1">
        <f t="array" ref="O23">IF($N23="","",SUMPRODUCT(--(Checklist!$A$5:$A$483=$N23)*--(Checklist!$F$5:$F$483=O$20)))</f>
        <v>32</v>
      </c>
      <c r="P23" cm="1">
        <f t="array" ref="P23">IF($N23="","",SUMPRODUCT(--(Checklist!$A$5:$A$483=$N23)*--(Checklist!$F$5:$F$483=P$20)))</f>
        <v>0</v>
      </c>
      <c r="Q23" cm="1">
        <f t="array" ref="Q23">IF($N23="","",SUMPRODUCT(--(Checklist!$A$5:$A$483=$N23)*(--(Checklist!$F$5:$F$483=Values!$B$4)+--(Checklist!$F$5:$F$483=Values!$B$5))))</f>
        <v>0</v>
      </c>
      <c r="R23">
        <f t="shared" si="1"/>
        <v>32</v>
      </c>
      <c r="S23" s="16">
        <f t="shared" si="2"/>
        <v>0</v>
      </c>
    </row>
    <row r="24" spans="14:19" x14ac:dyDescent="0.25">
      <c r="N24" s="14" t="str">
        <f>IF(Values!$C5="","",Values!$C5)</f>
        <v>Management</v>
      </c>
      <c r="O24" cm="1">
        <f t="array" ref="O24">IF($N24="","",SUMPRODUCT(--(Checklist!$A$5:$A$483=$N24)*--(Checklist!$F$5:$F$483=O$20)))</f>
        <v>18</v>
      </c>
      <c r="P24" cm="1">
        <f t="array" ref="P24">IF($N24="","",SUMPRODUCT(--(Checklist!$A$5:$A$483=$N24)*--(Checklist!$F$5:$F$483=P$20)))</f>
        <v>0</v>
      </c>
      <c r="Q24" cm="1">
        <f t="array" ref="Q24">IF($N24="","",SUMPRODUCT(--(Checklist!$A$5:$A$483=$N24)*(--(Checklist!$F$5:$F$483=Values!$B$4)+--(Checklist!$F$5:$F$483=Values!$B$5))))</f>
        <v>0</v>
      </c>
      <c r="R24">
        <f t="shared" si="1"/>
        <v>18</v>
      </c>
      <c r="S24" s="16">
        <f t="shared" si="2"/>
        <v>0</v>
      </c>
    </row>
    <row r="25" spans="14:19" x14ac:dyDescent="0.25">
      <c r="N25" s="14" t="str">
        <f>IF(Values!$C6="","",Values!$C6)</f>
        <v>Subscriptions</v>
      </c>
      <c r="O25" cm="1">
        <f t="array" ref="O25">IF($N25="","",SUMPRODUCT(--(Checklist!$A$5:$A$483=$N25)*--(Checklist!$F$5:$F$483=O$20)))</f>
        <v>16</v>
      </c>
      <c r="P25" cm="1">
        <f t="array" ref="P25">IF($N25="","",SUMPRODUCT(--(Checklist!$A$5:$A$483=$N25)*--(Checklist!$F$5:$F$483=P$20)))</f>
        <v>0</v>
      </c>
      <c r="Q25" cm="1">
        <f t="array" ref="Q25">IF($N25="","",SUMPRODUCT(--(Checklist!$A$5:$A$483=$N25)*(--(Checklist!$F$5:$F$483=Values!$B$4)+--(Checklist!$F$5:$F$483=Values!$B$5))))</f>
        <v>0</v>
      </c>
      <c r="R25">
        <f t="shared" si="1"/>
        <v>16</v>
      </c>
      <c r="S25" s="16">
        <f t="shared" si="2"/>
        <v>0</v>
      </c>
    </row>
    <row r="26" spans="14:19" x14ac:dyDescent="0.25">
      <c r="N26" s="14" t="str">
        <f>IF(Values!$C7="","",Values!$C7)</f>
        <v/>
      </c>
      <c r="O26" t="str" cm="1">
        <f t="array" ref="O26">IF($N26="","",SUMPRODUCT(--(Checklist!$A$5:$A$483=$N26)*--(Checklist!$F$5:$F$483=O$20)))</f>
        <v/>
      </c>
      <c r="P26" t="str" cm="1">
        <f t="array" ref="P26">IF($N26="","",SUMPRODUCT(--(Checklist!$A$5:$A$483=$N26)*--(Checklist!$F$5:$F$483=P$20)))</f>
        <v/>
      </c>
      <c r="Q26" t="str" cm="1">
        <f t="array" ref="Q26">IF($N26="","",SUMPRODUCT(--(Checklist!$A$5:$A$483=$N26)*(--(Checklist!$F$5:$F$483=Values!$B$4)+--(Checklist!$F$5:$F$483=Values!$B$5))))</f>
        <v/>
      </c>
      <c r="R26" t="str">
        <f t="shared" si="1"/>
        <v/>
      </c>
      <c r="S26" s="16" t="str">
        <f t="shared" si="2"/>
        <v/>
      </c>
    </row>
    <row r="27" spans="14:19" x14ac:dyDescent="0.25">
      <c r="N27" s="14" t="str">
        <f>IF(Values!$C8="","",Values!$C8)</f>
        <v/>
      </c>
      <c r="O27" t="str" cm="1">
        <f t="array" ref="O27">IF($N27="","",SUMPRODUCT(--(Checklist!$A$5:$A$483=$N27)*--(Checklist!$F$5:$F$483=O$20)))</f>
        <v/>
      </c>
      <c r="P27" t="str" cm="1">
        <f t="array" ref="P27">IF($N27="","",SUMPRODUCT(--(Checklist!$A$5:$A$483=$N27)*--(Checklist!$F$5:$F$483=P$20)))</f>
        <v/>
      </c>
      <c r="Q27" t="str" cm="1">
        <f t="array" ref="Q27">IF($N27="","",SUMPRODUCT(--(Checklist!$A$5:$A$483=$N27)*(--(Checklist!$F$5:$F$483=Values!$B$4)+--(Checklist!$F$5:$F$483=Values!$B$5))))</f>
        <v/>
      </c>
      <c r="R27" t="str">
        <f t="shared" si="1"/>
        <v/>
      </c>
      <c r="S27" s="16" t="str">
        <f t="shared" si="2"/>
        <v/>
      </c>
    </row>
    <row r="28" spans="14:19" x14ac:dyDescent="0.25">
      <c r="N28" s="14" t="str">
        <f>IF(Values!$C9="","",Values!$C9)</f>
        <v/>
      </c>
      <c r="O28" t="str" cm="1">
        <f t="array" ref="O28">IF($N28="","",SUMPRODUCT(--(Checklist!$A$5:$A$483=$N28)*--(Checklist!$F$5:$F$483=O$20)))</f>
        <v/>
      </c>
      <c r="P28" t="str" cm="1">
        <f t="array" ref="P28">IF($N28="","",SUMPRODUCT(--(Checklist!$A$5:$A$483=$N28)*--(Checklist!$F$5:$F$483=P$20)))</f>
        <v/>
      </c>
      <c r="Q28" t="str" cm="1">
        <f t="array" ref="Q28">IF($N28="","",SUMPRODUCT(--(Checklist!$A$5:$A$483=$N28)*(--(Checklist!$F$5:$F$483=Values!$B$4)+--(Checklist!$F$5:$F$483=Values!$B$5))))</f>
        <v/>
      </c>
      <c r="R28" t="str">
        <f>IF($N28="","",SUM(O28:Q28))</f>
        <v/>
      </c>
      <c r="S28" s="16" t="str">
        <f>IF($N28="","",Q28/R28)</f>
        <v/>
      </c>
    </row>
    <row r="29" spans="14:19" x14ac:dyDescent="0.25">
      <c r="O29">
        <f>SUM(O21:O28)</f>
        <v>161</v>
      </c>
      <c r="P29">
        <f>SUM(P21:P28)</f>
        <v>0</v>
      </c>
      <c r="Q29">
        <f>SUM(Q21:Q28)</f>
        <v>0</v>
      </c>
      <c r="R29" s="14">
        <f>SUM(R21:R28)</f>
        <v>161</v>
      </c>
      <c r="S29" s="17">
        <f>IF(R29=0,0,Q29/R29)</f>
        <v>0</v>
      </c>
    </row>
  </sheetData>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L286"/>
  <sheetViews>
    <sheetView showGridLines="0" tabSelected="1" topLeftCell="A134" zoomScale="80" zoomScaleNormal="80" workbookViewId="0">
      <selection activeCell="I146" sqref="I146"/>
    </sheetView>
  </sheetViews>
  <sheetFormatPr defaultColWidth="9" defaultRowHeight="16.5" x14ac:dyDescent="0.25"/>
  <cols>
    <col min="1" max="1" width="19" style="1" customWidth="1"/>
    <col min="2" max="2" width="22.28515625" style="1" customWidth="1"/>
    <col min="3" max="3" width="94.5703125" style="2" customWidth="1"/>
    <col min="4" max="4" width="34.140625" style="2" customWidth="1"/>
    <col min="5" max="5" width="16.140625" style="2" customWidth="1"/>
    <col min="6" max="6" width="15.140625" style="2" customWidth="1"/>
    <col min="7" max="7" width="76" style="2" customWidth="1"/>
    <col min="8" max="8" width="18.42578125" style="2" customWidth="1"/>
    <col min="9" max="9" width="14.5703125" style="2" customWidth="1"/>
    <col min="10" max="11" width="9" style="2"/>
    <col min="12" max="12" width="41.28515625" style="2" customWidth="1"/>
    <col min="13" max="16384" width="9" style="2"/>
  </cols>
  <sheetData>
    <row r="1" spans="1:12" ht="121.9" customHeight="1" x14ac:dyDescent="0.3">
      <c r="A1" s="31"/>
      <c r="B1" s="31"/>
      <c r="C1" s="13" t="s">
        <v>12</v>
      </c>
      <c r="D1" s="13"/>
      <c r="E1" s="29" t="s">
        <v>34</v>
      </c>
      <c r="F1" s="30" t="s">
        <v>38</v>
      </c>
    </row>
    <row r="2" spans="1:12" s="5" customFormat="1" ht="24.6" customHeight="1" x14ac:dyDescent="0.25">
      <c r="A2" s="20" t="s">
        <v>43</v>
      </c>
      <c r="B2" s="4"/>
      <c r="C2" s="4"/>
      <c r="D2" s="4"/>
      <c r="E2" s="4"/>
      <c r="F2" s="4"/>
      <c r="G2" s="4"/>
      <c r="H2" s="4"/>
    </row>
    <row r="3" spans="1:12" x14ac:dyDescent="0.25">
      <c r="A3" s="3"/>
      <c r="B3" s="3"/>
      <c r="C3" s="7"/>
      <c r="D3" s="7"/>
      <c r="E3" s="3"/>
      <c r="F3" s="3"/>
      <c r="G3" s="3"/>
      <c r="H3" s="3"/>
    </row>
    <row r="4" spans="1:12" s="6" customFormat="1" ht="25.5" x14ac:dyDescent="0.25">
      <c r="A4" s="6" t="s">
        <v>0</v>
      </c>
      <c r="B4" s="6" t="s">
        <v>1</v>
      </c>
      <c r="C4" s="6" t="s">
        <v>29</v>
      </c>
      <c r="D4" s="6" t="s">
        <v>30</v>
      </c>
      <c r="E4" s="6" t="s">
        <v>2</v>
      </c>
      <c r="F4" s="6" t="s">
        <v>3</v>
      </c>
      <c r="G4" s="6" t="s">
        <v>4</v>
      </c>
      <c r="H4" s="6" t="s">
        <v>13</v>
      </c>
      <c r="I4" s="6" t="s">
        <v>19</v>
      </c>
      <c r="J4" s="22" t="s">
        <v>21</v>
      </c>
      <c r="K4" s="22" t="s">
        <v>22</v>
      </c>
      <c r="L4" s="22" t="s">
        <v>23</v>
      </c>
    </row>
    <row r="5" spans="1:12" ht="16.5" customHeight="1" x14ac:dyDescent="0.25">
      <c r="A5" s="2" t="s">
        <v>31</v>
      </c>
      <c r="B5" s="2" t="s">
        <v>31</v>
      </c>
      <c r="C5" s="2" t="s">
        <v>44</v>
      </c>
      <c r="D5" s="26"/>
      <c r="E5" s="2" t="s">
        <v>5</v>
      </c>
      <c r="F5" s="2" t="s">
        <v>6</v>
      </c>
      <c r="H5" s="18" t="s">
        <v>13</v>
      </c>
      <c r="I5" s="27" t="s">
        <v>19</v>
      </c>
      <c r="J5" s="21"/>
      <c r="K5" s="21"/>
      <c r="L5" s="23" t="s">
        <v>45</v>
      </c>
    </row>
    <row r="6" spans="1:12" ht="16.5" customHeight="1" x14ac:dyDescent="0.25">
      <c r="A6" s="2" t="s">
        <v>31</v>
      </c>
      <c r="B6" s="2" t="s">
        <v>31</v>
      </c>
      <c r="C6" s="2" t="s">
        <v>46</v>
      </c>
      <c r="D6" s="26"/>
      <c r="E6" s="2" t="s">
        <v>5</v>
      </c>
      <c r="F6" s="2" t="s">
        <v>6</v>
      </c>
      <c r="H6" s="18" t="s">
        <v>13</v>
      </c>
      <c r="I6" s="27" t="s">
        <v>19</v>
      </c>
      <c r="J6" s="21"/>
      <c r="K6" s="21"/>
      <c r="L6" s="21" t="s">
        <v>47</v>
      </c>
    </row>
    <row r="7" spans="1:12" ht="16.5" customHeight="1" x14ac:dyDescent="0.25">
      <c r="A7" s="2" t="s">
        <v>31</v>
      </c>
      <c r="B7" s="2" t="s">
        <v>31</v>
      </c>
      <c r="C7" s="2" t="s">
        <v>48</v>
      </c>
      <c r="D7" s="26"/>
      <c r="E7" s="2" t="s">
        <v>7</v>
      </c>
      <c r="F7" s="2" t="s">
        <v>6</v>
      </c>
      <c r="H7" s="18" t="s">
        <v>13</v>
      </c>
      <c r="I7" s="27" t="s">
        <v>19</v>
      </c>
      <c r="J7" s="21"/>
      <c r="K7" s="21"/>
      <c r="L7" s="23" t="s">
        <v>49</v>
      </c>
    </row>
    <row r="8" spans="1:12" ht="16.5" customHeight="1" x14ac:dyDescent="0.25">
      <c r="A8" s="2" t="s">
        <v>31</v>
      </c>
      <c r="B8" s="2" t="s">
        <v>31</v>
      </c>
      <c r="C8" s="2" t="s">
        <v>50</v>
      </c>
      <c r="D8" s="26"/>
      <c r="E8" s="2" t="s">
        <v>5</v>
      </c>
      <c r="F8" s="2" t="s">
        <v>6</v>
      </c>
      <c r="H8" s="18" t="s">
        <v>13</v>
      </c>
      <c r="I8" s="27" t="s">
        <v>19</v>
      </c>
      <c r="J8" s="21"/>
      <c r="K8" s="21"/>
      <c r="L8" s="21" t="s">
        <v>51</v>
      </c>
    </row>
    <row r="9" spans="1:12" ht="16.5" customHeight="1" x14ac:dyDescent="0.25">
      <c r="A9" s="2" t="s">
        <v>31</v>
      </c>
      <c r="B9" s="2" t="s">
        <v>31</v>
      </c>
      <c r="C9" s="2" t="s">
        <v>52</v>
      </c>
      <c r="D9" s="26"/>
      <c r="E9" s="2" t="s">
        <v>8</v>
      </c>
      <c r="F9" s="2" t="s">
        <v>6</v>
      </c>
      <c r="H9" s="18" t="s">
        <v>13</v>
      </c>
      <c r="I9" s="27" t="s">
        <v>19</v>
      </c>
      <c r="J9" s="21"/>
      <c r="K9" s="21"/>
      <c r="L9" s="21" t="s">
        <v>53</v>
      </c>
    </row>
    <row r="10" spans="1:12" ht="16.5" customHeight="1" x14ac:dyDescent="0.25">
      <c r="A10" s="2" t="s">
        <v>31</v>
      </c>
      <c r="B10" s="2" t="s">
        <v>31</v>
      </c>
      <c r="C10" s="2" t="s">
        <v>54</v>
      </c>
      <c r="D10" s="26"/>
      <c r="E10" s="2" t="s">
        <v>8</v>
      </c>
      <c r="F10" s="2" t="s">
        <v>6</v>
      </c>
      <c r="H10" s="18" t="s">
        <v>13</v>
      </c>
      <c r="I10" s="27" t="s">
        <v>19</v>
      </c>
      <c r="J10" s="21"/>
      <c r="K10" s="21"/>
      <c r="L10" s="21" t="s">
        <v>55</v>
      </c>
    </row>
    <row r="11" spans="1:12" ht="16.5" customHeight="1" x14ac:dyDescent="0.25">
      <c r="A11" s="2" t="s">
        <v>31</v>
      </c>
      <c r="B11" s="2" t="s">
        <v>31</v>
      </c>
      <c r="C11" s="2" t="s">
        <v>56</v>
      </c>
      <c r="D11" s="26"/>
      <c r="E11" s="2" t="s">
        <v>5</v>
      </c>
      <c r="F11" s="2" t="s">
        <v>6</v>
      </c>
      <c r="H11" s="18" t="s">
        <v>13</v>
      </c>
      <c r="I11" s="27" t="s">
        <v>19</v>
      </c>
      <c r="J11" s="21"/>
      <c r="K11" s="21"/>
      <c r="L11" s="21" t="s">
        <v>57</v>
      </c>
    </row>
    <row r="12" spans="1:12" ht="16.5" customHeight="1" x14ac:dyDescent="0.25">
      <c r="A12" s="2" t="s">
        <v>31</v>
      </c>
      <c r="B12" s="2" t="s">
        <v>31</v>
      </c>
      <c r="C12" s="2" t="s">
        <v>58</v>
      </c>
      <c r="D12" s="26"/>
      <c r="E12" s="2" t="s">
        <v>8</v>
      </c>
      <c r="F12" s="2" t="s">
        <v>6</v>
      </c>
      <c r="H12" s="18" t="s">
        <v>13</v>
      </c>
      <c r="I12" s="27" t="s">
        <v>19</v>
      </c>
      <c r="J12" s="21"/>
      <c r="K12" s="21"/>
      <c r="L12" s="21" t="s">
        <v>59</v>
      </c>
    </row>
    <row r="13" spans="1:12" ht="16.5" customHeight="1" x14ac:dyDescent="0.25">
      <c r="A13" s="2" t="s">
        <v>31</v>
      </c>
      <c r="B13" s="2" t="s">
        <v>31</v>
      </c>
      <c r="C13" s="2" t="s">
        <v>60</v>
      </c>
      <c r="D13" s="26"/>
      <c r="E13" s="2" t="s">
        <v>8</v>
      </c>
      <c r="F13" s="2" t="s">
        <v>6</v>
      </c>
      <c r="H13" s="18" t="s">
        <v>13</v>
      </c>
      <c r="I13" s="27" t="s">
        <v>19</v>
      </c>
      <c r="J13" s="21"/>
      <c r="K13" s="21"/>
      <c r="L13" s="21" t="s">
        <v>61</v>
      </c>
    </row>
    <row r="14" spans="1:12" ht="16.5" customHeight="1" x14ac:dyDescent="0.25">
      <c r="A14" s="2" t="s">
        <v>31</v>
      </c>
      <c r="B14" s="2" t="s">
        <v>31</v>
      </c>
      <c r="C14" s="2" t="s">
        <v>62</v>
      </c>
      <c r="D14" s="26"/>
      <c r="E14" s="2" t="s">
        <v>8</v>
      </c>
      <c r="F14" s="2" t="s">
        <v>6</v>
      </c>
      <c r="H14" s="18" t="s">
        <v>13</v>
      </c>
      <c r="I14" s="27" t="s">
        <v>19</v>
      </c>
      <c r="J14" s="21"/>
      <c r="K14" s="21"/>
      <c r="L14" s="21" t="s">
        <v>63</v>
      </c>
    </row>
    <row r="15" spans="1:12" ht="16.5" customHeight="1" x14ac:dyDescent="0.25">
      <c r="A15" s="2" t="s">
        <v>31</v>
      </c>
      <c r="B15" s="2" t="s">
        <v>31</v>
      </c>
      <c r="C15" s="2" t="s">
        <v>64</v>
      </c>
      <c r="D15" s="26"/>
      <c r="E15" s="2" t="s">
        <v>8</v>
      </c>
      <c r="F15" s="2" t="s">
        <v>6</v>
      </c>
      <c r="H15" s="18" t="s">
        <v>13</v>
      </c>
      <c r="I15" s="27" t="s">
        <v>19</v>
      </c>
      <c r="J15" s="21"/>
      <c r="K15" s="21"/>
      <c r="L15" s="23" t="s">
        <v>65</v>
      </c>
    </row>
    <row r="16" spans="1:12" ht="16.5" customHeight="1" x14ac:dyDescent="0.25">
      <c r="A16" s="2" t="s">
        <v>31</v>
      </c>
      <c r="B16" s="2" t="s">
        <v>31</v>
      </c>
      <c r="C16" s="2" t="s">
        <v>66</v>
      </c>
      <c r="D16" s="26"/>
      <c r="E16" s="2" t="s">
        <v>8</v>
      </c>
      <c r="F16" s="2" t="s">
        <v>6</v>
      </c>
      <c r="H16" s="18" t="s">
        <v>13</v>
      </c>
      <c r="I16" s="27" t="s">
        <v>19</v>
      </c>
      <c r="J16" s="21"/>
      <c r="K16" s="21"/>
      <c r="L16" s="23" t="s">
        <v>67</v>
      </c>
    </row>
    <row r="17" spans="1:12" ht="16.5" customHeight="1" x14ac:dyDescent="0.25">
      <c r="A17" s="2" t="s">
        <v>31</v>
      </c>
      <c r="B17" s="2" t="s">
        <v>31</v>
      </c>
      <c r="C17" s="2" t="s">
        <v>68</v>
      </c>
      <c r="D17" s="26"/>
      <c r="E17" s="2" t="s">
        <v>8</v>
      </c>
      <c r="F17" s="2" t="s">
        <v>6</v>
      </c>
      <c r="H17" s="18" t="s">
        <v>13</v>
      </c>
      <c r="I17" s="27" t="s">
        <v>19</v>
      </c>
      <c r="J17" s="21"/>
      <c r="K17" s="21"/>
      <c r="L17" s="23" t="s">
        <v>69</v>
      </c>
    </row>
    <row r="18" spans="1:12" ht="16.5" customHeight="1" x14ac:dyDescent="0.25">
      <c r="A18" s="2" t="s">
        <v>31</v>
      </c>
      <c r="B18" s="2" t="s">
        <v>31</v>
      </c>
      <c r="C18" s="2" t="s">
        <v>70</v>
      </c>
      <c r="D18" s="26"/>
      <c r="E18" s="2" t="s">
        <v>8</v>
      </c>
      <c r="F18" s="2" t="s">
        <v>6</v>
      </c>
      <c r="G18" s="1"/>
      <c r="H18" s="18" t="s">
        <v>13</v>
      </c>
      <c r="I18" s="27" t="s">
        <v>19</v>
      </c>
      <c r="J18" s="21"/>
      <c r="K18" s="21"/>
      <c r="L18" s="21" t="s">
        <v>71</v>
      </c>
    </row>
    <row r="19" spans="1:12" ht="16.5" customHeight="1" x14ac:dyDescent="0.25">
      <c r="A19" s="2" t="s">
        <v>72</v>
      </c>
      <c r="B19" s="2" t="s">
        <v>72</v>
      </c>
      <c r="C19" s="2" t="s">
        <v>73</v>
      </c>
      <c r="D19" s="26"/>
      <c r="E19" s="2" t="s">
        <v>8</v>
      </c>
      <c r="F19" s="2" t="s">
        <v>6</v>
      </c>
      <c r="H19" s="18" t="s">
        <v>13</v>
      </c>
      <c r="I19" s="27" t="s">
        <v>19</v>
      </c>
      <c r="J19" s="21" t="s">
        <v>75</v>
      </c>
      <c r="K19" s="21" t="s">
        <v>76</v>
      </c>
      <c r="L19" s="21" t="s">
        <v>74</v>
      </c>
    </row>
    <row r="20" spans="1:12" ht="16.5" customHeight="1" x14ac:dyDescent="0.25">
      <c r="A20" s="2" t="s">
        <v>72</v>
      </c>
      <c r="B20" s="2" t="s">
        <v>72</v>
      </c>
      <c r="C20" s="2" t="s">
        <v>77</v>
      </c>
      <c r="D20" s="26"/>
      <c r="E20" s="2" t="s">
        <v>8</v>
      </c>
      <c r="F20" s="2" t="s">
        <v>6</v>
      </c>
      <c r="H20" s="18" t="s">
        <v>13</v>
      </c>
      <c r="I20" s="27" t="s">
        <v>19</v>
      </c>
      <c r="J20" s="21"/>
      <c r="K20" s="21"/>
      <c r="L20" s="21" t="s">
        <v>78</v>
      </c>
    </row>
    <row r="21" spans="1:12" ht="16.5" customHeight="1" x14ac:dyDescent="0.25">
      <c r="A21" s="2" t="s">
        <v>72</v>
      </c>
      <c r="B21" s="2" t="s">
        <v>72</v>
      </c>
      <c r="C21" s="2" t="s">
        <v>79</v>
      </c>
      <c r="D21" s="26"/>
      <c r="E21" s="2" t="s">
        <v>8</v>
      </c>
      <c r="F21" s="2" t="s">
        <v>6</v>
      </c>
      <c r="H21" s="18" t="s">
        <v>13</v>
      </c>
      <c r="I21" s="27" t="s">
        <v>19</v>
      </c>
      <c r="J21" s="21"/>
      <c r="K21" s="21"/>
      <c r="L21" s="21" t="s">
        <v>80</v>
      </c>
    </row>
    <row r="22" spans="1:12" ht="16.5" customHeight="1" x14ac:dyDescent="0.25">
      <c r="A22" s="2" t="s">
        <v>72</v>
      </c>
      <c r="B22" s="2" t="s">
        <v>72</v>
      </c>
      <c r="C22" s="2" t="s">
        <v>81</v>
      </c>
      <c r="D22" s="26"/>
      <c r="E22" s="2" t="s">
        <v>8</v>
      </c>
      <c r="F22" s="2" t="s">
        <v>6</v>
      </c>
      <c r="G22" s="1"/>
      <c r="H22" s="18" t="s">
        <v>13</v>
      </c>
      <c r="I22" s="27" t="s">
        <v>19</v>
      </c>
      <c r="J22" s="21"/>
      <c r="K22" s="21"/>
      <c r="L22" s="21" t="s">
        <v>82</v>
      </c>
    </row>
    <row r="23" spans="1:12" ht="16.5" customHeight="1" x14ac:dyDescent="0.25">
      <c r="A23" s="2" t="s">
        <v>72</v>
      </c>
      <c r="B23" s="2" t="s">
        <v>72</v>
      </c>
      <c r="C23" s="2" t="s">
        <v>83</v>
      </c>
      <c r="D23" s="26"/>
      <c r="E23" s="2" t="s">
        <v>8</v>
      </c>
      <c r="F23" s="2" t="s">
        <v>6</v>
      </c>
      <c r="G23" s="1"/>
      <c r="H23" s="18" t="s">
        <v>13</v>
      </c>
      <c r="I23" s="27" t="s">
        <v>19</v>
      </c>
      <c r="J23" s="21"/>
      <c r="K23" s="21"/>
      <c r="L23" s="21" t="s">
        <v>84</v>
      </c>
    </row>
    <row r="24" spans="1:12" ht="16.5" customHeight="1" x14ac:dyDescent="0.25">
      <c r="A24" s="2" t="s">
        <v>72</v>
      </c>
      <c r="B24" s="2" t="s">
        <v>72</v>
      </c>
      <c r="C24" s="2" t="s">
        <v>85</v>
      </c>
      <c r="D24" s="26"/>
      <c r="E24" s="2" t="s">
        <v>8</v>
      </c>
      <c r="F24" s="2" t="s">
        <v>6</v>
      </c>
      <c r="H24" s="18" t="s">
        <v>13</v>
      </c>
      <c r="I24" s="27"/>
      <c r="J24" s="21"/>
      <c r="K24" s="21"/>
      <c r="L24" s="21" t="s">
        <v>86</v>
      </c>
    </row>
    <row r="25" spans="1:12" ht="16.5" customHeight="1" x14ac:dyDescent="0.25">
      <c r="A25" s="2" t="s">
        <v>72</v>
      </c>
      <c r="B25" s="2" t="s">
        <v>72</v>
      </c>
      <c r="C25" s="2" t="s">
        <v>87</v>
      </c>
      <c r="D25" s="26"/>
      <c r="E25" s="2" t="s">
        <v>8</v>
      </c>
      <c r="F25" s="2" t="s">
        <v>6</v>
      </c>
      <c r="H25" s="18" t="s">
        <v>13</v>
      </c>
      <c r="I25" s="12"/>
      <c r="J25" s="21"/>
      <c r="K25" s="21"/>
      <c r="L25" s="21" t="s">
        <v>88</v>
      </c>
    </row>
    <row r="26" spans="1:12" ht="16.5" customHeight="1" x14ac:dyDescent="0.25">
      <c r="A26" s="2" t="s">
        <v>72</v>
      </c>
      <c r="B26" s="2" t="s">
        <v>72</v>
      </c>
      <c r="C26" s="2" t="s">
        <v>89</v>
      </c>
      <c r="D26" s="26"/>
      <c r="E26" s="2" t="s">
        <v>8</v>
      </c>
      <c r="F26" s="2" t="s">
        <v>6</v>
      </c>
      <c r="H26" s="18" t="s">
        <v>13</v>
      </c>
      <c r="I26" s="12"/>
      <c r="J26" s="21"/>
      <c r="K26" s="21"/>
      <c r="L26" s="21" t="s">
        <v>90</v>
      </c>
    </row>
    <row r="27" spans="1:12" ht="16.5" customHeight="1" x14ac:dyDescent="0.25">
      <c r="A27" s="2" t="s">
        <v>72</v>
      </c>
      <c r="B27" s="2" t="s">
        <v>72</v>
      </c>
      <c r="C27" s="2" t="s">
        <v>91</v>
      </c>
      <c r="D27" s="26"/>
      <c r="E27" s="2" t="s">
        <v>5</v>
      </c>
      <c r="F27" s="2" t="s">
        <v>6</v>
      </c>
      <c r="H27" s="18" t="s">
        <v>13</v>
      </c>
      <c r="I27" s="12"/>
      <c r="J27" s="21"/>
      <c r="K27" s="21"/>
      <c r="L27" s="21" t="s">
        <v>92</v>
      </c>
    </row>
    <row r="28" spans="1:12" ht="16.5" customHeight="1" x14ac:dyDescent="0.25">
      <c r="A28" s="2" t="s">
        <v>72</v>
      </c>
      <c r="B28" s="2" t="s">
        <v>72</v>
      </c>
      <c r="C28" s="2" t="s">
        <v>93</v>
      </c>
      <c r="D28" s="26"/>
      <c r="E28" s="2" t="s">
        <v>8</v>
      </c>
      <c r="F28" s="2" t="s">
        <v>6</v>
      </c>
      <c r="G28" s="1"/>
      <c r="H28" s="18" t="s">
        <v>13</v>
      </c>
      <c r="I28" s="12"/>
      <c r="J28" s="21"/>
      <c r="K28" s="21"/>
      <c r="L28" s="21" t="s">
        <v>94</v>
      </c>
    </row>
    <row r="29" spans="1:12" ht="16.5" customHeight="1" x14ac:dyDescent="0.25">
      <c r="A29" s="2" t="s">
        <v>72</v>
      </c>
      <c r="B29" s="2" t="s">
        <v>72</v>
      </c>
      <c r="C29" s="2" t="s">
        <v>95</v>
      </c>
      <c r="D29" s="26"/>
      <c r="E29" s="2" t="s">
        <v>5</v>
      </c>
      <c r="F29" s="2" t="s">
        <v>6</v>
      </c>
      <c r="H29" s="18" t="s">
        <v>13</v>
      </c>
      <c r="I29" s="27" t="s">
        <v>19</v>
      </c>
      <c r="J29" s="21"/>
      <c r="K29" s="21"/>
      <c r="L29" s="23" t="s">
        <v>96</v>
      </c>
    </row>
    <row r="30" spans="1:12" ht="16.5" customHeight="1" x14ac:dyDescent="0.25">
      <c r="A30" s="2" t="s">
        <v>72</v>
      </c>
      <c r="B30" s="2" t="s">
        <v>72</v>
      </c>
      <c r="C30" s="2" t="s">
        <v>97</v>
      </c>
      <c r="D30" s="26"/>
      <c r="E30" s="2" t="s">
        <v>5</v>
      </c>
      <c r="F30" s="2" t="s">
        <v>6</v>
      </c>
      <c r="H30" s="18" t="s">
        <v>13</v>
      </c>
      <c r="I30" s="27" t="s">
        <v>19</v>
      </c>
      <c r="J30" s="21"/>
      <c r="K30" s="21"/>
      <c r="L30" s="21" t="s">
        <v>98</v>
      </c>
    </row>
    <row r="31" spans="1:12" ht="16.5" customHeight="1" x14ac:dyDescent="0.25">
      <c r="A31" s="2" t="s">
        <v>72</v>
      </c>
      <c r="B31" s="2" t="s">
        <v>72</v>
      </c>
      <c r="C31" s="2" t="s">
        <v>99</v>
      </c>
      <c r="D31" s="26"/>
      <c r="E31" s="2" t="s">
        <v>8</v>
      </c>
      <c r="F31" s="2" t="s">
        <v>6</v>
      </c>
      <c r="G31" s="1"/>
      <c r="H31" s="18" t="s">
        <v>13</v>
      </c>
      <c r="I31" s="27" t="s">
        <v>19</v>
      </c>
      <c r="J31" s="21"/>
      <c r="K31" s="21"/>
      <c r="L31" s="21" t="s">
        <v>100</v>
      </c>
    </row>
    <row r="32" spans="1:12" ht="16.5" customHeight="1" x14ac:dyDescent="0.25">
      <c r="A32" s="2" t="s">
        <v>72</v>
      </c>
      <c r="B32" s="2" t="s">
        <v>72</v>
      </c>
      <c r="C32" s="2" t="s">
        <v>101</v>
      </c>
      <c r="D32" s="26"/>
      <c r="E32" s="2" t="s">
        <v>5</v>
      </c>
      <c r="F32" s="2" t="s">
        <v>6</v>
      </c>
      <c r="G32" s="1"/>
      <c r="H32" s="18" t="s">
        <v>13</v>
      </c>
      <c r="I32" s="27" t="s">
        <v>19</v>
      </c>
      <c r="J32" s="21"/>
      <c r="K32" s="21"/>
      <c r="L32" s="21" t="s">
        <v>102</v>
      </c>
    </row>
    <row r="33" spans="1:12" ht="16.5" customHeight="1" x14ac:dyDescent="0.25">
      <c r="A33" s="2" t="s">
        <v>72</v>
      </c>
      <c r="B33" s="2" t="s">
        <v>72</v>
      </c>
      <c r="C33" s="2" t="s">
        <v>103</v>
      </c>
      <c r="D33" s="26"/>
      <c r="E33" s="2" t="s">
        <v>8</v>
      </c>
      <c r="F33" s="2" t="s">
        <v>6</v>
      </c>
      <c r="G33" s="1"/>
      <c r="H33" s="18" t="s">
        <v>13</v>
      </c>
      <c r="I33" s="27" t="s">
        <v>19</v>
      </c>
      <c r="J33" s="21"/>
      <c r="K33" s="21"/>
      <c r="L33" s="21" t="s">
        <v>104</v>
      </c>
    </row>
    <row r="34" spans="1:12" ht="16.5" customHeight="1" x14ac:dyDescent="0.25">
      <c r="A34" s="2" t="s">
        <v>72</v>
      </c>
      <c r="B34" s="2" t="s">
        <v>72</v>
      </c>
      <c r="C34" s="2" t="s">
        <v>105</v>
      </c>
      <c r="D34" s="26"/>
      <c r="E34" s="2" t="s">
        <v>8</v>
      </c>
      <c r="F34" s="2" t="s">
        <v>6</v>
      </c>
      <c r="H34" s="18" t="s">
        <v>13</v>
      </c>
      <c r="I34" s="27" t="s">
        <v>19</v>
      </c>
      <c r="J34" s="21"/>
      <c r="K34" s="21"/>
      <c r="L34" s="21" t="s">
        <v>106</v>
      </c>
    </row>
    <row r="35" spans="1:12" ht="16.5" customHeight="1" x14ac:dyDescent="0.25">
      <c r="A35" s="2" t="s">
        <v>107</v>
      </c>
      <c r="B35" s="2" t="s">
        <v>108</v>
      </c>
      <c r="C35" s="2" t="s">
        <v>109</v>
      </c>
      <c r="D35" s="26"/>
      <c r="E35" s="2" t="s">
        <v>8</v>
      </c>
      <c r="F35" s="2" t="s">
        <v>6</v>
      </c>
      <c r="H35" s="18" t="s">
        <v>13</v>
      </c>
      <c r="I35" s="27" t="s">
        <v>19</v>
      </c>
      <c r="J35" s="21"/>
      <c r="K35" s="21"/>
      <c r="L35" s="21" t="s">
        <v>110</v>
      </c>
    </row>
    <row r="36" spans="1:12" ht="16.5" customHeight="1" x14ac:dyDescent="0.25">
      <c r="A36" s="2" t="s">
        <v>107</v>
      </c>
      <c r="B36" s="2" t="s">
        <v>108</v>
      </c>
      <c r="C36" s="2" t="s">
        <v>111</v>
      </c>
      <c r="D36" s="26"/>
      <c r="E36" s="2" t="s">
        <v>8</v>
      </c>
      <c r="F36" s="2" t="s">
        <v>6</v>
      </c>
      <c r="H36" s="18" t="s">
        <v>13</v>
      </c>
      <c r="I36" s="27" t="s">
        <v>19</v>
      </c>
      <c r="J36" s="21" t="s">
        <v>113</v>
      </c>
      <c r="K36" s="21" t="s">
        <v>114</v>
      </c>
      <c r="L36" s="21" t="s">
        <v>112</v>
      </c>
    </row>
    <row r="37" spans="1:12" ht="16.5" customHeight="1" x14ac:dyDescent="0.25">
      <c r="A37" s="2" t="s">
        <v>107</v>
      </c>
      <c r="B37" s="2" t="s">
        <v>108</v>
      </c>
      <c r="C37" s="2" t="s">
        <v>115</v>
      </c>
      <c r="D37" s="26"/>
      <c r="E37" s="2" t="s">
        <v>8</v>
      </c>
      <c r="F37" s="2" t="s">
        <v>6</v>
      </c>
      <c r="H37" s="18" t="s">
        <v>13</v>
      </c>
      <c r="I37" s="27" t="s">
        <v>19</v>
      </c>
      <c r="J37" s="21" t="s">
        <v>117</v>
      </c>
      <c r="K37" s="21" t="s">
        <v>118</v>
      </c>
      <c r="L37" s="21" t="s">
        <v>116</v>
      </c>
    </row>
    <row r="38" spans="1:12" ht="16.5" customHeight="1" x14ac:dyDescent="0.25">
      <c r="A38" s="2" t="s">
        <v>107</v>
      </c>
      <c r="B38" s="2" t="s">
        <v>108</v>
      </c>
      <c r="C38" s="2" t="s">
        <v>119</v>
      </c>
      <c r="D38" s="26"/>
      <c r="E38" s="2" t="s">
        <v>8</v>
      </c>
      <c r="F38" s="2" t="s">
        <v>6</v>
      </c>
      <c r="H38" s="18" t="s">
        <v>13</v>
      </c>
      <c r="I38" s="27" t="s">
        <v>19</v>
      </c>
      <c r="J38" s="21"/>
      <c r="K38" s="21"/>
      <c r="L38" s="21" t="s">
        <v>120</v>
      </c>
    </row>
    <row r="39" spans="1:12" ht="16.5" customHeight="1" x14ac:dyDescent="0.25">
      <c r="A39" s="2" t="s">
        <v>107</v>
      </c>
      <c r="B39" s="2" t="s">
        <v>108</v>
      </c>
      <c r="C39" s="2" t="s">
        <v>121</v>
      </c>
      <c r="D39" s="26"/>
      <c r="E39" s="2" t="s">
        <v>8</v>
      </c>
      <c r="F39" s="2" t="s">
        <v>6</v>
      </c>
      <c r="H39" s="18" t="s">
        <v>13</v>
      </c>
      <c r="I39" s="27" t="s">
        <v>19</v>
      </c>
      <c r="J39" s="21"/>
      <c r="K39" s="21"/>
      <c r="L39" s="21" t="s">
        <v>122</v>
      </c>
    </row>
    <row r="40" spans="1:12" ht="16.5" customHeight="1" x14ac:dyDescent="0.25">
      <c r="A40" s="2" t="s">
        <v>107</v>
      </c>
      <c r="B40" s="2" t="s">
        <v>108</v>
      </c>
      <c r="C40" s="2" t="s">
        <v>123</v>
      </c>
      <c r="D40" s="26"/>
      <c r="E40" s="2" t="s">
        <v>8</v>
      </c>
      <c r="F40" s="2" t="s">
        <v>6</v>
      </c>
      <c r="H40" s="18" t="s">
        <v>13</v>
      </c>
      <c r="I40" s="27" t="s">
        <v>19</v>
      </c>
      <c r="J40" s="21"/>
      <c r="K40" s="21"/>
      <c r="L40" s="23" t="s">
        <v>124</v>
      </c>
    </row>
    <row r="41" spans="1:12" ht="16.5" customHeight="1" x14ac:dyDescent="0.25">
      <c r="A41" s="2" t="s">
        <v>107</v>
      </c>
      <c r="B41" s="2" t="s">
        <v>108</v>
      </c>
      <c r="C41" s="2" t="s">
        <v>125</v>
      </c>
      <c r="D41" s="26"/>
      <c r="E41" s="2" t="s">
        <v>8</v>
      </c>
      <c r="F41" s="2" t="s">
        <v>6</v>
      </c>
      <c r="H41" s="18" t="s">
        <v>13</v>
      </c>
      <c r="I41" s="27" t="s">
        <v>19</v>
      </c>
      <c r="J41" s="21"/>
      <c r="K41" s="21"/>
      <c r="L41" s="21" t="s">
        <v>126</v>
      </c>
    </row>
    <row r="42" spans="1:12" ht="16.5" customHeight="1" x14ac:dyDescent="0.25">
      <c r="A42" s="2" t="s">
        <v>107</v>
      </c>
      <c r="B42" s="2" t="s">
        <v>108</v>
      </c>
      <c r="C42" s="2" t="s">
        <v>127</v>
      </c>
      <c r="D42" s="26"/>
      <c r="E42" s="2" t="s">
        <v>8</v>
      </c>
      <c r="F42" s="2" t="s">
        <v>6</v>
      </c>
      <c r="H42" s="18" t="s">
        <v>13</v>
      </c>
      <c r="I42" s="12"/>
      <c r="J42" s="21"/>
      <c r="K42" s="21"/>
      <c r="L42" s="21" t="s">
        <v>128</v>
      </c>
    </row>
    <row r="43" spans="1:12" ht="16.5" customHeight="1" x14ac:dyDescent="0.25">
      <c r="A43" s="2" t="s">
        <v>107</v>
      </c>
      <c r="B43" s="2" t="s">
        <v>108</v>
      </c>
      <c r="C43" s="2" t="s">
        <v>129</v>
      </c>
      <c r="D43" s="26"/>
      <c r="E43" s="2" t="s">
        <v>8</v>
      </c>
      <c r="F43" s="2" t="s">
        <v>6</v>
      </c>
      <c r="H43" s="18"/>
      <c r="I43" s="27" t="s">
        <v>19</v>
      </c>
      <c r="J43" s="21"/>
      <c r="K43" s="21"/>
      <c r="L43" s="21" t="s">
        <v>130</v>
      </c>
    </row>
    <row r="44" spans="1:12" ht="16.5" customHeight="1" x14ac:dyDescent="0.25">
      <c r="A44" s="2" t="s">
        <v>107</v>
      </c>
      <c r="B44" s="2" t="s">
        <v>131</v>
      </c>
      <c r="C44" s="1" t="s">
        <v>132</v>
      </c>
      <c r="D44" s="26"/>
      <c r="E44" s="2" t="s">
        <v>8</v>
      </c>
      <c r="F44" s="2" t="s">
        <v>6</v>
      </c>
      <c r="H44" s="18" t="s">
        <v>13</v>
      </c>
      <c r="I44" s="27" t="s">
        <v>19</v>
      </c>
      <c r="J44" s="21"/>
      <c r="K44" s="21"/>
      <c r="L44" s="21" t="s">
        <v>133</v>
      </c>
    </row>
    <row r="45" spans="1:12" ht="16.5" customHeight="1" x14ac:dyDescent="0.25">
      <c r="A45" s="2" t="s">
        <v>107</v>
      </c>
      <c r="B45" s="2" t="s">
        <v>131</v>
      </c>
      <c r="C45" s="1" t="s">
        <v>134</v>
      </c>
      <c r="D45" s="26"/>
      <c r="E45" s="2" t="s">
        <v>8</v>
      </c>
      <c r="F45" s="2" t="s">
        <v>6</v>
      </c>
      <c r="H45" s="18" t="s">
        <v>13</v>
      </c>
      <c r="I45" s="12"/>
      <c r="J45" s="21"/>
      <c r="K45" s="21"/>
      <c r="L45" s="21" t="s">
        <v>135</v>
      </c>
    </row>
    <row r="46" spans="1:12" ht="16.5" customHeight="1" x14ac:dyDescent="0.25">
      <c r="A46" s="2" t="s">
        <v>107</v>
      </c>
      <c r="B46" s="2" t="s">
        <v>131</v>
      </c>
      <c r="C46" s="2" t="s">
        <v>136</v>
      </c>
      <c r="D46" s="26"/>
      <c r="E46" s="2" t="s">
        <v>8</v>
      </c>
      <c r="F46" s="2" t="s">
        <v>6</v>
      </c>
      <c r="H46" s="18" t="s">
        <v>13</v>
      </c>
      <c r="I46" s="12"/>
      <c r="J46" s="21"/>
      <c r="K46" s="21"/>
      <c r="L46" s="21" t="s">
        <v>137</v>
      </c>
    </row>
    <row r="47" spans="1:12" ht="16.5" customHeight="1" x14ac:dyDescent="0.25">
      <c r="A47" s="2" t="s">
        <v>107</v>
      </c>
      <c r="B47" s="2" t="s">
        <v>131</v>
      </c>
      <c r="C47" s="2" t="s">
        <v>138</v>
      </c>
      <c r="D47" s="26"/>
      <c r="E47" s="2" t="s">
        <v>8</v>
      </c>
      <c r="F47" s="2" t="s">
        <v>6</v>
      </c>
      <c r="H47" s="18" t="s">
        <v>13</v>
      </c>
      <c r="I47" s="27" t="s">
        <v>19</v>
      </c>
      <c r="J47" s="21"/>
      <c r="K47" s="21"/>
      <c r="L47" s="21" t="s">
        <v>139</v>
      </c>
    </row>
    <row r="48" spans="1:12" ht="16.5" customHeight="1" x14ac:dyDescent="0.25">
      <c r="A48" s="2" t="s">
        <v>107</v>
      </c>
      <c r="B48" s="2" t="s">
        <v>131</v>
      </c>
      <c r="C48" s="2" t="s">
        <v>140</v>
      </c>
      <c r="D48" s="26"/>
      <c r="E48" s="2" t="s">
        <v>8</v>
      </c>
      <c r="F48" s="2" t="s">
        <v>6</v>
      </c>
      <c r="H48" s="18" t="s">
        <v>13</v>
      </c>
      <c r="I48" s="27" t="s">
        <v>19</v>
      </c>
      <c r="J48" s="21"/>
      <c r="K48" s="21"/>
      <c r="L48" s="21" t="s">
        <v>141</v>
      </c>
    </row>
    <row r="49" spans="1:12" ht="16.5" customHeight="1" x14ac:dyDescent="0.25">
      <c r="A49" s="2" t="s">
        <v>107</v>
      </c>
      <c r="B49" s="2" t="s">
        <v>131</v>
      </c>
      <c r="C49" s="2" t="s">
        <v>142</v>
      </c>
      <c r="D49" s="26"/>
      <c r="E49" s="2" t="s">
        <v>8</v>
      </c>
      <c r="F49" s="2" t="s">
        <v>6</v>
      </c>
      <c r="H49" s="18" t="s">
        <v>13</v>
      </c>
      <c r="I49" s="27" t="s">
        <v>19</v>
      </c>
      <c r="J49" s="21"/>
      <c r="K49" s="21"/>
      <c r="L49" s="21" t="s">
        <v>143</v>
      </c>
    </row>
    <row r="50" spans="1:12" ht="16.5" customHeight="1" x14ac:dyDescent="0.25">
      <c r="A50" s="2" t="s">
        <v>107</v>
      </c>
      <c r="B50" s="2" t="s">
        <v>131</v>
      </c>
      <c r="C50" s="2" t="s">
        <v>144</v>
      </c>
      <c r="D50" s="26"/>
      <c r="E50" s="2" t="s">
        <v>8</v>
      </c>
      <c r="F50" s="2" t="s">
        <v>6</v>
      </c>
      <c r="H50" s="18" t="s">
        <v>13</v>
      </c>
      <c r="I50" s="12"/>
      <c r="J50" s="21"/>
      <c r="K50" s="21"/>
      <c r="L50" s="21" t="s">
        <v>145</v>
      </c>
    </row>
    <row r="51" spans="1:12" ht="16.5" customHeight="1" x14ac:dyDescent="0.25">
      <c r="A51" s="2" t="s">
        <v>107</v>
      </c>
      <c r="B51" s="2" t="s">
        <v>131</v>
      </c>
      <c r="C51" s="1" t="s">
        <v>146</v>
      </c>
      <c r="D51" s="26"/>
      <c r="E51" s="2" t="s">
        <v>8</v>
      </c>
      <c r="F51" s="2" t="s">
        <v>6</v>
      </c>
      <c r="H51" s="18" t="s">
        <v>13</v>
      </c>
      <c r="I51" s="27" t="s">
        <v>19</v>
      </c>
      <c r="J51" s="21"/>
      <c r="K51" s="21"/>
      <c r="L51" s="21" t="s">
        <v>147</v>
      </c>
    </row>
    <row r="52" spans="1:12" ht="16.5" customHeight="1" x14ac:dyDescent="0.25">
      <c r="A52" s="2" t="s">
        <v>107</v>
      </c>
      <c r="B52" s="2" t="s">
        <v>131</v>
      </c>
      <c r="C52" s="2" t="s">
        <v>148</v>
      </c>
      <c r="D52" s="26"/>
      <c r="E52" s="2" t="s">
        <v>8</v>
      </c>
      <c r="F52" s="2" t="s">
        <v>6</v>
      </c>
      <c r="H52" s="18" t="s">
        <v>13</v>
      </c>
      <c r="I52" s="12"/>
      <c r="J52" s="21"/>
      <c r="K52" s="21"/>
      <c r="L52" s="21" t="s">
        <v>149</v>
      </c>
    </row>
    <row r="53" spans="1:12" ht="16.5" customHeight="1" x14ac:dyDescent="0.25">
      <c r="A53" s="2" t="s">
        <v>107</v>
      </c>
      <c r="B53" s="2" t="s">
        <v>131</v>
      </c>
      <c r="C53" s="2" t="s">
        <v>150</v>
      </c>
      <c r="D53" s="26"/>
      <c r="E53" s="2" t="s">
        <v>8</v>
      </c>
      <c r="F53" s="2" t="s">
        <v>6</v>
      </c>
      <c r="H53" s="18" t="s">
        <v>13</v>
      </c>
      <c r="I53" s="12"/>
      <c r="J53" s="21"/>
      <c r="K53" s="21"/>
      <c r="L53" s="21" t="s">
        <v>151</v>
      </c>
    </row>
    <row r="54" spans="1:12" ht="16.5" customHeight="1" x14ac:dyDescent="0.25">
      <c r="A54" s="2" t="s">
        <v>107</v>
      </c>
      <c r="B54" s="2" t="s">
        <v>131</v>
      </c>
      <c r="C54" s="2" t="s">
        <v>152</v>
      </c>
      <c r="D54" s="26"/>
      <c r="E54" s="2" t="s">
        <v>8</v>
      </c>
      <c r="F54" s="2" t="s">
        <v>6</v>
      </c>
      <c r="H54" s="18" t="s">
        <v>13</v>
      </c>
      <c r="I54" s="12"/>
      <c r="J54" s="21"/>
      <c r="K54" s="21"/>
      <c r="L54" s="21" t="s">
        <v>153</v>
      </c>
    </row>
    <row r="55" spans="1:12" ht="16.5" customHeight="1" x14ac:dyDescent="0.25">
      <c r="A55" s="2" t="s">
        <v>107</v>
      </c>
      <c r="B55" s="2" t="s">
        <v>131</v>
      </c>
      <c r="C55" s="2" t="s">
        <v>154</v>
      </c>
      <c r="D55" s="26"/>
      <c r="E55" s="2" t="s">
        <v>8</v>
      </c>
      <c r="F55" s="2" t="s">
        <v>6</v>
      </c>
      <c r="H55" s="18"/>
      <c r="I55" s="12"/>
      <c r="J55" s="21"/>
      <c r="K55" s="21"/>
      <c r="L55" s="23" t="s">
        <v>155</v>
      </c>
    </row>
    <row r="56" spans="1:12" ht="16.5" customHeight="1" x14ac:dyDescent="0.25">
      <c r="A56" s="2" t="s">
        <v>107</v>
      </c>
      <c r="B56" s="2" t="s">
        <v>156</v>
      </c>
      <c r="C56" s="2" t="s">
        <v>157</v>
      </c>
      <c r="D56" s="26"/>
      <c r="E56" s="2" t="s">
        <v>8</v>
      </c>
      <c r="F56" s="2" t="s">
        <v>6</v>
      </c>
      <c r="H56" s="18" t="s">
        <v>13</v>
      </c>
      <c r="I56" s="27" t="s">
        <v>19</v>
      </c>
      <c r="J56" s="21"/>
      <c r="K56" s="21"/>
      <c r="L56" s="21" t="s">
        <v>158</v>
      </c>
    </row>
    <row r="57" spans="1:12" ht="16.5" customHeight="1" x14ac:dyDescent="0.25">
      <c r="A57" s="2" t="s">
        <v>107</v>
      </c>
      <c r="B57" s="2" t="s">
        <v>156</v>
      </c>
      <c r="C57" s="2" t="s">
        <v>159</v>
      </c>
      <c r="D57" s="26"/>
      <c r="E57" s="2" t="s">
        <v>8</v>
      </c>
      <c r="F57" s="2" t="s">
        <v>6</v>
      </c>
      <c r="H57" s="18" t="s">
        <v>13</v>
      </c>
      <c r="I57" s="12"/>
      <c r="J57" s="21"/>
      <c r="K57" s="21"/>
      <c r="L57" s="21" t="s">
        <v>160</v>
      </c>
    </row>
    <row r="58" spans="1:12" ht="16.5" customHeight="1" x14ac:dyDescent="0.25">
      <c r="A58" s="2" t="s">
        <v>107</v>
      </c>
      <c r="B58" s="2" t="s">
        <v>156</v>
      </c>
      <c r="C58" s="2" t="s">
        <v>161</v>
      </c>
      <c r="D58" s="26"/>
      <c r="E58" s="2" t="s">
        <v>8</v>
      </c>
      <c r="F58" s="2" t="s">
        <v>6</v>
      </c>
      <c r="H58" s="18" t="s">
        <v>13</v>
      </c>
      <c r="I58" s="12"/>
      <c r="J58" s="21"/>
      <c r="K58" s="21"/>
      <c r="L58" s="21" t="s">
        <v>162</v>
      </c>
    </row>
    <row r="59" spans="1:12" ht="16.5" customHeight="1" x14ac:dyDescent="0.25">
      <c r="A59" s="2" t="s">
        <v>107</v>
      </c>
      <c r="B59" s="2" t="s">
        <v>156</v>
      </c>
      <c r="C59" s="2" t="s">
        <v>163</v>
      </c>
      <c r="D59" s="26"/>
      <c r="E59" s="2" t="s">
        <v>8</v>
      </c>
      <c r="F59" s="2" t="s">
        <v>6</v>
      </c>
      <c r="H59" s="18" t="s">
        <v>13</v>
      </c>
      <c r="I59" s="12"/>
      <c r="J59" s="21"/>
      <c r="K59" s="21"/>
      <c r="L59" s="21" t="s">
        <v>164</v>
      </c>
    </row>
    <row r="60" spans="1:12" ht="16.5" customHeight="1" x14ac:dyDescent="0.25">
      <c r="A60" s="2" t="s">
        <v>107</v>
      </c>
      <c r="B60" s="2" t="s">
        <v>156</v>
      </c>
      <c r="C60" s="2" t="s">
        <v>165</v>
      </c>
      <c r="D60" s="26"/>
      <c r="E60" s="2" t="s">
        <v>8</v>
      </c>
      <c r="F60" s="2" t="s">
        <v>6</v>
      </c>
      <c r="H60" s="18" t="s">
        <v>13</v>
      </c>
      <c r="I60" s="12"/>
      <c r="J60" s="21"/>
      <c r="K60" s="21"/>
      <c r="L60" s="23" t="s">
        <v>166</v>
      </c>
    </row>
    <row r="61" spans="1:12" ht="16.5" customHeight="1" x14ac:dyDescent="0.25">
      <c r="A61" s="2" t="s">
        <v>107</v>
      </c>
      <c r="B61" s="2" t="s">
        <v>156</v>
      </c>
      <c r="C61" s="2" t="s">
        <v>167</v>
      </c>
      <c r="D61" s="26"/>
      <c r="E61" s="2" t="s">
        <v>8</v>
      </c>
      <c r="F61" s="2" t="s">
        <v>6</v>
      </c>
      <c r="H61" s="18" t="s">
        <v>13</v>
      </c>
      <c r="I61" s="27" t="s">
        <v>19</v>
      </c>
      <c r="J61" s="21"/>
      <c r="K61" s="21"/>
      <c r="L61" s="21" t="s">
        <v>168</v>
      </c>
    </row>
    <row r="62" spans="1:12" ht="16.5" customHeight="1" x14ac:dyDescent="0.25">
      <c r="A62" s="2" t="s">
        <v>107</v>
      </c>
      <c r="B62" s="2" t="s">
        <v>156</v>
      </c>
      <c r="C62" s="2" t="s">
        <v>169</v>
      </c>
      <c r="D62" s="26"/>
      <c r="E62" s="2" t="s">
        <v>8</v>
      </c>
      <c r="F62" s="2" t="s">
        <v>6</v>
      </c>
      <c r="H62" s="18" t="s">
        <v>13</v>
      </c>
      <c r="I62" s="27" t="s">
        <v>19</v>
      </c>
      <c r="J62" s="21"/>
      <c r="K62" s="21"/>
      <c r="L62" s="23" t="s">
        <v>170</v>
      </c>
    </row>
    <row r="63" spans="1:12" ht="16.5" customHeight="1" x14ac:dyDescent="0.25">
      <c r="A63" s="2" t="s">
        <v>107</v>
      </c>
      <c r="B63" s="2" t="s">
        <v>156</v>
      </c>
      <c r="C63" s="2" t="s">
        <v>171</v>
      </c>
      <c r="D63" s="26"/>
      <c r="E63" s="2" t="s">
        <v>8</v>
      </c>
      <c r="F63" s="2" t="s">
        <v>6</v>
      </c>
      <c r="H63" s="18" t="s">
        <v>13</v>
      </c>
      <c r="I63" s="27" t="s">
        <v>19</v>
      </c>
      <c r="J63" s="21"/>
      <c r="K63" s="21"/>
      <c r="L63" s="21" t="s">
        <v>172</v>
      </c>
    </row>
    <row r="64" spans="1:12" ht="16.5" customHeight="1" x14ac:dyDescent="0.25">
      <c r="A64" s="2" t="s">
        <v>107</v>
      </c>
      <c r="B64" s="2" t="s">
        <v>156</v>
      </c>
      <c r="C64" s="2" t="s">
        <v>173</v>
      </c>
      <c r="D64" s="26"/>
      <c r="E64" s="2" t="s">
        <v>8</v>
      </c>
      <c r="F64" s="2" t="s">
        <v>6</v>
      </c>
      <c r="H64" s="18" t="s">
        <v>13</v>
      </c>
      <c r="I64" s="12"/>
      <c r="J64" s="21"/>
      <c r="K64" s="21"/>
      <c r="L64" s="21" t="s">
        <v>174</v>
      </c>
    </row>
    <row r="65" spans="1:12" ht="16.5" customHeight="1" x14ac:dyDescent="0.25">
      <c r="A65" s="2" t="s">
        <v>107</v>
      </c>
      <c r="B65" s="2" t="s">
        <v>175</v>
      </c>
      <c r="C65" s="2" t="s">
        <v>176</v>
      </c>
      <c r="D65" s="26"/>
      <c r="E65" s="2" t="s">
        <v>8</v>
      </c>
      <c r="F65" s="2" t="s">
        <v>6</v>
      </c>
      <c r="H65" s="18" t="s">
        <v>13</v>
      </c>
      <c r="I65" s="27" t="s">
        <v>19</v>
      </c>
      <c r="J65" s="21"/>
      <c r="K65" s="21"/>
      <c r="L65" s="21" t="s">
        <v>177</v>
      </c>
    </row>
    <row r="66" spans="1:12" ht="16.5" customHeight="1" x14ac:dyDescent="0.25">
      <c r="A66" s="2" t="s">
        <v>107</v>
      </c>
      <c r="B66" s="2" t="s">
        <v>175</v>
      </c>
      <c r="C66" s="2" t="s">
        <v>178</v>
      </c>
      <c r="D66" s="26"/>
      <c r="E66" s="2" t="s">
        <v>8</v>
      </c>
      <c r="F66" s="2" t="s">
        <v>6</v>
      </c>
      <c r="H66" s="18" t="s">
        <v>13</v>
      </c>
      <c r="I66" s="27" t="s">
        <v>19</v>
      </c>
      <c r="J66" s="21"/>
      <c r="K66" s="21"/>
      <c r="L66" s="21" t="s">
        <v>179</v>
      </c>
    </row>
    <row r="67" spans="1:12" ht="16.5" customHeight="1" x14ac:dyDescent="0.25">
      <c r="A67" s="2" t="s">
        <v>107</v>
      </c>
      <c r="B67" s="2" t="s">
        <v>175</v>
      </c>
      <c r="C67" s="2" t="s">
        <v>180</v>
      </c>
      <c r="D67" s="26"/>
      <c r="E67" s="2" t="s">
        <v>8</v>
      </c>
      <c r="F67" s="2" t="s">
        <v>6</v>
      </c>
      <c r="H67" s="18" t="s">
        <v>13</v>
      </c>
      <c r="I67" s="27" t="s">
        <v>19</v>
      </c>
      <c r="J67" s="21"/>
      <c r="K67" s="21"/>
      <c r="L67" s="21" t="s">
        <v>181</v>
      </c>
    </row>
    <row r="68" spans="1:12" ht="16.5" customHeight="1" x14ac:dyDescent="0.25">
      <c r="A68" s="2" t="s">
        <v>107</v>
      </c>
      <c r="B68" s="2" t="s">
        <v>175</v>
      </c>
      <c r="C68" s="2" t="s">
        <v>182</v>
      </c>
      <c r="D68" s="26"/>
      <c r="E68" s="2" t="s">
        <v>8</v>
      </c>
      <c r="F68" s="2" t="s">
        <v>6</v>
      </c>
      <c r="H68" s="18" t="s">
        <v>13</v>
      </c>
      <c r="I68" s="27" t="s">
        <v>19</v>
      </c>
      <c r="J68" s="21"/>
      <c r="K68" s="21"/>
      <c r="L68" s="21" t="s">
        <v>183</v>
      </c>
    </row>
    <row r="69" spans="1:12" ht="16.5" customHeight="1" x14ac:dyDescent="0.25">
      <c r="A69" s="2" t="s">
        <v>107</v>
      </c>
      <c r="B69" s="2" t="s">
        <v>175</v>
      </c>
      <c r="C69" s="2" t="s">
        <v>184</v>
      </c>
      <c r="D69" s="26"/>
      <c r="E69" s="2" t="s">
        <v>8</v>
      </c>
      <c r="F69" s="2" t="s">
        <v>6</v>
      </c>
      <c r="H69" s="18" t="s">
        <v>13</v>
      </c>
      <c r="I69" s="27" t="s">
        <v>19</v>
      </c>
      <c r="J69" s="21"/>
      <c r="K69" s="21"/>
      <c r="L69" s="21" t="s">
        <v>185</v>
      </c>
    </row>
    <row r="70" spans="1:12" ht="16.5" customHeight="1" x14ac:dyDescent="0.25">
      <c r="A70" s="2" t="s">
        <v>107</v>
      </c>
      <c r="B70" s="2" t="s">
        <v>175</v>
      </c>
      <c r="C70" s="1" t="s">
        <v>186</v>
      </c>
      <c r="D70" s="26"/>
      <c r="E70" s="2" t="s">
        <v>8</v>
      </c>
      <c r="F70" s="2" t="s">
        <v>6</v>
      </c>
      <c r="H70" s="18" t="s">
        <v>13</v>
      </c>
      <c r="I70" s="27" t="s">
        <v>19</v>
      </c>
      <c r="J70" s="21"/>
      <c r="K70" s="21"/>
      <c r="L70" s="21" t="s">
        <v>187</v>
      </c>
    </row>
    <row r="71" spans="1:12" ht="16.5" customHeight="1" x14ac:dyDescent="0.25">
      <c r="A71" s="2" t="s">
        <v>107</v>
      </c>
      <c r="B71" s="2" t="s">
        <v>175</v>
      </c>
      <c r="C71" s="2" t="s">
        <v>188</v>
      </c>
      <c r="D71" s="26"/>
      <c r="E71" s="2" t="s">
        <v>8</v>
      </c>
      <c r="F71" s="2" t="s">
        <v>6</v>
      </c>
      <c r="H71" s="27" t="s">
        <v>13</v>
      </c>
      <c r="I71" s="27" t="s">
        <v>19</v>
      </c>
      <c r="J71" s="21"/>
      <c r="K71" s="21"/>
      <c r="L71" s="21" t="s">
        <v>189</v>
      </c>
    </row>
    <row r="72" spans="1:12" ht="16.5" customHeight="1" x14ac:dyDescent="0.25">
      <c r="A72" s="2" t="s">
        <v>107</v>
      </c>
      <c r="B72" s="2" t="s">
        <v>175</v>
      </c>
      <c r="C72" s="2" t="s">
        <v>190</v>
      </c>
      <c r="D72" s="26"/>
      <c r="E72" s="2" t="s">
        <v>8</v>
      </c>
      <c r="F72" s="2" t="s">
        <v>6</v>
      </c>
      <c r="H72" s="27" t="s">
        <v>13</v>
      </c>
      <c r="I72" s="27" t="s">
        <v>19</v>
      </c>
      <c r="J72" s="21"/>
      <c r="K72" s="21"/>
      <c r="L72" s="21" t="s">
        <v>191</v>
      </c>
    </row>
    <row r="73" spans="1:12" ht="16.5" customHeight="1" x14ac:dyDescent="0.25">
      <c r="A73" s="2" t="s">
        <v>107</v>
      </c>
      <c r="B73" s="2" t="s">
        <v>175</v>
      </c>
      <c r="C73" s="2" t="s">
        <v>192</v>
      </c>
      <c r="D73" s="26"/>
      <c r="E73" s="2" t="s">
        <v>8</v>
      </c>
      <c r="F73" s="2" t="s">
        <v>6</v>
      </c>
      <c r="H73" s="27" t="s">
        <v>13</v>
      </c>
      <c r="I73" s="27" t="s">
        <v>19</v>
      </c>
      <c r="J73" s="21"/>
      <c r="K73" s="21"/>
      <c r="L73" s="21" t="s">
        <v>193</v>
      </c>
    </row>
    <row r="74" spans="1:12" ht="16.5" customHeight="1" x14ac:dyDescent="0.25">
      <c r="A74" s="2" t="s">
        <v>107</v>
      </c>
      <c r="B74" s="2" t="s">
        <v>175</v>
      </c>
      <c r="C74" s="1" t="s">
        <v>194</v>
      </c>
      <c r="D74" s="26"/>
      <c r="E74" s="2" t="s">
        <v>8</v>
      </c>
      <c r="F74" s="2" t="s">
        <v>6</v>
      </c>
      <c r="H74" s="27" t="s">
        <v>13</v>
      </c>
      <c r="I74" s="27" t="s">
        <v>19</v>
      </c>
      <c r="J74" s="21"/>
      <c r="K74" s="21"/>
      <c r="L74" s="21" t="s">
        <v>195</v>
      </c>
    </row>
    <row r="75" spans="1:12" ht="16.5" customHeight="1" x14ac:dyDescent="0.25">
      <c r="A75" s="2" t="s">
        <v>107</v>
      </c>
      <c r="B75" s="2" t="s">
        <v>175</v>
      </c>
      <c r="C75" s="2" t="s">
        <v>196</v>
      </c>
      <c r="D75" s="26"/>
      <c r="E75" s="2" t="s">
        <v>8</v>
      </c>
      <c r="F75" s="2" t="s">
        <v>6</v>
      </c>
      <c r="H75" s="27" t="s">
        <v>13</v>
      </c>
      <c r="I75" s="27" t="s">
        <v>19</v>
      </c>
      <c r="J75" s="21"/>
      <c r="K75" s="21"/>
      <c r="L75" s="21" t="s">
        <v>197</v>
      </c>
    </row>
    <row r="76" spans="1:12" ht="16.5" customHeight="1" x14ac:dyDescent="0.25">
      <c r="A76" s="2" t="s">
        <v>107</v>
      </c>
      <c r="B76" s="2" t="s">
        <v>175</v>
      </c>
      <c r="C76" s="1" t="s">
        <v>198</v>
      </c>
      <c r="D76" s="26"/>
      <c r="E76" s="2" t="s">
        <v>8</v>
      </c>
      <c r="F76" s="2" t="s">
        <v>6</v>
      </c>
      <c r="H76" s="27" t="s">
        <v>13</v>
      </c>
      <c r="I76" s="27" t="s">
        <v>19</v>
      </c>
      <c r="J76" s="21"/>
      <c r="K76" s="21"/>
      <c r="L76" s="21" t="s">
        <v>199</v>
      </c>
    </row>
    <row r="77" spans="1:12" ht="16.5" customHeight="1" x14ac:dyDescent="0.25">
      <c r="A77" t="s">
        <v>107</v>
      </c>
      <c r="B77" s="2" t="s">
        <v>200</v>
      </c>
      <c r="C77" s="2" t="s">
        <v>201</v>
      </c>
      <c r="D77" s="26"/>
      <c r="E77" s="2" t="s">
        <v>8</v>
      </c>
      <c r="F77" s="2" t="s">
        <v>6</v>
      </c>
      <c r="H77" s="27" t="s">
        <v>13</v>
      </c>
      <c r="I77" s="27" t="s">
        <v>19</v>
      </c>
      <c r="J77" s="21"/>
      <c r="K77" s="21"/>
      <c r="L77" s="21" t="s">
        <v>202</v>
      </c>
    </row>
    <row r="78" spans="1:12" ht="16.5" customHeight="1" x14ac:dyDescent="0.25">
      <c r="A78" t="s">
        <v>107</v>
      </c>
      <c r="B78" s="2" t="s">
        <v>200</v>
      </c>
      <c r="C78" s="2" t="s">
        <v>203</v>
      </c>
      <c r="D78" s="26"/>
      <c r="E78" s="2" t="s">
        <v>8</v>
      </c>
      <c r="F78" s="2" t="s">
        <v>6</v>
      </c>
      <c r="H78" s="27" t="s">
        <v>13</v>
      </c>
      <c r="I78" s="27" t="s">
        <v>19</v>
      </c>
      <c r="J78" s="21"/>
      <c r="K78" s="21"/>
      <c r="L78" s="21" t="s">
        <v>204</v>
      </c>
    </row>
    <row r="79" spans="1:12" ht="16.5" customHeight="1" x14ac:dyDescent="0.25">
      <c r="A79" t="s">
        <v>107</v>
      </c>
      <c r="B79" s="2" t="s">
        <v>200</v>
      </c>
      <c r="C79" s="2" t="s">
        <v>205</v>
      </c>
      <c r="D79" s="26"/>
      <c r="E79" s="2" t="s">
        <v>8</v>
      </c>
      <c r="F79" s="2" t="s">
        <v>6</v>
      </c>
      <c r="H79" s="27" t="s">
        <v>13</v>
      </c>
      <c r="I79" s="27" t="s">
        <v>19</v>
      </c>
      <c r="J79" s="21"/>
      <c r="K79" s="21"/>
      <c r="L79" s="21" t="s">
        <v>206</v>
      </c>
    </row>
    <row r="80" spans="1:12" ht="16.5" customHeight="1" x14ac:dyDescent="0.25">
      <c r="A80" t="s">
        <v>107</v>
      </c>
      <c r="B80" s="2" t="s">
        <v>200</v>
      </c>
      <c r="C80" s="2" t="s">
        <v>207</v>
      </c>
      <c r="D80" s="26"/>
      <c r="E80" s="2" t="s">
        <v>8</v>
      </c>
      <c r="F80" s="2" t="s">
        <v>6</v>
      </c>
      <c r="H80" s="27" t="s">
        <v>13</v>
      </c>
      <c r="I80" s="27" t="s">
        <v>19</v>
      </c>
      <c r="J80" s="21"/>
      <c r="K80" s="21"/>
      <c r="L80" s="21" t="s">
        <v>208</v>
      </c>
    </row>
    <row r="81" spans="1:12" ht="15.75" customHeight="1" x14ac:dyDescent="0.25">
      <c r="A81" t="s">
        <v>107</v>
      </c>
      <c r="B81" s="2" t="s">
        <v>200</v>
      </c>
      <c r="C81" s="1" t="s">
        <v>209</v>
      </c>
      <c r="D81" s="26"/>
      <c r="E81" s="2" t="s">
        <v>8</v>
      </c>
      <c r="F81" s="2" t="s">
        <v>6</v>
      </c>
      <c r="H81" s="27" t="s">
        <v>13</v>
      </c>
      <c r="I81" s="27" t="s">
        <v>19</v>
      </c>
      <c r="J81" s="21"/>
      <c r="K81" s="21"/>
      <c r="L81" s="21" t="s">
        <v>210</v>
      </c>
    </row>
    <row r="82" spans="1:12" ht="16.5" customHeight="1" x14ac:dyDescent="0.25">
      <c r="A82" t="s">
        <v>107</v>
      </c>
      <c r="B82" s="2" t="s">
        <v>200</v>
      </c>
      <c r="C82" s="2" t="s">
        <v>211</v>
      </c>
      <c r="D82" s="26"/>
      <c r="E82" s="2" t="s">
        <v>8</v>
      </c>
      <c r="F82" s="2" t="s">
        <v>6</v>
      </c>
      <c r="H82" s="27" t="s">
        <v>13</v>
      </c>
      <c r="I82" s="27" t="s">
        <v>19</v>
      </c>
      <c r="J82" s="21"/>
      <c r="K82" s="21"/>
      <c r="L82" s="21" t="s">
        <v>212</v>
      </c>
    </row>
    <row r="83" spans="1:12" ht="16.5" customHeight="1" x14ac:dyDescent="0.25">
      <c r="A83" t="s">
        <v>107</v>
      </c>
      <c r="B83" s="2" t="s">
        <v>200</v>
      </c>
      <c r="C83" s="2" t="s">
        <v>213</v>
      </c>
      <c r="D83" s="26"/>
      <c r="E83" s="2" t="s">
        <v>8</v>
      </c>
      <c r="F83" s="2" t="s">
        <v>6</v>
      </c>
      <c r="H83" s="27" t="s">
        <v>13</v>
      </c>
      <c r="I83" s="27" t="s">
        <v>19</v>
      </c>
      <c r="J83" s="21"/>
      <c r="K83" s="21"/>
      <c r="L83" s="21" t="s">
        <v>214</v>
      </c>
    </row>
    <row r="84" spans="1:12" ht="16.5" customHeight="1" x14ac:dyDescent="0.25">
      <c r="A84" s="2" t="s">
        <v>107</v>
      </c>
      <c r="B84" s="2" t="s">
        <v>200</v>
      </c>
      <c r="C84" s="2" t="s">
        <v>215</v>
      </c>
      <c r="D84" s="26"/>
      <c r="E84" s="2" t="s">
        <v>8</v>
      </c>
      <c r="F84" s="2" t="s">
        <v>6</v>
      </c>
      <c r="H84" s="27" t="s">
        <v>13</v>
      </c>
      <c r="I84" s="27" t="s">
        <v>19</v>
      </c>
      <c r="J84" s="21"/>
      <c r="K84" s="21"/>
      <c r="L84" s="21" t="s">
        <v>216</v>
      </c>
    </row>
    <row r="85" spans="1:12" ht="16.5" customHeight="1" x14ac:dyDescent="0.25">
      <c r="A85" s="2" t="s">
        <v>107</v>
      </c>
      <c r="B85" s="2" t="s">
        <v>217</v>
      </c>
      <c r="C85" s="2" t="s">
        <v>218</v>
      </c>
      <c r="D85" s="26"/>
      <c r="E85" s="2" t="s">
        <v>8</v>
      </c>
      <c r="F85" s="2" t="s">
        <v>6</v>
      </c>
      <c r="H85" s="27" t="s">
        <v>13</v>
      </c>
      <c r="I85" s="27" t="s">
        <v>19</v>
      </c>
      <c r="J85" s="21"/>
      <c r="K85" s="21"/>
      <c r="L85" s="21" t="s">
        <v>219</v>
      </c>
    </row>
    <row r="86" spans="1:12" ht="16.5" customHeight="1" x14ac:dyDescent="0.25">
      <c r="A86" s="2" t="s">
        <v>107</v>
      </c>
      <c r="B86" s="2" t="s">
        <v>217</v>
      </c>
      <c r="C86" s="2" t="s">
        <v>220</v>
      </c>
      <c r="D86" s="26"/>
      <c r="E86" s="2" t="s">
        <v>8</v>
      </c>
      <c r="F86" s="2" t="s">
        <v>6</v>
      </c>
      <c r="H86" s="27" t="s">
        <v>13</v>
      </c>
      <c r="I86" s="27" t="s">
        <v>19</v>
      </c>
      <c r="J86" s="21"/>
      <c r="K86" s="21"/>
      <c r="L86" s="21" t="s">
        <v>221</v>
      </c>
    </row>
    <row r="87" spans="1:12" ht="16.5" customHeight="1" x14ac:dyDescent="0.25">
      <c r="A87" s="2" t="s">
        <v>107</v>
      </c>
      <c r="B87" s="2" t="s">
        <v>217</v>
      </c>
      <c r="C87" s="2" t="s">
        <v>222</v>
      </c>
      <c r="D87" s="26"/>
      <c r="E87" s="2" t="s">
        <v>8</v>
      </c>
      <c r="F87" s="2" t="s">
        <v>6</v>
      </c>
      <c r="H87" s="27" t="s">
        <v>13</v>
      </c>
      <c r="I87" s="27" t="s">
        <v>19</v>
      </c>
      <c r="J87" s="21"/>
      <c r="K87" s="21"/>
      <c r="L87" s="21" t="s">
        <v>223</v>
      </c>
    </row>
    <row r="88" spans="1:12" ht="16.5" customHeight="1" x14ac:dyDescent="0.25">
      <c r="A88" s="2" t="s">
        <v>107</v>
      </c>
      <c r="B88" s="2" t="s">
        <v>217</v>
      </c>
      <c r="C88" s="2" t="s">
        <v>224</v>
      </c>
      <c r="D88" s="26"/>
      <c r="E88" s="2" t="s">
        <v>8</v>
      </c>
      <c r="F88" s="2" t="s">
        <v>6</v>
      </c>
      <c r="H88" s="27" t="s">
        <v>13</v>
      </c>
      <c r="I88" s="27" t="s">
        <v>19</v>
      </c>
      <c r="J88" s="21"/>
      <c r="K88" s="21"/>
      <c r="L88" s="21" t="s">
        <v>225</v>
      </c>
    </row>
    <row r="89" spans="1:12" ht="16.5" customHeight="1" x14ac:dyDescent="0.25">
      <c r="A89" s="2" t="s">
        <v>107</v>
      </c>
      <c r="B89" s="2" t="s">
        <v>217</v>
      </c>
      <c r="C89" s="2" t="s">
        <v>226</v>
      </c>
      <c r="D89" s="26"/>
      <c r="E89" s="2" t="s">
        <v>8</v>
      </c>
      <c r="F89" s="2" t="s">
        <v>6</v>
      </c>
      <c r="H89" s="27" t="s">
        <v>13</v>
      </c>
      <c r="I89" s="27" t="s">
        <v>19</v>
      </c>
      <c r="J89" s="21"/>
      <c r="K89" s="21"/>
      <c r="L89" s="21" t="s">
        <v>227</v>
      </c>
    </row>
    <row r="90" spans="1:12" ht="16.5" customHeight="1" x14ac:dyDescent="0.25">
      <c r="A90" s="2" t="s">
        <v>107</v>
      </c>
      <c r="B90" s="2" t="s">
        <v>217</v>
      </c>
      <c r="C90" s="2" t="s">
        <v>228</v>
      </c>
      <c r="D90" s="28"/>
      <c r="E90" s="2" t="s">
        <v>8</v>
      </c>
      <c r="F90" s="2" t="s">
        <v>6</v>
      </c>
      <c r="H90" s="27" t="s">
        <v>13</v>
      </c>
      <c r="I90" s="27" t="s">
        <v>19</v>
      </c>
      <c r="J90" s="21"/>
      <c r="K90" s="21"/>
      <c r="L90" s="21" t="s">
        <v>229</v>
      </c>
    </row>
    <row r="91" spans="1:12" ht="16.5" customHeight="1" x14ac:dyDescent="0.25">
      <c r="A91" s="2" t="s">
        <v>107</v>
      </c>
      <c r="B91" s="2" t="s">
        <v>217</v>
      </c>
      <c r="C91" s="2" t="s">
        <v>230</v>
      </c>
      <c r="D91" s="26"/>
      <c r="E91" s="2" t="s">
        <v>8</v>
      </c>
      <c r="F91" s="2" t="s">
        <v>6</v>
      </c>
      <c r="H91" s="27" t="s">
        <v>13</v>
      </c>
      <c r="I91" s="27" t="s">
        <v>19</v>
      </c>
      <c r="J91" s="21"/>
      <c r="K91" s="21"/>
      <c r="L91" s="21" t="s">
        <v>231</v>
      </c>
    </row>
    <row r="92" spans="1:12" ht="16.5" customHeight="1" x14ac:dyDescent="0.25">
      <c r="A92" s="2" t="s">
        <v>107</v>
      </c>
      <c r="B92" s="2" t="s">
        <v>217</v>
      </c>
      <c r="C92" s="2" t="s">
        <v>232</v>
      </c>
      <c r="D92" s="26"/>
      <c r="E92" s="2" t="s">
        <v>8</v>
      </c>
      <c r="F92" s="2" t="s">
        <v>6</v>
      </c>
      <c r="H92" s="27" t="s">
        <v>13</v>
      </c>
      <c r="I92" s="27" t="s">
        <v>19</v>
      </c>
      <c r="J92" s="21"/>
      <c r="K92" s="21"/>
      <c r="L92" s="21" t="s">
        <v>233</v>
      </c>
    </row>
    <row r="93" spans="1:12" ht="16.5" customHeight="1" x14ac:dyDescent="0.25">
      <c r="A93" s="2" t="s">
        <v>107</v>
      </c>
      <c r="B93" s="2" t="s">
        <v>217</v>
      </c>
      <c r="C93" s="2" t="s">
        <v>234</v>
      </c>
      <c r="D93" s="26"/>
      <c r="E93" s="2" t="s">
        <v>8</v>
      </c>
      <c r="F93" s="2" t="s">
        <v>6</v>
      </c>
      <c r="H93" s="27" t="s">
        <v>13</v>
      </c>
      <c r="I93" s="27" t="s">
        <v>19</v>
      </c>
      <c r="J93" s="21"/>
      <c r="K93" s="21"/>
      <c r="L93" s="21" t="s">
        <v>235</v>
      </c>
    </row>
    <row r="94" spans="1:12" ht="16.5" customHeight="1" x14ac:dyDescent="0.25">
      <c r="A94" s="2" t="s">
        <v>107</v>
      </c>
      <c r="B94" s="2" t="s">
        <v>236</v>
      </c>
      <c r="C94" s="2" t="s">
        <v>237</v>
      </c>
      <c r="D94" s="26"/>
      <c r="E94" s="2" t="s">
        <v>8</v>
      </c>
      <c r="F94" s="2" t="s">
        <v>6</v>
      </c>
      <c r="H94" s="27" t="s">
        <v>13</v>
      </c>
      <c r="I94" s="27" t="s">
        <v>19</v>
      </c>
      <c r="J94" s="21"/>
      <c r="K94" s="21"/>
      <c r="L94" s="21" t="s">
        <v>238</v>
      </c>
    </row>
    <row r="95" spans="1:12" ht="16.5" customHeight="1" x14ac:dyDescent="0.25">
      <c r="A95" s="1" t="s">
        <v>107</v>
      </c>
      <c r="B95" s="2" t="s">
        <v>236</v>
      </c>
      <c r="C95" s="2" t="s">
        <v>239</v>
      </c>
      <c r="D95" s="26"/>
      <c r="E95" s="2" t="s">
        <v>8</v>
      </c>
      <c r="F95" s="2" t="s">
        <v>6</v>
      </c>
      <c r="H95" s="27" t="s">
        <v>13</v>
      </c>
      <c r="I95" s="27" t="s">
        <v>19</v>
      </c>
      <c r="J95" s="21"/>
      <c r="K95" s="21"/>
      <c r="L95" s="21" t="s">
        <v>240</v>
      </c>
    </row>
    <row r="96" spans="1:12" ht="16.5" customHeight="1" x14ac:dyDescent="0.25">
      <c r="A96" s="1" t="s">
        <v>107</v>
      </c>
      <c r="B96" s="2" t="s">
        <v>236</v>
      </c>
      <c r="C96" s="2" t="s">
        <v>241</v>
      </c>
      <c r="D96" s="26"/>
      <c r="E96" s="2" t="s">
        <v>8</v>
      </c>
      <c r="F96" s="2" t="s">
        <v>6</v>
      </c>
      <c r="H96" s="27" t="s">
        <v>13</v>
      </c>
      <c r="I96" s="27" t="s">
        <v>19</v>
      </c>
      <c r="J96" s="21"/>
      <c r="K96" s="21"/>
      <c r="L96" s="21" t="s">
        <v>242</v>
      </c>
    </row>
    <row r="97" spans="1:12" ht="16.5" customHeight="1" x14ac:dyDescent="0.25">
      <c r="A97" s="1" t="s">
        <v>107</v>
      </c>
      <c r="B97" s="2" t="s">
        <v>236</v>
      </c>
      <c r="C97" s="2" t="s">
        <v>243</v>
      </c>
      <c r="D97" s="26"/>
      <c r="E97" s="2" t="s">
        <v>8</v>
      </c>
      <c r="F97" s="2" t="s">
        <v>6</v>
      </c>
      <c r="H97" s="27" t="s">
        <v>13</v>
      </c>
      <c r="I97" s="27" t="s">
        <v>19</v>
      </c>
      <c r="J97" s="21"/>
      <c r="K97" s="21"/>
      <c r="L97" s="21" t="s">
        <v>244</v>
      </c>
    </row>
    <row r="98" spans="1:12" ht="16.5" customHeight="1" x14ac:dyDescent="0.25">
      <c r="A98" s="1" t="s">
        <v>107</v>
      </c>
      <c r="B98" s="2" t="s">
        <v>236</v>
      </c>
      <c r="C98" s="2" t="s">
        <v>245</v>
      </c>
      <c r="D98" s="26"/>
      <c r="E98" s="2" t="s">
        <v>8</v>
      </c>
      <c r="F98" s="2" t="s">
        <v>6</v>
      </c>
      <c r="H98" s="27" t="s">
        <v>13</v>
      </c>
      <c r="I98" s="27" t="s">
        <v>19</v>
      </c>
      <c r="J98" s="21"/>
      <c r="K98" s="21"/>
      <c r="L98" s="23" t="s">
        <v>246</v>
      </c>
    </row>
    <row r="99" spans="1:12" ht="16.5" customHeight="1" x14ac:dyDescent="0.25">
      <c r="A99" s="1" t="s">
        <v>107</v>
      </c>
      <c r="B99" s="2" t="s">
        <v>236</v>
      </c>
      <c r="C99" s="2" t="s">
        <v>247</v>
      </c>
      <c r="D99" s="26"/>
      <c r="E99" s="2" t="s">
        <v>8</v>
      </c>
      <c r="F99" s="2" t="s">
        <v>6</v>
      </c>
      <c r="H99" s="27" t="s">
        <v>13</v>
      </c>
      <c r="I99" s="27" t="s">
        <v>19</v>
      </c>
      <c r="J99" s="21"/>
      <c r="K99" s="21"/>
      <c r="L99" s="23" t="s">
        <v>248</v>
      </c>
    </row>
    <row r="100" spans="1:12" ht="16.5" customHeight="1" x14ac:dyDescent="0.25">
      <c r="A100" s="1" t="s">
        <v>107</v>
      </c>
      <c r="B100" s="2" t="s">
        <v>236</v>
      </c>
      <c r="C100" s="2" t="s">
        <v>249</v>
      </c>
      <c r="D100" s="26"/>
      <c r="E100" s="2" t="s">
        <v>8</v>
      </c>
      <c r="F100" s="2" t="s">
        <v>6</v>
      </c>
      <c r="H100" s="27" t="s">
        <v>13</v>
      </c>
      <c r="I100" s="27" t="s">
        <v>19</v>
      </c>
      <c r="J100" s="21"/>
      <c r="K100" s="21"/>
      <c r="L100" s="21" t="s">
        <v>250</v>
      </c>
    </row>
    <row r="101" spans="1:12" ht="16.5" customHeight="1" x14ac:dyDescent="0.25">
      <c r="A101" s="1" t="s">
        <v>107</v>
      </c>
      <c r="B101" s="2" t="s">
        <v>236</v>
      </c>
      <c r="C101" s="2" t="s">
        <v>251</v>
      </c>
      <c r="D101" s="26"/>
      <c r="E101" s="2" t="s">
        <v>8</v>
      </c>
      <c r="F101" s="2" t="s">
        <v>6</v>
      </c>
      <c r="H101" s="27" t="s">
        <v>13</v>
      </c>
      <c r="I101" s="27" t="s">
        <v>19</v>
      </c>
      <c r="J101" s="21"/>
      <c r="K101" s="21"/>
      <c r="L101" s="21" t="s">
        <v>252</v>
      </c>
    </row>
    <row r="102" spans="1:12" ht="16.5" customHeight="1" x14ac:dyDescent="0.25">
      <c r="A102" s="1" t="s">
        <v>107</v>
      </c>
      <c r="B102" s="2" t="s">
        <v>253</v>
      </c>
      <c r="C102" s="2" t="s">
        <v>254</v>
      </c>
      <c r="E102" s="2" t="s">
        <v>8</v>
      </c>
      <c r="F102" s="2" t="s">
        <v>6</v>
      </c>
      <c r="H102" s="27" t="s">
        <v>13</v>
      </c>
      <c r="I102" s="27" t="s">
        <v>19</v>
      </c>
      <c r="J102" s="21"/>
      <c r="K102" s="21"/>
      <c r="L102" s="21" t="s">
        <v>255</v>
      </c>
    </row>
    <row r="103" spans="1:12" ht="16.5" customHeight="1" x14ac:dyDescent="0.25">
      <c r="A103" s="1" t="s">
        <v>107</v>
      </c>
      <c r="B103" s="2" t="s">
        <v>253</v>
      </c>
      <c r="C103" s="2" t="s">
        <v>256</v>
      </c>
      <c r="E103" s="2" t="s">
        <v>8</v>
      </c>
      <c r="F103" s="2" t="s">
        <v>6</v>
      </c>
      <c r="G103" s="1"/>
      <c r="H103" s="27" t="s">
        <v>13</v>
      </c>
      <c r="I103" s="27" t="s">
        <v>19</v>
      </c>
      <c r="J103" s="21"/>
      <c r="K103" s="21"/>
      <c r="L103" s="21" t="s">
        <v>257</v>
      </c>
    </row>
    <row r="104" spans="1:12" ht="16.5" customHeight="1" x14ac:dyDescent="0.25">
      <c r="A104" s="1" t="s">
        <v>107</v>
      </c>
      <c r="B104" s="2" t="s">
        <v>253</v>
      </c>
      <c r="C104" s="2" t="s">
        <v>258</v>
      </c>
      <c r="E104" s="2" t="s">
        <v>8</v>
      </c>
      <c r="F104" s="2" t="s">
        <v>6</v>
      </c>
      <c r="H104" s="27" t="s">
        <v>13</v>
      </c>
      <c r="I104" s="27" t="s">
        <v>19</v>
      </c>
      <c r="J104" s="21"/>
      <c r="K104" s="21"/>
      <c r="L104" s="21" t="s">
        <v>259</v>
      </c>
    </row>
    <row r="105" spans="1:12" ht="16.5" customHeight="1" x14ac:dyDescent="0.25">
      <c r="A105" s="1" t="s">
        <v>107</v>
      </c>
      <c r="B105" s="2" t="s">
        <v>253</v>
      </c>
      <c r="C105" s="2" t="s">
        <v>260</v>
      </c>
      <c r="E105" s="2" t="s">
        <v>8</v>
      </c>
      <c r="F105" s="2" t="s">
        <v>6</v>
      </c>
      <c r="H105" s="27" t="s">
        <v>13</v>
      </c>
      <c r="I105" s="27" t="s">
        <v>19</v>
      </c>
      <c r="J105" s="21"/>
      <c r="K105" s="21"/>
      <c r="L105" s="21" t="s">
        <v>261</v>
      </c>
    </row>
    <row r="106" spans="1:12" ht="16.5" customHeight="1" x14ac:dyDescent="0.25">
      <c r="A106" s="1" t="s">
        <v>107</v>
      </c>
      <c r="B106" s="2" t="s">
        <v>253</v>
      </c>
      <c r="C106" s="2" t="s">
        <v>262</v>
      </c>
      <c r="E106" s="2" t="s">
        <v>8</v>
      </c>
      <c r="F106" s="2" t="s">
        <v>6</v>
      </c>
      <c r="H106" s="27" t="s">
        <v>13</v>
      </c>
      <c r="I106" s="27" t="s">
        <v>19</v>
      </c>
      <c r="J106" s="21"/>
      <c r="K106" s="21"/>
      <c r="L106" s="21" t="s">
        <v>263</v>
      </c>
    </row>
    <row r="107" spans="1:12" ht="16.5" customHeight="1" x14ac:dyDescent="0.25">
      <c r="A107" s="1" t="s">
        <v>107</v>
      </c>
      <c r="B107" s="2" t="s">
        <v>253</v>
      </c>
      <c r="C107" s="2" t="s">
        <v>264</v>
      </c>
      <c r="E107" s="2" t="s">
        <v>8</v>
      </c>
      <c r="F107" s="2" t="s">
        <v>6</v>
      </c>
      <c r="G107" s="1"/>
      <c r="H107" s="27" t="s">
        <v>13</v>
      </c>
      <c r="I107" s="27" t="s">
        <v>19</v>
      </c>
      <c r="J107" s="21"/>
      <c r="K107" s="21"/>
      <c r="L107" s="21" t="s">
        <v>265</v>
      </c>
    </row>
    <row r="108" spans="1:12" ht="16.5" customHeight="1" x14ac:dyDescent="0.25">
      <c r="A108" s="1" t="s">
        <v>107</v>
      </c>
      <c r="B108" s="2" t="s">
        <v>253</v>
      </c>
      <c r="C108" s="2" t="s">
        <v>266</v>
      </c>
      <c r="E108" s="2" t="s">
        <v>8</v>
      </c>
      <c r="F108" s="2" t="s">
        <v>6</v>
      </c>
      <c r="G108" s="1"/>
      <c r="H108" s="27" t="s">
        <v>13</v>
      </c>
      <c r="I108" s="27" t="s">
        <v>19</v>
      </c>
      <c r="J108" s="21"/>
      <c r="K108" s="21"/>
      <c r="L108" s="21" t="s">
        <v>267</v>
      </c>
    </row>
    <row r="109" spans="1:12" ht="16.5" customHeight="1" x14ac:dyDescent="0.25">
      <c r="A109" s="1" t="s">
        <v>107</v>
      </c>
      <c r="B109" s="2" t="s">
        <v>268</v>
      </c>
      <c r="C109" s="2" t="s">
        <v>269</v>
      </c>
      <c r="E109" s="2" t="s">
        <v>8</v>
      </c>
      <c r="F109" s="2" t="s">
        <v>6</v>
      </c>
      <c r="G109" s="1"/>
      <c r="H109" s="27" t="s">
        <v>13</v>
      </c>
      <c r="I109" s="12"/>
      <c r="J109" s="21"/>
      <c r="K109" s="21"/>
      <c r="L109" s="21" t="s">
        <v>270</v>
      </c>
    </row>
    <row r="110" spans="1:12" ht="16.5" customHeight="1" x14ac:dyDescent="0.25">
      <c r="A110" s="1" t="s">
        <v>107</v>
      </c>
      <c r="B110" s="2" t="s">
        <v>268</v>
      </c>
      <c r="C110" s="2" t="s">
        <v>271</v>
      </c>
      <c r="E110" s="2" t="s">
        <v>8</v>
      </c>
      <c r="F110" s="2" t="s">
        <v>6</v>
      </c>
      <c r="G110" s="1"/>
      <c r="H110" s="27" t="s">
        <v>13</v>
      </c>
      <c r="I110" s="27" t="s">
        <v>19</v>
      </c>
      <c r="J110" s="21"/>
      <c r="K110" s="21"/>
      <c r="L110" s="23" t="s">
        <v>272</v>
      </c>
    </row>
    <row r="111" spans="1:12" ht="16.5" customHeight="1" x14ac:dyDescent="0.25">
      <c r="A111" s="1" t="s">
        <v>107</v>
      </c>
      <c r="B111" s="2" t="s">
        <v>268</v>
      </c>
      <c r="C111" s="2" t="s">
        <v>273</v>
      </c>
      <c r="E111" s="2" t="s">
        <v>8</v>
      </c>
      <c r="F111" s="2" t="s">
        <v>6</v>
      </c>
      <c r="H111" s="27" t="s">
        <v>13</v>
      </c>
      <c r="I111" s="27" t="s">
        <v>19</v>
      </c>
      <c r="J111" s="21"/>
      <c r="K111" s="21"/>
      <c r="L111" s="21" t="s">
        <v>274</v>
      </c>
    </row>
    <row r="112" spans="1:12" ht="16.5" customHeight="1" x14ac:dyDescent="0.25">
      <c r="A112" s="1" t="s">
        <v>107</v>
      </c>
      <c r="B112" s="2" t="s">
        <v>275</v>
      </c>
      <c r="C112" s="2" t="s">
        <v>276</v>
      </c>
      <c r="E112" s="2" t="s">
        <v>8</v>
      </c>
      <c r="F112" s="2" t="s">
        <v>6</v>
      </c>
      <c r="G112" s="1"/>
      <c r="H112" s="27" t="s">
        <v>13</v>
      </c>
      <c r="I112" s="27" t="s">
        <v>19</v>
      </c>
      <c r="J112" s="21"/>
      <c r="K112" s="21"/>
      <c r="L112" s="21" t="s">
        <v>277</v>
      </c>
    </row>
    <row r="113" spans="1:12" ht="16.5" customHeight="1" x14ac:dyDescent="0.25">
      <c r="A113" s="1" t="s">
        <v>107</v>
      </c>
      <c r="B113" s="2" t="s">
        <v>275</v>
      </c>
      <c r="C113" s="2" t="s">
        <v>278</v>
      </c>
      <c r="E113" s="2" t="s">
        <v>8</v>
      </c>
      <c r="F113" s="2" t="s">
        <v>6</v>
      </c>
      <c r="G113" s="1"/>
      <c r="H113" s="27" t="s">
        <v>13</v>
      </c>
      <c r="I113" s="12"/>
      <c r="J113" s="21"/>
      <c r="K113" s="21"/>
      <c r="L113" s="21" t="s">
        <v>279</v>
      </c>
    </row>
    <row r="114" spans="1:12" ht="16.5" customHeight="1" x14ac:dyDescent="0.25">
      <c r="A114" s="1" t="s">
        <v>107</v>
      </c>
      <c r="B114" s="2" t="s">
        <v>275</v>
      </c>
      <c r="C114" s="2" t="s">
        <v>280</v>
      </c>
      <c r="E114" s="2" t="s">
        <v>8</v>
      </c>
      <c r="F114" s="2" t="s">
        <v>6</v>
      </c>
      <c r="G114" s="1"/>
      <c r="H114" s="27" t="s">
        <v>13</v>
      </c>
      <c r="I114" s="12"/>
      <c r="J114" s="21"/>
      <c r="K114" s="21"/>
      <c r="L114" s="21" t="s">
        <v>281</v>
      </c>
    </row>
    <row r="115" spans="1:12" ht="16.5" customHeight="1" x14ac:dyDescent="0.25">
      <c r="A115" s="1" t="s">
        <v>107</v>
      </c>
      <c r="B115" s="2" t="s">
        <v>275</v>
      </c>
      <c r="C115" s="2" t="s">
        <v>282</v>
      </c>
      <c r="E115" s="2" t="s">
        <v>8</v>
      </c>
      <c r="F115" s="2" t="s">
        <v>6</v>
      </c>
      <c r="G115" s="1"/>
      <c r="H115" s="27" t="s">
        <v>13</v>
      </c>
      <c r="I115" s="12"/>
      <c r="J115" s="21"/>
      <c r="K115" s="21"/>
      <c r="L115" s="21" t="s">
        <v>283</v>
      </c>
    </row>
    <row r="116" spans="1:12" ht="16.5" customHeight="1" x14ac:dyDescent="0.25">
      <c r="A116" s="1" t="s">
        <v>284</v>
      </c>
      <c r="B116" s="2" t="s">
        <v>285</v>
      </c>
      <c r="C116" s="2" t="s">
        <v>286</v>
      </c>
      <c r="E116" s="2" t="s">
        <v>8</v>
      </c>
      <c r="F116" s="2" t="s">
        <v>6</v>
      </c>
      <c r="H116" s="27" t="s">
        <v>13</v>
      </c>
      <c r="I116" s="27" t="s">
        <v>19</v>
      </c>
      <c r="J116" s="21"/>
      <c r="K116" s="21"/>
      <c r="L116" s="21" t="s">
        <v>287</v>
      </c>
    </row>
    <row r="117" spans="1:12" ht="16.5" customHeight="1" x14ac:dyDescent="0.25">
      <c r="A117" s="1" t="s">
        <v>284</v>
      </c>
      <c r="B117" s="2" t="s">
        <v>285</v>
      </c>
      <c r="C117" s="2" t="s">
        <v>288</v>
      </c>
      <c r="E117" s="2" t="s">
        <v>8</v>
      </c>
      <c r="F117" s="2" t="s">
        <v>6</v>
      </c>
      <c r="H117" s="27"/>
      <c r="I117" s="12"/>
      <c r="J117" s="21"/>
      <c r="K117" s="21"/>
      <c r="L117" s="21" t="s">
        <v>289</v>
      </c>
    </row>
    <row r="118" spans="1:12" ht="16.5" customHeight="1" x14ac:dyDescent="0.25">
      <c r="A118" s="1" t="s">
        <v>284</v>
      </c>
      <c r="B118" s="2" t="s">
        <v>285</v>
      </c>
      <c r="C118" s="2" t="s">
        <v>290</v>
      </c>
      <c r="E118" s="2" t="s">
        <v>8</v>
      </c>
      <c r="F118" s="2" t="s">
        <v>6</v>
      </c>
      <c r="G118" s="1"/>
      <c r="H118" s="27" t="s">
        <v>13</v>
      </c>
      <c r="I118" s="27" t="s">
        <v>19</v>
      </c>
      <c r="J118" s="21"/>
      <c r="K118" s="21"/>
      <c r="L118" s="21" t="s">
        <v>291</v>
      </c>
    </row>
    <row r="119" spans="1:12" ht="16.5" customHeight="1" x14ac:dyDescent="0.25">
      <c r="A119" s="1" t="s">
        <v>284</v>
      </c>
      <c r="B119" s="2" t="s">
        <v>285</v>
      </c>
      <c r="C119" s="2" t="s">
        <v>292</v>
      </c>
      <c r="E119" s="2" t="s">
        <v>8</v>
      </c>
      <c r="F119" s="2" t="s">
        <v>6</v>
      </c>
      <c r="H119" s="27" t="s">
        <v>13</v>
      </c>
      <c r="I119" s="27" t="s">
        <v>19</v>
      </c>
      <c r="J119" s="21"/>
      <c r="K119" s="21"/>
      <c r="L119" s="21" t="s">
        <v>293</v>
      </c>
    </row>
    <row r="120" spans="1:12" ht="16.5" customHeight="1" x14ac:dyDescent="0.25">
      <c r="A120" s="1" t="s">
        <v>284</v>
      </c>
      <c r="B120" s="2" t="s">
        <v>285</v>
      </c>
      <c r="C120" s="2" t="s">
        <v>294</v>
      </c>
      <c r="E120" s="2" t="s">
        <v>8</v>
      </c>
      <c r="F120" s="2" t="s">
        <v>6</v>
      </c>
      <c r="H120" s="27" t="s">
        <v>13</v>
      </c>
      <c r="I120" s="27" t="s">
        <v>19</v>
      </c>
      <c r="J120" s="21"/>
      <c r="K120" s="21"/>
      <c r="L120" s="21" t="s">
        <v>295</v>
      </c>
    </row>
    <row r="121" spans="1:12" ht="16.5" customHeight="1" x14ac:dyDescent="0.25">
      <c r="A121" s="1" t="s">
        <v>284</v>
      </c>
      <c r="B121" s="2" t="s">
        <v>285</v>
      </c>
      <c r="C121" s="2" t="s">
        <v>296</v>
      </c>
      <c r="E121" s="2" t="s">
        <v>8</v>
      </c>
      <c r="F121" s="2" t="s">
        <v>6</v>
      </c>
      <c r="H121" s="27" t="s">
        <v>13</v>
      </c>
      <c r="I121" s="27" t="s">
        <v>19</v>
      </c>
      <c r="J121" s="21"/>
      <c r="K121" s="21"/>
      <c r="L121" s="21" t="s">
        <v>297</v>
      </c>
    </row>
    <row r="122" spans="1:12" ht="16.5" customHeight="1" x14ac:dyDescent="0.25">
      <c r="A122" s="1" t="s">
        <v>284</v>
      </c>
      <c r="B122" s="2" t="s">
        <v>285</v>
      </c>
      <c r="C122" s="2" t="s">
        <v>298</v>
      </c>
      <c r="E122" s="2" t="s">
        <v>8</v>
      </c>
      <c r="F122" s="2" t="s">
        <v>6</v>
      </c>
      <c r="H122" s="27" t="s">
        <v>13</v>
      </c>
      <c r="I122" s="27" t="s">
        <v>19</v>
      </c>
      <c r="J122" s="21"/>
      <c r="K122" s="21"/>
      <c r="L122" s="21" t="s">
        <v>299</v>
      </c>
    </row>
    <row r="123" spans="1:12" ht="16.5" customHeight="1" x14ac:dyDescent="0.25">
      <c r="A123" s="1" t="s">
        <v>284</v>
      </c>
      <c r="B123" s="2" t="s">
        <v>285</v>
      </c>
      <c r="C123" s="2" t="s">
        <v>300</v>
      </c>
      <c r="E123" s="2" t="s">
        <v>8</v>
      </c>
      <c r="F123" s="2" t="s">
        <v>6</v>
      </c>
      <c r="H123" s="27" t="s">
        <v>13</v>
      </c>
      <c r="I123" s="27" t="s">
        <v>19</v>
      </c>
      <c r="J123" s="21"/>
      <c r="K123" s="21"/>
      <c r="L123" s="21" t="s">
        <v>301</v>
      </c>
    </row>
    <row r="124" spans="1:12" ht="16.5" customHeight="1" x14ac:dyDescent="0.25">
      <c r="A124" s="1" t="s">
        <v>284</v>
      </c>
      <c r="B124" s="2" t="s">
        <v>285</v>
      </c>
      <c r="C124" s="2" t="s">
        <v>302</v>
      </c>
      <c r="E124" s="2" t="s">
        <v>8</v>
      </c>
      <c r="F124" s="2" t="s">
        <v>6</v>
      </c>
      <c r="H124" s="27" t="s">
        <v>13</v>
      </c>
      <c r="I124" s="32" t="s">
        <v>388</v>
      </c>
      <c r="J124" s="21"/>
      <c r="K124" s="21"/>
      <c r="L124" s="21" t="s">
        <v>303</v>
      </c>
    </row>
    <row r="125" spans="1:12" ht="16.5" customHeight="1" x14ac:dyDescent="0.25">
      <c r="A125" s="1" t="s">
        <v>284</v>
      </c>
      <c r="B125" s="2" t="s">
        <v>285</v>
      </c>
      <c r="C125" s="2" t="s">
        <v>304</v>
      </c>
      <c r="E125" s="2" t="s">
        <v>8</v>
      </c>
      <c r="F125" s="2" t="s">
        <v>6</v>
      </c>
      <c r="H125" s="27" t="s">
        <v>13</v>
      </c>
      <c r="I125" s="32" t="s">
        <v>389</v>
      </c>
      <c r="J125" s="21"/>
      <c r="K125" s="21"/>
      <c r="L125" s="21" t="s">
        <v>305</v>
      </c>
    </row>
    <row r="126" spans="1:12" ht="16.5" customHeight="1" x14ac:dyDescent="0.25">
      <c r="A126" s="1" t="s">
        <v>284</v>
      </c>
      <c r="B126" s="2" t="s">
        <v>285</v>
      </c>
      <c r="C126" s="2" t="s">
        <v>306</v>
      </c>
      <c r="E126" s="2" t="s">
        <v>8</v>
      </c>
      <c r="F126" s="2" t="s">
        <v>6</v>
      </c>
      <c r="H126" s="27" t="s">
        <v>13</v>
      </c>
      <c r="I126" s="32" t="s">
        <v>390</v>
      </c>
      <c r="J126" s="21"/>
      <c r="K126" s="21"/>
      <c r="L126" s="21" t="s">
        <v>307</v>
      </c>
    </row>
    <row r="127" spans="1:12" ht="16.5" customHeight="1" x14ac:dyDescent="0.25">
      <c r="A127" s="1" t="s">
        <v>284</v>
      </c>
      <c r="B127" s="2" t="s">
        <v>285</v>
      </c>
      <c r="C127" s="2" t="s">
        <v>308</v>
      </c>
      <c r="E127" s="2" t="s">
        <v>8</v>
      </c>
      <c r="F127" s="2" t="s">
        <v>6</v>
      </c>
      <c r="H127" s="27" t="s">
        <v>13</v>
      </c>
      <c r="I127" s="32" t="s">
        <v>391</v>
      </c>
      <c r="J127" s="21"/>
      <c r="K127" s="21"/>
      <c r="L127" s="21" t="s">
        <v>309</v>
      </c>
    </row>
    <row r="128" spans="1:12" ht="16.5" customHeight="1" x14ac:dyDescent="0.25">
      <c r="A128" s="1" t="s">
        <v>284</v>
      </c>
      <c r="B128" s="2" t="s">
        <v>285</v>
      </c>
      <c r="C128" s="2" t="s">
        <v>310</v>
      </c>
      <c r="E128" s="2" t="s">
        <v>8</v>
      </c>
      <c r="F128" s="2" t="s">
        <v>6</v>
      </c>
      <c r="H128" s="27" t="s">
        <v>13</v>
      </c>
      <c r="I128" s="32" t="s">
        <v>391</v>
      </c>
      <c r="J128" s="21"/>
      <c r="K128" s="21"/>
      <c r="L128" s="21" t="s">
        <v>311</v>
      </c>
    </row>
    <row r="129" spans="1:12" ht="16.5" customHeight="1" x14ac:dyDescent="0.25">
      <c r="A129" s="1" t="s">
        <v>284</v>
      </c>
      <c r="B129" s="2" t="s">
        <v>285</v>
      </c>
      <c r="C129" s="2" t="s">
        <v>312</v>
      </c>
      <c r="E129" s="2" t="s">
        <v>8</v>
      </c>
      <c r="F129" s="2" t="s">
        <v>6</v>
      </c>
      <c r="H129" s="27" t="s">
        <v>13</v>
      </c>
      <c r="I129" s="32" t="s">
        <v>391</v>
      </c>
      <c r="J129" s="21"/>
      <c r="K129" s="21"/>
      <c r="L129" s="21" t="s">
        <v>313</v>
      </c>
    </row>
    <row r="130" spans="1:12" ht="16.5" customHeight="1" x14ac:dyDescent="0.25">
      <c r="A130" s="1" t="s">
        <v>284</v>
      </c>
      <c r="B130" s="2" t="s">
        <v>285</v>
      </c>
      <c r="C130" s="2" t="s">
        <v>314</v>
      </c>
      <c r="E130" s="2" t="s">
        <v>8</v>
      </c>
      <c r="F130" s="2" t="s">
        <v>6</v>
      </c>
      <c r="H130" s="27" t="s">
        <v>13</v>
      </c>
      <c r="I130" s="32" t="s">
        <v>391</v>
      </c>
      <c r="J130" s="21"/>
      <c r="K130" s="21"/>
      <c r="L130" s="21" t="s">
        <v>315</v>
      </c>
    </row>
    <row r="131" spans="1:12" ht="16.5" customHeight="1" x14ac:dyDescent="0.25">
      <c r="A131" s="1" t="s">
        <v>284</v>
      </c>
      <c r="B131" s="2" t="s">
        <v>285</v>
      </c>
      <c r="C131" s="2" t="s">
        <v>316</v>
      </c>
      <c r="E131" s="2" t="s">
        <v>8</v>
      </c>
      <c r="F131" s="2" t="s">
        <v>6</v>
      </c>
      <c r="H131" s="27" t="s">
        <v>13</v>
      </c>
      <c r="I131" s="32" t="s">
        <v>392</v>
      </c>
      <c r="J131" s="21"/>
      <c r="K131" s="21"/>
      <c r="L131" s="21" t="s">
        <v>317</v>
      </c>
    </row>
    <row r="132" spans="1:12" ht="16.5" customHeight="1" x14ac:dyDescent="0.25">
      <c r="A132" s="1" t="s">
        <v>284</v>
      </c>
      <c r="B132" s="2" t="s">
        <v>285</v>
      </c>
      <c r="C132" s="2" t="s">
        <v>318</v>
      </c>
      <c r="E132" s="2" t="s">
        <v>8</v>
      </c>
      <c r="F132" s="2" t="s">
        <v>6</v>
      </c>
      <c r="G132" s="1"/>
      <c r="H132" s="27" t="s">
        <v>13</v>
      </c>
      <c r="I132" s="32" t="s">
        <v>392</v>
      </c>
      <c r="J132" s="21"/>
      <c r="K132" s="21"/>
      <c r="L132" s="21" t="s">
        <v>319</v>
      </c>
    </row>
    <row r="133" spans="1:12" ht="16.5" customHeight="1" x14ac:dyDescent="0.25">
      <c r="A133" s="1" t="s">
        <v>284</v>
      </c>
      <c r="B133" s="2" t="s">
        <v>285</v>
      </c>
      <c r="C133" s="2" t="s">
        <v>320</v>
      </c>
      <c r="E133" s="2" t="s">
        <v>8</v>
      </c>
      <c r="F133" s="2" t="s">
        <v>6</v>
      </c>
      <c r="G133" s="1"/>
      <c r="H133" s="27" t="s">
        <v>13</v>
      </c>
      <c r="I133" s="32" t="s">
        <v>392</v>
      </c>
      <c r="J133" s="21"/>
      <c r="K133" s="21"/>
      <c r="L133" s="21" t="s">
        <v>321</v>
      </c>
    </row>
    <row r="134" spans="1:12" ht="16.5" customHeight="1" x14ac:dyDescent="0.25">
      <c r="A134" s="1" t="s">
        <v>37</v>
      </c>
      <c r="B134" s="2" t="s">
        <v>322</v>
      </c>
      <c r="C134" s="2" t="s">
        <v>323</v>
      </c>
      <c r="E134" s="2" t="s">
        <v>5</v>
      </c>
      <c r="F134" s="2" t="s">
        <v>6</v>
      </c>
      <c r="G134" s="1"/>
      <c r="H134" s="27"/>
      <c r="I134" s="12"/>
      <c r="J134" s="21"/>
      <c r="K134" s="21"/>
      <c r="L134" s="23" t="s">
        <v>324</v>
      </c>
    </row>
    <row r="135" spans="1:12" ht="16.5" customHeight="1" x14ac:dyDescent="0.25">
      <c r="A135" s="1" t="s">
        <v>37</v>
      </c>
      <c r="B135" s="2" t="s">
        <v>322</v>
      </c>
      <c r="C135" s="1" t="s">
        <v>325</v>
      </c>
      <c r="D135" s="1"/>
      <c r="E135" s="2" t="s">
        <v>8</v>
      </c>
      <c r="F135" s="2" t="s">
        <v>6</v>
      </c>
      <c r="G135" s="1"/>
      <c r="H135" s="27" t="s">
        <v>13</v>
      </c>
      <c r="I135" s="32" t="s">
        <v>393</v>
      </c>
      <c r="J135" s="21"/>
      <c r="K135" s="21"/>
      <c r="L135" s="21" t="s">
        <v>326</v>
      </c>
    </row>
    <row r="136" spans="1:12" ht="16.5" customHeight="1" x14ac:dyDescent="0.25">
      <c r="A136" s="1" t="s">
        <v>37</v>
      </c>
      <c r="B136" s="2" t="s">
        <v>322</v>
      </c>
      <c r="C136" s="1" t="s">
        <v>327</v>
      </c>
      <c r="D136" s="1"/>
      <c r="E136" s="2" t="s">
        <v>8</v>
      </c>
      <c r="F136" s="2" t="s">
        <v>6</v>
      </c>
      <c r="G136" s="1"/>
      <c r="H136" s="27" t="s">
        <v>13</v>
      </c>
      <c r="I136" s="32" t="s">
        <v>393</v>
      </c>
      <c r="J136" s="21"/>
      <c r="K136" s="21"/>
      <c r="L136" s="21" t="s">
        <v>328</v>
      </c>
    </row>
    <row r="137" spans="1:12" ht="16.5" customHeight="1" x14ac:dyDescent="0.25">
      <c r="A137" s="1" t="s">
        <v>37</v>
      </c>
      <c r="B137" s="2" t="s">
        <v>322</v>
      </c>
      <c r="C137" s="1" t="s">
        <v>329</v>
      </c>
      <c r="D137" s="1"/>
      <c r="E137" s="2" t="s">
        <v>8</v>
      </c>
      <c r="F137" s="2" t="s">
        <v>6</v>
      </c>
      <c r="G137" s="1"/>
      <c r="H137" s="27" t="s">
        <v>13</v>
      </c>
      <c r="I137" s="32" t="s">
        <v>393</v>
      </c>
      <c r="J137" s="21"/>
      <c r="K137" s="21"/>
      <c r="L137" s="21" t="s">
        <v>330</v>
      </c>
    </row>
    <row r="138" spans="1:12" ht="16.5" customHeight="1" x14ac:dyDescent="0.25">
      <c r="A138" s="1" t="s">
        <v>37</v>
      </c>
      <c r="B138" s="2" t="s">
        <v>322</v>
      </c>
      <c r="C138" s="2" t="s">
        <v>331</v>
      </c>
      <c r="E138" s="2" t="s">
        <v>8</v>
      </c>
      <c r="F138" s="2" t="s">
        <v>6</v>
      </c>
      <c r="G138" s="1"/>
      <c r="H138" s="27" t="s">
        <v>13</v>
      </c>
      <c r="I138" s="32" t="s">
        <v>393</v>
      </c>
      <c r="J138" s="21"/>
      <c r="K138" s="21"/>
      <c r="L138" s="21" t="s">
        <v>332</v>
      </c>
    </row>
    <row r="139" spans="1:12" ht="16.5" customHeight="1" x14ac:dyDescent="0.25">
      <c r="A139" s="1" t="s">
        <v>37</v>
      </c>
      <c r="B139" s="2" t="s">
        <v>322</v>
      </c>
      <c r="C139" s="2" t="s">
        <v>333</v>
      </c>
      <c r="E139" s="2" t="s">
        <v>8</v>
      </c>
      <c r="F139" s="2" t="s">
        <v>6</v>
      </c>
      <c r="G139" s="1"/>
      <c r="H139" s="27" t="s">
        <v>13</v>
      </c>
      <c r="I139" s="32" t="s">
        <v>393</v>
      </c>
      <c r="J139" s="21"/>
      <c r="K139" s="21"/>
      <c r="L139" s="21" t="s">
        <v>334</v>
      </c>
    </row>
    <row r="140" spans="1:12" ht="16.5" customHeight="1" x14ac:dyDescent="0.25">
      <c r="A140" s="1" t="s">
        <v>37</v>
      </c>
      <c r="B140" s="2" t="s">
        <v>322</v>
      </c>
      <c r="C140" s="2" t="s">
        <v>335</v>
      </c>
      <c r="E140" s="2" t="s">
        <v>8</v>
      </c>
      <c r="F140" s="2" t="s">
        <v>6</v>
      </c>
      <c r="G140" s="1"/>
      <c r="H140" s="27" t="s">
        <v>13</v>
      </c>
      <c r="I140" s="32" t="s">
        <v>393</v>
      </c>
      <c r="J140" s="21"/>
      <c r="K140" s="21"/>
      <c r="L140" s="21" t="s">
        <v>336</v>
      </c>
    </row>
    <row r="141" spans="1:12" ht="16.5" customHeight="1" x14ac:dyDescent="0.25">
      <c r="A141" s="1" t="s">
        <v>37</v>
      </c>
      <c r="B141" s="2" t="s">
        <v>322</v>
      </c>
      <c r="C141" s="2" t="s">
        <v>337</v>
      </c>
      <c r="E141" s="2" t="s">
        <v>8</v>
      </c>
      <c r="F141" s="2" t="s">
        <v>6</v>
      </c>
      <c r="G141" s="1"/>
      <c r="H141" s="27" t="s">
        <v>13</v>
      </c>
      <c r="I141" s="32" t="s">
        <v>393</v>
      </c>
      <c r="J141" s="21"/>
      <c r="K141" s="21"/>
      <c r="L141" s="21" t="s">
        <v>338</v>
      </c>
    </row>
    <row r="142" spans="1:12" ht="16.5" customHeight="1" x14ac:dyDescent="0.25">
      <c r="A142" s="1" t="s">
        <v>37</v>
      </c>
      <c r="B142" s="2" t="s">
        <v>322</v>
      </c>
      <c r="C142" s="2" t="s">
        <v>339</v>
      </c>
      <c r="E142" s="2" t="s">
        <v>8</v>
      </c>
      <c r="F142" s="2" t="s">
        <v>6</v>
      </c>
      <c r="G142" s="1"/>
      <c r="H142" s="27" t="s">
        <v>13</v>
      </c>
      <c r="I142" s="32" t="s">
        <v>393</v>
      </c>
      <c r="J142" s="21"/>
      <c r="K142" s="21"/>
      <c r="L142" s="21" t="s">
        <v>340</v>
      </c>
    </row>
    <row r="143" spans="1:12" ht="16.5" customHeight="1" x14ac:dyDescent="0.25">
      <c r="A143" s="1" t="s">
        <v>37</v>
      </c>
      <c r="B143" s="2" t="s">
        <v>322</v>
      </c>
      <c r="C143" s="2" t="s">
        <v>341</v>
      </c>
      <c r="E143" s="2" t="s">
        <v>8</v>
      </c>
      <c r="F143" s="2" t="s">
        <v>6</v>
      </c>
      <c r="H143" s="27" t="s">
        <v>13</v>
      </c>
      <c r="I143" s="32" t="s">
        <v>393</v>
      </c>
      <c r="J143" s="21"/>
      <c r="K143" s="21"/>
      <c r="L143" s="21" t="s">
        <v>342</v>
      </c>
    </row>
    <row r="144" spans="1:12" ht="16.5" customHeight="1" x14ac:dyDescent="0.25">
      <c r="A144" s="1" t="s">
        <v>37</v>
      </c>
      <c r="B144" s="2" t="s">
        <v>322</v>
      </c>
      <c r="C144" s="2" t="s">
        <v>343</v>
      </c>
      <c r="E144" s="2" t="s">
        <v>8</v>
      </c>
      <c r="F144" s="2" t="s">
        <v>6</v>
      </c>
      <c r="H144" s="27" t="s">
        <v>13</v>
      </c>
      <c r="I144" s="32" t="s">
        <v>393</v>
      </c>
      <c r="J144" s="21"/>
      <c r="K144" s="21"/>
      <c r="L144" s="21" t="s">
        <v>344</v>
      </c>
    </row>
    <row r="145" spans="1:12" ht="16.5" customHeight="1" x14ac:dyDescent="0.25">
      <c r="A145" s="1" t="s">
        <v>37</v>
      </c>
      <c r="B145" s="2" t="s">
        <v>322</v>
      </c>
      <c r="C145" s="2" t="s">
        <v>345</v>
      </c>
      <c r="E145" s="2" t="s">
        <v>8</v>
      </c>
      <c r="F145" s="2" t="s">
        <v>6</v>
      </c>
      <c r="H145" s="27" t="s">
        <v>13</v>
      </c>
      <c r="I145" s="32" t="s">
        <v>393</v>
      </c>
      <c r="J145" s="21"/>
      <c r="K145" s="21"/>
      <c r="L145" s="21" t="s">
        <v>346</v>
      </c>
    </row>
    <row r="146" spans="1:12" ht="16.5" customHeight="1" x14ac:dyDescent="0.25">
      <c r="A146" s="1" t="s">
        <v>37</v>
      </c>
      <c r="B146" s="2" t="s">
        <v>347</v>
      </c>
      <c r="C146" s="2" t="s">
        <v>348</v>
      </c>
      <c r="E146" s="2" t="s">
        <v>5</v>
      </c>
      <c r="F146" s="2" t="s">
        <v>6</v>
      </c>
      <c r="H146" s="27"/>
      <c r="I146" s="32" t="s">
        <v>400</v>
      </c>
      <c r="J146" s="21"/>
      <c r="K146" s="21"/>
      <c r="L146" s="23" t="s">
        <v>349</v>
      </c>
    </row>
    <row r="147" spans="1:12" ht="16.5" customHeight="1" x14ac:dyDescent="0.25">
      <c r="A147" s="1" t="s">
        <v>37</v>
      </c>
      <c r="B147" s="2" t="s">
        <v>347</v>
      </c>
      <c r="C147" s="2" t="s">
        <v>350</v>
      </c>
      <c r="E147" s="2" t="s">
        <v>8</v>
      </c>
      <c r="F147" s="2" t="s">
        <v>6</v>
      </c>
      <c r="G147" s="1"/>
      <c r="H147" s="27" t="s">
        <v>13</v>
      </c>
      <c r="I147" s="32" t="s">
        <v>394</v>
      </c>
      <c r="J147" s="21"/>
      <c r="K147" s="21"/>
      <c r="L147" s="23" t="s">
        <v>351</v>
      </c>
    </row>
    <row r="148" spans="1:12" ht="16.5" customHeight="1" x14ac:dyDescent="0.25">
      <c r="A148" s="1" t="s">
        <v>37</v>
      </c>
      <c r="B148" s="2" t="s">
        <v>347</v>
      </c>
      <c r="C148" s="2" t="s">
        <v>352</v>
      </c>
      <c r="E148" s="2" t="s">
        <v>8</v>
      </c>
      <c r="F148" s="2" t="s">
        <v>6</v>
      </c>
      <c r="H148" s="27" t="s">
        <v>13</v>
      </c>
      <c r="I148" s="32" t="s">
        <v>395</v>
      </c>
      <c r="J148" s="21"/>
      <c r="K148" s="21"/>
      <c r="L148" s="21" t="s">
        <v>353</v>
      </c>
    </row>
    <row r="149" spans="1:12" ht="16.5" customHeight="1" x14ac:dyDescent="0.25">
      <c r="A149" s="1" t="s">
        <v>37</v>
      </c>
      <c r="B149" s="2" t="s">
        <v>347</v>
      </c>
      <c r="C149" s="2" t="s">
        <v>354</v>
      </c>
      <c r="E149" s="2" t="s">
        <v>8</v>
      </c>
      <c r="F149" s="2" t="s">
        <v>6</v>
      </c>
      <c r="H149" s="27" t="s">
        <v>13</v>
      </c>
      <c r="I149" s="32" t="s">
        <v>395</v>
      </c>
      <c r="J149" s="21"/>
      <c r="K149" s="21"/>
      <c r="L149" s="21" t="s">
        <v>355</v>
      </c>
    </row>
    <row r="150" spans="1:12" ht="16.5" customHeight="1" x14ac:dyDescent="0.25">
      <c r="A150" s="2" t="s">
        <v>37</v>
      </c>
      <c r="B150" s="2" t="s">
        <v>347</v>
      </c>
      <c r="C150" s="2" t="s">
        <v>356</v>
      </c>
      <c r="E150" s="2" t="s">
        <v>8</v>
      </c>
      <c r="F150" s="2" t="s">
        <v>6</v>
      </c>
      <c r="H150" s="27" t="s">
        <v>13</v>
      </c>
      <c r="I150" s="32" t="s">
        <v>395</v>
      </c>
      <c r="J150" s="21"/>
      <c r="K150" s="21"/>
      <c r="L150" s="21" t="s">
        <v>357</v>
      </c>
    </row>
    <row r="151" spans="1:12" ht="16.5" customHeight="1" x14ac:dyDescent="0.25">
      <c r="A151" s="2" t="s">
        <v>37</v>
      </c>
      <c r="B151" s="2" t="s">
        <v>347</v>
      </c>
      <c r="C151" s="2" t="s">
        <v>358</v>
      </c>
      <c r="E151" s="2" t="s">
        <v>7</v>
      </c>
      <c r="F151" s="2" t="s">
        <v>6</v>
      </c>
      <c r="H151" s="27" t="s">
        <v>13</v>
      </c>
      <c r="I151" s="32" t="s">
        <v>395</v>
      </c>
      <c r="J151" s="21"/>
      <c r="K151" s="21"/>
      <c r="L151" s="21" t="s">
        <v>359</v>
      </c>
    </row>
    <row r="152" spans="1:12" ht="16.5" customHeight="1" x14ac:dyDescent="0.25">
      <c r="A152" s="1" t="s">
        <v>37</v>
      </c>
      <c r="B152" s="1" t="s">
        <v>347</v>
      </c>
      <c r="C152" s="2" t="s">
        <v>360</v>
      </c>
      <c r="E152" s="2" t="s">
        <v>8</v>
      </c>
      <c r="F152" s="2" t="s">
        <v>6</v>
      </c>
      <c r="H152" s="27" t="s">
        <v>13</v>
      </c>
      <c r="I152" s="32" t="s">
        <v>395</v>
      </c>
      <c r="J152" s="21"/>
      <c r="K152" s="21"/>
      <c r="L152" s="21" t="s">
        <v>361</v>
      </c>
    </row>
    <row r="153" spans="1:12" ht="16.5" customHeight="1" x14ac:dyDescent="0.25">
      <c r="A153" s="1" t="s">
        <v>37</v>
      </c>
      <c r="B153" s="1" t="s">
        <v>347</v>
      </c>
      <c r="C153" s="2" t="s">
        <v>362</v>
      </c>
      <c r="E153" s="2" t="s">
        <v>8</v>
      </c>
      <c r="F153" s="2" t="s">
        <v>6</v>
      </c>
      <c r="H153" s="27" t="s">
        <v>13</v>
      </c>
      <c r="I153" s="32" t="s">
        <v>395</v>
      </c>
      <c r="J153" s="21"/>
      <c r="K153" s="21"/>
      <c r="L153" s="21" t="s">
        <v>363</v>
      </c>
    </row>
    <row r="154" spans="1:12" ht="16.5" customHeight="1" x14ac:dyDescent="0.25">
      <c r="A154" s="1" t="s">
        <v>37</v>
      </c>
      <c r="B154" s="1" t="s">
        <v>347</v>
      </c>
      <c r="C154" s="2" t="s">
        <v>364</v>
      </c>
      <c r="E154" s="2" t="s">
        <v>8</v>
      </c>
      <c r="F154" s="2" t="s">
        <v>6</v>
      </c>
      <c r="H154" s="27" t="s">
        <v>13</v>
      </c>
      <c r="I154" s="32" t="s">
        <v>395</v>
      </c>
      <c r="J154" s="21"/>
      <c r="K154" s="21"/>
      <c r="L154" s="21" t="s">
        <v>365</v>
      </c>
    </row>
    <row r="155" spans="1:12" ht="16.5" customHeight="1" x14ac:dyDescent="0.25">
      <c r="A155" s="1" t="s">
        <v>37</v>
      </c>
      <c r="B155" s="1" t="s">
        <v>347</v>
      </c>
      <c r="C155" s="2" t="s">
        <v>366</v>
      </c>
      <c r="E155" s="2" t="s">
        <v>8</v>
      </c>
      <c r="F155" s="2" t="s">
        <v>6</v>
      </c>
      <c r="H155" s="27" t="s">
        <v>13</v>
      </c>
      <c r="I155" s="32" t="s">
        <v>395</v>
      </c>
      <c r="J155" s="21"/>
      <c r="K155" s="21"/>
      <c r="L155" s="21" t="s">
        <v>367</v>
      </c>
    </row>
    <row r="156" spans="1:12" ht="16.5" customHeight="1" x14ac:dyDescent="0.25">
      <c r="A156" s="1" t="s">
        <v>37</v>
      </c>
      <c r="B156" s="1" t="s">
        <v>347</v>
      </c>
      <c r="C156" s="2" t="s">
        <v>368</v>
      </c>
      <c r="E156" s="2" t="s">
        <v>8</v>
      </c>
      <c r="F156" s="2" t="s">
        <v>6</v>
      </c>
      <c r="H156" s="27" t="s">
        <v>13</v>
      </c>
      <c r="I156" s="32" t="s">
        <v>395</v>
      </c>
      <c r="J156" s="21"/>
      <c r="K156" s="21"/>
      <c r="L156" s="21" t="s">
        <v>369</v>
      </c>
    </row>
    <row r="157" spans="1:12" ht="16.5" customHeight="1" x14ac:dyDescent="0.25">
      <c r="A157" s="1" t="s">
        <v>37</v>
      </c>
      <c r="B157" s="1" t="s">
        <v>37</v>
      </c>
      <c r="C157" s="2" t="s">
        <v>370</v>
      </c>
      <c r="E157" s="2" t="s">
        <v>8</v>
      </c>
      <c r="F157" s="2" t="s">
        <v>6</v>
      </c>
      <c r="H157" s="27" t="s">
        <v>13</v>
      </c>
      <c r="I157" s="32" t="s">
        <v>396</v>
      </c>
      <c r="J157" s="21"/>
      <c r="K157" s="21"/>
      <c r="L157" s="23" t="s">
        <v>371</v>
      </c>
    </row>
    <row r="158" spans="1:12" ht="16.5" customHeight="1" x14ac:dyDescent="0.25">
      <c r="A158" s="1" t="s">
        <v>37</v>
      </c>
      <c r="B158" s="1" t="s">
        <v>37</v>
      </c>
      <c r="C158" s="2" t="s">
        <v>372</v>
      </c>
      <c r="E158" s="2" t="s">
        <v>8</v>
      </c>
      <c r="F158" s="2" t="s">
        <v>6</v>
      </c>
      <c r="H158" s="27" t="s">
        <v>13</v>
      </c>
      <c r="J158" s="21"/>
      <c r="K158" s="21"/>
      <c r="L158" s="21" t="s">
        <v>373</v>
      </c>
    </row>
    <row r="159" spans="1:12" ht="16.5" customHeight="1" x14ac:dyDescent="0.25">
      <c r="A159" s="1" t="s">
        <v>37</v>
      </c>
      <c r="B159" s="1" t="s">
        <v>37</v>
      </c>
      <c r="C159" s="2" t="s">
        <v>374</v>
      </c>
      <c r="E159" s="2" t="s">
        <v>8</v>
      </c>
      <c r="F159" s="2" t="s">
        <v>6</v>
      </c>
      <c r="H159" s="27" t="s">
        <v>13</v>
      </c>
      <c r="I159" s="32" t="s">
        <v>397</v>
      </c>
      <c r="J159" s="21"/>
      <c r="K159" s="21"/>
      <c r="L159" s="21" t="s">
        <v>375</v>
      </c>
    </row>
    <row r="160" spans="1:12" ht="16.5" customHeight="1" x14ac:dyDescent="0.25">
      <c r="A160" s="1" t="s">
        <v>37</v>
      </c>
      <c r="B160" s="1" t="s">
        <v>37</v>
      </c>
      <c r="C160" s="2" t="s">
        <v>376</v>
      </c>
      <c r="E160" s="2" t="s">
        <v>8</v>
      </c>
      <c r="F160" s="2" t="s">
        <v>6</v>
      </c>
      <c r="H160" s="27" t="s">
        <v>13</v>
      </c>
      <c r="I160" s="32" t="s">
        <v>398</v>
      </c>
      <c r="J160" s="21"/>
      <c r="K160" s="21"/>
      <c r="L160" s="21" t="s">
        <v>377</v>
      </c>
    </row>
    <row r="161" spans="1:12" ht="16.5" customHeight="1" x14ac:dyDescent="0.25">
      <c r="A161" s="1" t="s">
        <v>37</v>
      </c>
      <c r="B161" s="1" t="s">
        <v>37</v>
      </c>
      <c r="C161" s="2" t="s">
        <v>378</v>
      </c>
      <c r="E161" s="2" t="s">
        <v>8</v>
      </c>
      <c r="F161" s="2" t="s">
        <v>6</v>
      </c>
      <c r="H161" s="27" t="s">
        <v>13</v>
      </c>
      <c r="I161" s="32" t="s">
        <v>391</v>
      </c>
      <c r="J161" s="21"/>
      <c r="K161" s="21"/>
      <c r="L161" s="21" t="s">
        <v>379</v>
      </c>
    </row>
    <row r="162" spans="1:12" ht="16.5" customHeight="1" x14ac:dyDescent="0.25">
      <c r="A162" s="1" t="s">
        <v>37</v>
      </c>
      <c r="B162" s="1" t="s">
        <v>37</v>
      </c>
      <c r="C162" s="2" t="s">
        <v>380</v>
      </c>
      <c r="E162" s="2" t="s">
        <v>8</v>
      </c>
      <c r="F162" s="2" t="s">
        <v>6</v>
      </c>
      <c r="H162" s="27" t="s">
        <v>13</v>
      </c>
      <c r="I162" s="32" t="s">
        <v>399</v>
      </c>
      <c r="J162" s="21"/>
      <c r="K162" s="21"/>
      <c r="L162" s="21" t="s">
        <v>381</v>
      </c>
    </row>
    <row r="163" spans="1:12" ht="16.5" customHeight="1" x14ac:dyDescent="0.25">
      <c r="A163" s="1" t="s">
        <v>37</v>
      </c>
      <c r="B163" s="1" t="s">
        <v>37</v>
      </c>
      <c r="C163" s="2" t="s">
        <v>382</v>
      </c>
      <c r="E163" s="2" t="s">
        <v>8</v>
      </c>
      <c r="F163" s="2" t="s">
        <v>6</v>
      </c>
      <c r="H163" s="27" t="s">
        <v>13</v>
      </c>
      <c r="I163" s="32" t="s">
        <v>399</v>
      </c>
      <c r="J163" s="21"/>
      <c r="K163" s="21"/>
      <c r="L163" s="21" t="s">
        <v>383</v>
      </c>
    </row>
    <row r="164" spans="1:12" ht="16.5" customHeight="1" x14ac:dyDescent="0.25">
      <c r="A164" s="1" t="s">
        <v>37</v>
      </c>
      <c r="B164" s="1" t="s">
        <v>37</v>
      </c>
      <c r="C164" s="2" t="s">
        <v>384</v>
      </c>
      <c r="E164" s="2" t="s">
        <v>8</v>
      </c>
      <c r="F164" s="2" t="s">
        <v>6</v>
      </c>
      <c r="H164" s="27" t="s">
        <v>13</v>
      </c>
      <c r="I164" s="32" t="s">
        <v>399</v>
      </c>
      <c r="J164" s="21"/>
      <c r="K164" s="21"/>
      <c r="L164" s="21" t="s">
        <v>385</v>
      </c>
    </row>
    <row r="165" spans="1:12" ht="16.5" customHeight="1" x14ac:dyDescent="0.25">
      <c r="A165" s="1" t="s">
        <v>37</v>
      </c>
      <c r="B165" s="1" t="s">
        <v>37</v>
      </c>
      <c r="C165" s="2" t="s">
        <v>386</v>
      </c>
      <c r="E165" s="2" t="s">
        <v>8</v>
      </c>
      <c r="F165" s="2" t="s">
        <v>6</v>
      </c>
      <c r="H165" s="27" t="s">
        <v>13</v>
      </c>
      <c r="I165" s="32" t="s">
        <v>399</v>
      </c>
      <c r="J165" s="21"/>
      <c r="K165" s="21"/>
      <c r="L165" s="21" t="s">
        <v>387</v>
      </c>
    </row>
    <row r="166" spans="1:12" ht="16.5" customHeight="1" x14ac:dyDescent="0.25">
      <c r="J166" s="21"/>
      <c r="K166" s="21"/>
      <c r="L166" s="21"/>
    </row>
    <row r="167" spans="1:12" ht="16.5" customHeight="1" x14ac:dyDescent="0.25">
      <c r="J167" s="21"/>
      <c r="K167" s="21"/>
      <c r="L167" s="21"/>
    </row>
    <row r="168" spans="1:12" ht="16.5" customHeight="1" x14ac:dyDescent="0.25">
      <c r="J168" s="21"/>
      <c r="K168" s="21"/>
      <c r="L168" s="21"/>
    </row>
    <row r="169" spans="1:12" ht="16.5" customHeight="1" x14ac:dyDescent="0.25">
      <c r="J169" s="21"/>
      <c r="K169" s="21"/>
      <c r="L169" s="21"/>
    </row>
    <row r="170" spans="1:12" ht="16.5" customHeight="1" x14ac:dyDescent="0.25">
      <c r="J170" s="21"/>
      <c r="K170" s="21"/>
      <c r="L170" s="21"/>
    </row>
    <row r="171" spans="1:12" ht="16.5" customHeight="1" x14ac:dyDescent="0.25">
      <c r="J171" s="21"/>
      <c r="K171" s="21"/>
      <c r="L171" s="21"/>
    </row>
    <row r="172" spans="1:12" ht="16.5" customHeight="1" x14ac:dyDescent="0.25">
      <c r="J172" s="21"/>
      <c r="K172" s="21"/>
      <c r="L172" s="21"/>
    </row>
    <row r="173" spans="1:12" ht="16.5" customHeight="1" x14ac:dyDescent="0.25">
      <c r="J173" s="21"/>
      <c r="K173" s="21"/>
      <c r="L173" s="21"/>
    </row>
    <row r="174" spans="1:12" ht="16.5" customHeight="1" x14ac:dyDescent="0.25">
      <c r="J174" s="21"/>
      <c r="K174" s="21"/>
      <c r="L174" s="21"/>
    </row>
    <row r="175" spans="1:12" ht="16.5" customHeight="1" x14ac:dyDescent="0.25">
      <c r="J175" s="21"/>
      <c r="K175" s="21"/>
      <c r="L175" s="21"/>
    </row>
    <row r="176" spans="1:12" ht="16.5" customHeight="1" x14ac:dyDescent="0.25">
      <c r="J176" s="21"/>
      <c r="K176" s="21"/>
      <c r="L176" s="21"/>
    </row>
    <row r="177" spans="10:12" ht="16.5" customHeight="1" x14ac:dyDescent="0.25">
      <c r="J177" s="21"/>
      <c r="K177" s="21"/>
      <c r="L177" s="21"/>
    </row>
    <row r="178" spans="10:12" ht="16.5" customHeight="1" x14ac:dyDescent="0.25">
      <c r="J178" s="21"/>
      <c r="K178" s="21"/>
      <c r="L178" s="21"/>
    </row>
    <row r="179" spans="10:12" ht="16.5" customHeight="1" x14ac:dyDescent="0.25">
      <c r="J179" s="21"/>
      <c r="K179" s="21"/>
      <c r="L179" s="21"/>
    </row>
    <row r="180" spans="10:12" ht="16.5" customHeight="1" x14ac:dyDescent="0.25">
      <c r="J180" s="21"/>
      <c r="K180" s="21"/>
      <c r="L180" s="21"/>
    </row>
    <row r="181" spans="10:12" ht="16.5" customHeight="1" x14ac:dyDescent="0.25">
      <c r="J181" s="21"/>
      <c r="K181" s="21"/>
      <c r="L181" s="21"/>
    </row>
    <row r="182" spans="10:12" ht="16.5" customHeight="1" x14ac:dyDescent="0.25">
      <c r="J182" s="21"/>
      <c r="K182" s="21"/>
      <c r="L182" s="21"/>
    </row>
    <row r="183" spans="10:12" ht="16.5" customHeight="1" x14ac:dyDescent="0.25">
      <c r="J183" s="21"/>
      <c r="K183" s="21"/>
      <c r="L183" s="21"/>
    </row>
    <row r="184" spans="10:12" ht="16.5" customHeight="1" x14ac:dyDescent="0.25">
      <c r="J184" s="21"/>
      <c r="K184" s="21"/>
      <c r="L184" s="21"/>
    </row>
    <row r="185" spans="10:12" ht="16.5" customHeight="1" x14ac:dyDescent="0.25">
      <c r="J185" s="21"/>
      <c r="K185" s="21"/>
      <c r="L185" s="21"/>
    </row>
    <row r="186" spans="10:12" ht="16.5" customHeight="1" x14ac:dyDescent="0.25">
      <c r="J186" s="21"/>
      <c r="K186" s="21"/>
      <c r="L186" s="21"/>
    </row>
    <row r="187" spans="10:12" ht="16.5" customHeight="1" x14ac:dyDescent="0.25">
      <c r="J187" s="21"/>
      <c r="K187" s="21"/>
      <c r="L187" s="21"/>
    </row>
    <row r="188" spans="10:12" ht="16.5" customHeight="1" x14ac:dyDescent="0.25">
      <c r="J188" s="21"/>
      <c r="K188" s="21"/>
      <c r="L188" s="21"/>
    </row>
    <row r="189" spans="10:12" ht="16.5" customHeight="1" x14ac:dyDescent="0.25">
      <c r="J189" s="21"/>
      <c r="K189" s="21"/>
      <c r="L189" s="21"/>
    </row>
    <row r="190" spans="10:12" ht="16.5" customHeight="1" x14ac:dyDescent="0.25">
      <c r="J190" s="21"/>
      <c r="K190" s="21"/>
      <c r="L190" s="21"/>
    </row>
    <row r="191" spans="10:12" ht="16.5" customHeight="1" x14ac:dyDescent="0.25">
      <c r="J191" s="21"/>
      <c r="K191" s="21"/>
      <c r="L191" s="21"/>
    </row>
    <row r="192" spans="10:12" ht="16.5" customHeight="1" x14ac:dyDescent="0.25">
      <c r="J192" s="21"/>
      <c r="K192" s="21"/>
      <c r="L192" s="21"/>
    </row>
    <row r="193" spans="10:12" ht="16.5" customHeight="1" x14ac:dyDescent="0.25">
      <c r="J193" s="21"/>
      <c r="K193" s="21"/>
      <c r="L193" s="21"/>
    </row>
    <row r="194" spans="10:12" ht="16.5" customHeight="1" x14ac:dyDescent="0.25">
      <c r="J194" s="21"/>
      <c r="K194" s="21"/>
      <c r="L194" s="21"/>
    </row>
    <row r="195" spans="10:12" ht="16.5" customHeight="1" x14ac:dyDescent="0.25">
      <c r="J195" s="21"/>
      <c r="K195" s="21"/>
      <c r="L195" s="21"/>
    </row>
    <row r="196" spans="10:12" ht="16.5" customHeight="1" x14ac:dyDescent="0.25">
      <c r="J196" s="21"/>
      <c r="K196" s="21"/>
      <c r="L196" s="21"/>
    </row>
    <row r="197" spans="10:12" ht="16.5" customHeight="1" x14ac:dyDescent="0.25">
      <c r="J197" s="21"/>
      <c r="K197" s="21"/>
      <c r="L197" s="21"/>
    </row>
    <row r="198" spans="10:12" ht="16.5" customHeight="1" x14ac:dyDescent="0.25">
      <c r="J198" s="21"/>
      <c r="K198" s="21"/>
      <c r="L198" s="21"/>
    </row>
    <row r="199" spans="10:12" ht="16.5" customHeight="1" x14ac:dyDescent="0.25">
      <c r="J199" s="21"/>
      <c r="K199" s="21"/>
      <c r="L199" s="21"/>
    </row>
    <row r="200" spans="10:12" ht="16.5" customHeight="1" x14ac:dyDescent="0.25">
      <c r="J200" s="21"/>
      <c r="K200" s="21"/>
      <c r="L200" s="21"/>
    </row>
    <row r="201" spans="10:12" ht="16.5" customHeight="1" x14ac:dyDescent="0.25">
      <c r="J201" s="21"/>
      <c r="K201" s="21"/>
      <c r="L201" s="21"/>
    </row>
    <row r="202" spans="10:12" ht="16.5" customHeight="1" x14ac:dyDescent="0.25">
      <c r="J202" s="21"/>
      <c r="K202" s="21"/>
      <c r="L202" s="21"/>
    </row>
    <row r="203" spans="10:12" ht="16.5" customHeight="1" x14ac:dyDescent="0.25">
      <c r="J203" s="21"/>
      <c r="K203" s="21"/>
      <c r="L203" s="21"/>
    </row>
    <row r="204" spans="10:12" ht="16.5" customHeight="1" x14ac:dyDescent="0.25">
      <c r="J204" s="21"/>
      <c r="K204" s="21"/>
      <c r="L204" s="21"/>
    </row>
    <row r="205" spans="10:12" x14ac:dyDescent="0.25">
      <c r="J205" s="21"/>
      <c r="K205" s="21"/>
      <c r="L205" s="21"/>
    </row>
    <row r="206" spans="10:12" x14ac:dyDescent="0.25">
      <c r="J206" s="21"/>
      <c r="K206" s="21"/>
      <c r="L206" s="21"/>
    </row>
    <row r="207" spans="10:12" x14ac:dyDescent="0.25">
      <c r="J207" s="21"/>
      <c r="K207" s="21"/>
      <c r="L207" s="21"/>
    </row>
    <row r="208" spans="10:12" x14ac:dyDescent="0.25">
      <c r="J208" s="21"/>
      <c r="K208" s="21"/>
      <c r="L208" s="21"/>
    </row>
    <row r="209" spans="10:12" x14ac:dyDescent="0.25">
      <c r="J209" s="21"/>
      <c r="K209" s="21"/>
      <c r="L209" s="21"/>
    </row>
    <row r="210" spans="10:12" x14ac:dyDescent="0.25">
      <c r="J210" s="21"/>
      <c r="K210" s="21"/>
      <c r="L210" s="21"/>
    </row>
    <row r="211" spans="10:12" x14ac:dyDescent="0.25">
      <c r="J211" s="21"/>
      <c r="K211" s="21"/>
      <c r="L211" s="21"/>
    </row>
    <row r="212" spans="10:12" x14ac:dyDescent="0.25">
      <c r="J212" s="21"/>
      <c r="K212" s="21"/>
      <c r="L212" s="21"/>
    </row>
    <row r="213" spans="10:12" x14ac:dyDescent="0.25">
      <c r="J213" s="21"/>
      <c r="K213" s="21"/>
      <c r="L213" s="21"/>
    </row>
    <row r="214" spans="10:12" x14ac:dyDescent="0.25">
      <c r="J214" s="21"/>
      <c r="K214" s="21"/>
      <c r="L214" s="21"/>
    </row>
    <row r="215" spans="10:12" x14ac:dyDescent="0.25">
      <c r="J215" s="21"/>
      <c r="K215" s="21"/>
      <c r="L215" s="21"/>
    </row>
    <row r="216" spans="10:12" x14ac:dyDescent="0.25">
      <c r="J216" s="21"/>
      <c r="K216" s="21"/>
      <c r="L216" s="21"/>
    </row>
    <row r="217" spans="10:12" x14ac:dyDescent="0.25">
      <c r="J217" s="21"/>
      <c r="K217" s="21"/>
      <c r="L217" s="21"/>
    </row>
    <row r="218" spans="10:12" x14ac:dyDescent="0.25">
      <c r="J218" s="21"/>
      <c r="K218" s="21"/>
      <c r="L218" s="21"/>
    </row>
    <row r="219" spans="10:12" x14ac:dyDescent="0.25">
      <c r="J219" s="21"/>
      <c r="K219" s="21"/>
      <c r="L219" s="21"/>
    </row>
    <row r="220" spans="10:12" x14ac:dyDescent="0.25">
      <c r="J220" s="21"/>
      <c r="K220" s="21"/>
      <c r="L220" s="21"/>
    </row>
    <row r="221" spans="10:12" x14ac:dyDescent="0.25">
      <c r="J221" s="21"/>
      <c r="K221" s="21"/>
      <c r="L221" s="21"/>
    </row>
    <row r="222" spans="10:12" x14ac:dyDescent="0.25">
      <c r="J222" s="21"/>
      <c r="K222" s="21"/>
      <c r="L222" s="21"/>
    </row>
    <row r="223" spans="10:12" x14ac:dyDescent="0.25">
      <c r="J223" s="21"/>
      <c r="K223" s="21"/>
      <c r="L223" s="21"/>
    </row>
    <row r="224" spans="10:12" x14ac:dyDescent="0.25">
      <c r="J224" s="21"/>
      <c r="K224" s="21"/>
      <c r="L224" s="21"/>
    </row>
    <row r="225" spans="10:12" x14ac:dyDescent="0.25">
      <c r="J225" s="21"/>
      <c r="K225" s="21"/>
      <c r="L225" s="21"/>
    </row>
    <row r="226" spans="10:12" x14ac:dyDescent="0.25">
      <c r="J226" s="21"/>
      <c r="K226" s="21"/>
      <c r="L226" s="21"/>
    </row>
    <row r="227" spans="10:12" x14ac:dyDescent="0.25">
      <c r="J227" s="21"/>
      <c r="K227" s="21"/>
      <c r="L227" s="21"/>
    </row>
    <row r="228" spans="10:12" x14ac:dyDescent="0.25">
      <c r="J228" s="21"/>
      <c r="K228" s="21"/>
      <c r="L228" s="21"/>
    </row>
    <row r="229" spans="10:12" x14ac:dyDescent="0.25">
      <c r="J229" s="21"/>
      <c r="K229" s="21"/>
      <c r="L229" s="21"/>
    </row>
    <row r="230" spans="10:12" x14ac:dyDescent="0.25">
      <c r="J230" s="21"/>
      <c r="K230" s="21"/>
      <c r="L230" s="21"/>
    </row>
    <row r="231" spans="10:12" x14ac:dyDescent="0.25">
      <c r="J231" s="21"/>
      <c r="K231" s="21"/>
      <c r="L231" s="21"/>
    </row>
    <row r="232" spans="10:12" x14ac:dyDescent="0.25">
      <c r="J232" s="21"/>
      <c r="K232" s="21"/>
      <c r="L232" s="21"/>
    </row>
    <row r="233" spans="10:12" x14ac:dyDescent="0.25">
      <c r="J233" s="21"/>
      <c r="K233" s="21"/>
      <c r="L233" s="21"/>
    </row>
    <row r="234" spans="10:12" x14ac:dyDescent="0.25">
      <c r="J234" s="21"/>
      <c r="K234" s="21"/>
      <c r="L234" s="21"/>
    </row>
    <row r="235" spans="10:12" x14ac:dyDescent="0.25">
      <c r="J235" s="21"/>
      <c r="K235" s="21"/>
      <c r="L235" s="21"/>
    </row>
    <row r="236" spans="10:12" x14ac:dyDescent="0.25">
      <c r="J236" s="21"/>
      <c r="K236" s="21"/>
      <c r="L236" s="21"/>
    </row>
    <row r="237" spans="10:12" x14ac:dyDescent="0.25">
      <c r="J237" s="21"/>
      <c r="K237" s="21"/>
      <c r="L237" s="21"/>
    </row>
    <row r="238" spans="10:12" x14ac:dyDescent="0.25">
      <c r="J238" s="21"/>
      <c r="K238" s="21"/>
      <c r="L238" s="21"/>
    </row>
    <row r="239" spans="10:12" x14ac:dyDescent="0.25">
      <c r="J239" s="21"/>
      <c r="K239" s="21"/>
      <c r="L239" s="21"/>
    </row>
    <row r="240" spans="10:12" x14ac:dyDescent="0.25">
      <c r="J240" s="21"/>
      <c r="K240" s="21"/>
      <c r="L240" s="21"/>
    </row>
    <row r="241" spans="10:12" x14ac:dyDescent="0.25">
      <c r="J241" s="21"/>
      <c r="K241" s="21"/>
      <c r="L241" s="21"/>
    </row>
    <row r="242" spans="10:12" x14ac:dyDescent="0.25">
      <c r="J242" s="21"/>
      <c r="K242" s="21"/>
      <c r="L242" s="21"/>
    </row>
    <row r="243" spans="10:12" x14ac:dyDescent="0.25">
      <c r="J243" s="21"/>
      <c r="K243" s="21"/>
      <c r="L243" s="21"/>
    </row>
    <row r="244" spans="10:12" x14ac:dyDescent="0.25">
      <c r="J244" s="21"/>
      <c r="K244" s="21"/>
      <c r="L244" s="21"/>
    </row>
    <row r="245" spans="10:12" x14ac:dyDescent="0.25">
      <c r="J245" s="21"/>
      <c r="K245" s="21"/>
      <c r="L245" s="21"/>
    </row>
    <row r="246" spans="10:12" x14ac:dyDescent="0.25">
      <c r="J246" s="21"/>
      <c r="K246" s="21"/>
      <c r="L246" s="21"/>
    </row>
    <row r="247" spans="10:12" x14ac:dyDescent="0.25">
      <c r="J247" s="21"/>
      <c r="K247" s="21"/>
      <c r="L247" s="21"/>
    </row>
    <row r="248" spans="10:12" x14ac:dyDescent="0.25">
      <c r="J248" s="21"/>
      <c r="K248" s="21"/>
      <c r="L248" s="21"/>
    </row>
    <row r="249" spans="10:12" x14ac:dyDescent="0.25">
      <c r="J249" s="21"/>
      <c r="K249" s="21"/>
      <c r="L249" s="21"/>
    </row>
    <row r="250" spans="10:12" x14ac:dyDescent="0.25">
      <c r="J250" s="21"/>
      <c r="K250" s="21"/>
      <c r="L250" s="21"/>
    </row>
    <row r="251" spans="10:12" x14ac:dyDescent="0.25">
      <c r="J251" s="21"/>
      <c r="K251" s="21"/>
      <c r="L251" s="21"/>
    </row>
    <row r="252" spans="10:12" x14ac:dyDescent="0.25">
      <c r="J252" s="21"/>
      <c r="K252" s="21"/>
      <c r="L252" s="21"/>
    </row>
    <row r="253" spans="10:12" x14ac:dyDescent="0.25">
      <c r="J253" s="21"/>
      <c r="K253" s="21"/>
      <c r="L253" s="21"/>
    </row>
    <row r="254" spans="10:12" x14ac:dyDescent="0.25">
      <c r="J254" s="21"/>
      <c r="K254" s="21"/>
      <c r="L254" s="21"/>
    </row>
    <row r="255" spans="10:12" x14ac:dyDescent="0.25">
      <c r="J255" s="21"/>
      <c r="K255" s="21"/>
      <c r="L255" s="21"/>
    </row>
    <row r="256" spans="10:12" x14ac:dyDescent="0.25">
      <c r="J256" s="21"/>
      <c r="K256" s="21"/>
      <c r="L256" s="21"/>
    </row>
    <row r="257" spans="10:12" x14ac:dyDescent="0.25">
      <c r="J257" s="21"/>
      <c r="K257" s="21"/>
      <c r="L257" s="21"/>
    </row>
    <row r="258" spans="10:12" x14ac:dyDescent="0.25">
      <c r="J258" s="21"/>
      <c r="K258" s="21"/>
      <c r="L258" s="21"/>
    </row>
    <row r="259" spans="10:12" x14ac:dyDescent="0.25">
      <c r="J259" s="21"/>
      <c r="K259" s="21"/>
      <c r="L259" s="21"/>
    </row>
    <row r="260" spans="10:12" x14ac:dyDescent="0.25">
      <c r="J260" s="21"/>
      <c r="K260" s="21"/>
      <c r="L260" s="21"/>
    </row>
    <row r="261" spans="10:12" x14ac:dyDescent="0.25">
      <c r="J261" s="21"/>
      <c r="K261" s="21"/>
      <c r="L261" s="21"/>
    </row>
    <row r="262" spans="10:12" x14ac:dyDescent="0.25">
      <c r="J262" s="21"/>
      <c r="K262" s="21"/>
      <c r="L262" s="21"/>
    </row>
    <row r="263" spans="10:12" x14ac:dyDescent="0.25">
      <c r="J263" s="21"/>
      <c r="K263" s="21"/>
      <c r="L263" s="21"/>
    </row>
    <row r="264" spans="10:12" x14ac:dyDescent="0.25">
      <c r="J264" s="21"/>
      <c r="K264" s="21"/>
      <c r="L264" s="21"/>
    </row>
    <row r="265" spans="10:12" x14ac:dyDescent="0.25">
      <c r="J265" s="21"/>
      <c r="K265" s="21"/>
      <c r="L265" s="21"/>
    </row>
    <row r="266" spans="10:12" x14ac:dyDescent="0.25">
      <c r="J266" s="21"/>
      <c r="K266" s="21"/>
      <c r="L266" s="21"/>
    </row>
    <row r="267" spans="10:12" x14ac:dyDescent="0.25">
      <c r="J267" s="21"/>
      <c r="K267" s="21"/>
      <c r="L267" s="21"/>
    </row>
    <row r="268" spans="10:12" x14ac:dyDescent="0.25">
      <c r="J268" s="21"/>
      <c r="K268" s="21"/>
      <c r="L268" s="21"/>
    </row>
    <row r="269" spans="10:12" x14ac:dyDescent="0.25">
      <c r="J269" s="21"/>
      <c r="K269" s="21"/>
      <c r="L269" s="21"/>
    </row>
    <row r="270" spans="10:12" x14ac:dyDescent="0.25">
      <c r="J270" s="21"/>
      <c r="K270" s="21"/>
      <c r="L270" s="21"/>
    </row>
    <row r="271" spans="10:12" x14ac:dyDescent="0.25">
      <c r="J271" s="21"/>
      <c r="K271" s="21"/>
      <c r="L271" s="21"/>
    </row>
    <row r="272" spans="10:12" x14ac:dyDescent="0.25">
      <c r="J272" s="21"/>
      <c r="K272" s="21"/>
      <c r="L272" s="21"/>
    </row>
    <row r="273" spans="10:12" x14ac:dyDescent="0.25">
      <c r="J273" s="21"/>
      <c r="K273" s="21"/>
      <c r="L273" s="21"/>
    </row>
    <row r="274" spans="10:12" x14ac:dyDescent="0.25">
      <c r="J274" s="21"/>
      <c r="K274" s="21"/>
      <c r="L274" s="21"/>
    </row>
    <row r="275" spans="10:12" x14ac:dyDescent="0.25">
      <c r="J275" s="21"/>
      <c r="K275" s="21"/>
      <c r="L275" s="21"/>
    </row>
    <row r="276" spans="10:12" x14ac:dyDescent="0.25">
      <c r="J276" s="21"/>
      <c r="K276" s="21"/>
      <c r="L276" s="21"/>
    </row>
    <row r="277" spans="10:12" x14ac:dyDescent="0.25">
      <c r="J277" s="21"/>
      <c r="K277" s="21"/>
      <c r="L277" s="21"/>
    </row>
    <row r="278" spans="10:12" x14ac:dyDescent="0.25">
      <c r="J278" s="21"/>
      <c r="K278" s="21"/>
      <c r="L278" s="21"/>
    </row>
    <row r="279" spans="10:12" x14ac:dyDescent="0.25">
      <c r="J279" s="21"/>
      <c r="K279" s="21"/>
      <c r="L279" s="21"/>
    </row>
    <row r="280" spans="10:12" x14ac:dyDescent="0.25">
      <c r="J280" s="21"/>
      <c r="K280" s="21"/>
      <c r="L280" s="21"/>
    </row>
    <row r="281" spans="10:12" x14ac:dyDescent="0.25">
      <c r="J281" s="21"/>
      <c r="K281" s="21"/>
      <c r="L281" s="21"/>
    </row>
    <row r="282" spans="10:12" x14ac:dyDescent="0.25">
      <c r="J282" s="21"/>
      <c r="K282" s="21"/>
    </row>
    <row r="283" spans="10:12" x14ac:dyDescent="0.25">
      <c r="J283" s="21"/>
      <c r="K283" s="21"/>
    </row>
    <row r="284" spans="10:12" x14ac:dyDescent="0.25">
      <c r="J284" s="21"/>
      <c r="K284" s="21"/>
    </row>
    <row r="285" spans="10:12" x14ac:dyDescent="0.25">
      <c r="J285" s="21"/>
      <c r="K285" s="21"/>
    </row>
    <row r="286" spans="10:12" x14ac:dyDescent="0.25">
      <c r="J286" s="21"/>
      <c r="K286" s="21"/>
    </row>
  </sheetData>
  <autoFilter ref="A4:I149" xr:uid="{40A4B7A3-F207-4AF4-8579-95FFC9A7072F}"/>
  <dataConsolidate/>
  <mergeCells count="1">
    <mergeCell ref="A1:B1"/>
  </mergeCells>
  <conditionalFormatting sqref="D5">
    <cfRule type="cellIs" dxfId="19" priority="181" operator="equal">
      <formula>"Fulfilled"</formula>
    </cfRule>
    <cfRule type="cellIs" dxfId="18" priority="182" operator="equal">
      <formula>"Not verified"</formula>
    </cfRule>
    <cfRule type="cellIs" dxfId="17" priority="183" operator="equal">
      <formula>"Fullfilled"</formula>
    </cfRule>
    <cfRule type="cellIs" dxfId="16" priority="184" operator="equal">
      <formula>"N/A"</formula>
    </cfRule>
    <cfRule type="cellIs" dxfId="15" priority="185" operator="equal">
      <formula>"Open"</formula>
    </cfRule>
  </conditionalFormatting>
  <conditionalFormatting sqref="J5:L281">
    <cfRule type="expression" dxfId="14" priority="11">
      <formula>($C5&lt;&gt;"")</formula>
    </cfRule>
  </conditionalFormatting>
  <conditionalFormatting sqref="D20:D21">
    <cfRule type="cellIs" dxfId="13" priority="6" operator="equal">
      <formula>"Fulfilled"</formula>
    </cfRule>
    <cfRule type="cellIs" dxfId="12" priority="7" operator="equal">
      <formula>"Not verified"</formula>
    </cfRule>
    <cfRule type="cellIs" dxfId="11" priority="8" operator="equal">
      <formula>"Fullfilled"</formula>
    </cfRule>
    <cfRule type="cellIs" dxfId="10" priority="9" operator="equal">
      <formula>"N/A"</formula>
    </cfRule>
    <cfRule type="cellIs" dxfId="9" priority="10" operator="equal">
      <formula>"Open"</formula>
    </cfRule>
  </conditionalFormatting>
  <conditionalFormatting sqref="D19">
    <cfRule type="cellIs" dxfId="8" priority="1" operator="equal">
      <formula>"Fulfilled"</formula>
    </cfRule>
    <cfRule type="cellIs" dxfId="7" priority="2" operator="equal">
      <formula>"Not verified"</formula>
    </cfRule>
    <cfRule type="cellIs" dxfId="6" priority="3" operator="equal">
      <formula>"Fullfilled"</formula>
    </cfRule>
    <cfRule type="cellIs" dxfId="5" priority="4" operator="equal">
      <formula>"N/A"</formula>
    </cfRule>
    <cfRule type="cellIs" dxfId="4" priority="5" operator="equal">
      <formula>"Open"</formula>
    </cfRule>
  </conditionalFormatting>
  <hyperlinks>
    <hyperlink ref="H5" r:id="rId1" tooltip="https://docs.microsoft.com/azure/active-directory/roles/security-emergency-access" xr:uid="{15BF0A73-4576-4D8D-A799-6C15DA4FCC41}"/>
    <hyperlink ref="I5" r:id="rId2" tooltip="https://docs.microsoft.com/learn/modules/azure-ad-privileged-identity-management/" xr:uid="{C1DB9BCC-FD2E-4E7A-A470-4A4CE8AE8E00}"/>
    <hyperlink ref="H6" r:id="rId3" tooltip="https://docs.microsoft.com/azure/role-based-access-control/overview" xr:uid="{86DE04F7-2188-446E-8CA1-56C2D9BD0E68}"/>
    <hyperlink ref="I6" r:id="rId4" tooltip="https://docs.microsoft.com/en-gb/learn/paths/implement-resource-mgmt-security/" xr:uid="{AE30CC57-3CD8-4DE6-B559-07A7A5BBA4C9}"/>
    <hyperlink ref="H7" r:id="rId5" tooltip="https://docs.microsoft.com/azure/active-directory/conditional-access/overview" xr:uid="{D7298DD6-6A97-44B0-A567-AA8375F8817D}"/>
    <hyperlink ref="I7" r:id="rId6" tooltip="https://docs.microsoft.com/learn/modules/plan-implement-administer-conditional-access/" xr:uid="{7CCB6022-0AF5-4602-B02D-ACF59FD10D0C}"/>
    <hyperlink ref="H8" r:id="rId7" tooltip="https://docs.microsoft.com/azure/active-directory/authentication/concept-mfa-howitworks" xr:uid="{7F5B1EAB-F7AE-4E54-B12E-5703D4BFC134}"/>
    <hyperlink ref="I8" r:id="rId8" tooltip="https://docs.microsoft.com/en-gb/learn/modules/secure-aad-users-with-mfa/" xr:uid="{4D75E916-34F1-4AB7-B541-A342B6132515}"/>
    <hyperlink ref="H9" r:id="rId9" tooltip="https://docs.microsoft.com/azure/role-based-access-control/overview" xr:uid="{8A28DF28-B4DE-4FD4-8A16-322DB7903E13}"/>
    <hyperlink ref="I9" r:id="rId10" tooltip="https://docs.microsoft.com/en-gb/learn/paths/azure-administrator-manage-identities-governance/" xr:uid="{87347D7B-8DAE-420B-9589-FA5F4641D1B6}"/>
    <hyperlink ref="H10" r:id="rId11" tooltip="https://docs.microsoft.com/azure/active-directory/privileged-identity-management/pim-configure" xr:uid="{AB8B4838-D47E-48BE-8D6B-342017CE6593}"/>
    <hyperlink ref="I10" r:id="rId12" tooltip="https://docs.microsoft.com/learn/modules/azure-ad-privileged-identity-management/" xr:uid="{9E53075B-6144-47D4-8137-204CB5FFE964}"/>
    <hyperlink ref="H11" r:id="rId13" tooltip="https://docs.microsoft.com/azure/active-directory-b2c/user-overview" xr:uid="{3CEC59E4-8074-4960-8A75-6259A8CA4CA3}"/>
    <hyperlink ref="I11" r:id="rId14" tooltip="https://docs.microsoft.com/learn/modules/explore-basic-services-identity-types/" xr:uid="{4D8C1DEC-9CB2-4DC8-9D32-3E2FF5A7AA7F}"/>
    <hyperlink ref="H12" r:id="rId15" tooltip="https://docs.microsoft.com/azure/active-directory/fundamentals/active-directory-groups-create-azure-portal" xr:uid="{B803A81D-FA15-4E1A-B9F8-E36319BF3CBB}"/>
    <hyperlink ref="I12" r:id="rId16" tooltip="https://docs.microsoft.com/en-gb/learn/paths/manage-identity-and-access/" xr:uid="{06890F75-1BEF-490A-A506-170C1A9A97FA}"/>
    <hyperlink ref="H13" r:id="rId17" tooltip="https://docs.microsoft.com/azure/role-based-access-control/custom-roles" xr:uid="{DAE3B69B-DABF-47E4-BD4D-51D7A4282263}"/>
    <hyperlink ref="I13" r:id="rId18" tooltip="https://docs.microsoft.com/en-gb/learn/modules/create-custom-azure-roles-with-rbac/" xr:uid="{AF8A4ECC-73F0-4570-98C7-B9041F7F93DB}"/>
    <hyperlink ref="H14" r:id="rId19" tooltip="https://azure.microsoft.com/resources/achieving-compliant-data-residency-and-security-with-azure/" xr:uid="{2C2E625E-9498-467D-BCA1-BBF629E77740}"/>
    <hyperlink ref="I14" r:id="rId20" tooltip="https://docs.microsoft.com/en-gb/learn/paths/secure-your-cloud-data/" xr:uid="{20D1F540-19C2-4459-A06F-B24453585E86}"/>
    <hyperlink ref="H15" r:id="rId21" tooltip="https://docs.microsoft.com/azure/active-directory-domain-services/overview" xr:uid="{EAB06899-23E2-4668-A4B1-56BAD7355A05}"/>
    <hyperlink ref="I15" r:id="rId22" tooltip="https://docs.microsoft.com/learn/modules/azure-active-directory/" xr:uid="{FC7DC738-811D-4923-A581-EDAA41531179}"/>
    <hyperlink ref="H16" r:id="rId23" tooltip="https://docs.microsoft.com/azure/active-directory-domain-services/overview" xr:uid="{4B0D40A2-463C-48B2-A30B-808F6F31A925}"/>
    <hyperlink ref="I16" r:id="rId24" tooltip="https://docs.microsoft.com/en-gb/learn/modules/implement-hybrid-identity-windows-server/" xr:uid="{B56B6AB3-27B9-4C51-A147-BE53E6B5AF1D}"/>
    <hyperlink ref="H17" r:id="rId25" tooltip="https://docs.microsoft.com/azure/architecture/reference-architectures/identity/adds-extend-domain" xr:uid="{1056FED9-BE5D-4A6C-8AC7-ABA3FB73CBC6}"/>
    <hyperlink ref="I17" r:id="rId26" tooltip="https://docs.microsoft.com/en-gb/learn/paths/implement-windows-server-iaas-virtual-machine-identity/" xr:uid="{A1964A0E-A648-41DF-810C-018FB61F92E3}"/>
    <hyperlink ref="H18" r:id="rId27" tooltip="https://docs.microsoft.com/azure/active-directory/app-proxy/application-proxy" xr:uid="{58B28F5B-0C71-480D-B5F2-B6ACC11666A6}"/>
    <hyperlink ref="I18" r:id="rId28" tooltip="https://docs.microsoft.com/en-gb/learn/paths/implement-applications-external-access-azure-ad/" xr:uid="{2FD01FCF-6E53-4FD7-B26B-CA4A1FEE728B}"/>
    <hyperlink ref="H19" r:id="rId29" tooltip="https://docs.microsoft.com/azure/governance/management-groups/overview" xr:uid="{37CC418A-22E1-4BFD-9016-C79071DD25A1}"/>
    <hyperlink ref="I19" r:id="rId30" tooltip="https://docs.microsoft.com/learn/modules/azure-architecture-fundamentals/" xr:uid="{BAD3D5D8-B872-4715-88A6-C1EE2D9CEF25}"/>
    <hyperlink ref="H20" r:id="rId31" tooltip="https://docs.microsoft.com/azure/cloud-adoption-framework/decision-guides/resource-tagging/?toc=/azure/azure-resource-manager/management/toc.json" xr:uid="{C35E5898-5617-478E-8228-4B77CB7D2CEE}"/>
    <hyperlink ref="I20" r:id="rId32" tooltip="https://docs.microsoft.com/learn/paths/implement-resource-mgmt-security/" xr:uid="{364C06ED-4317-4089-92D8-02F3A8B0DC1A}"/>
    <hyperlink ref="H21" r:id="rId33" tooltip="https://docs.microsoft.com/azure/governance/management-groups/overview" xr:uid="{80F7E304-3601-4EB7-A561-1FBA34392518}"/>
    <hyperlink ref="I21" r:id="rId34" tooltip="https://docs.microsoft.com/learn/paths/enterprise-scale-architecture/" xr:uid="{716CFC5D-4A6F-4B22-B315-D9DD01E4D1C3}"/>
    <hyperlink ref="H22" r:id="rId35" tooltip="https://docs.microsoft.com/azure/governance/management-groups/overview" xr:uid="{99F1A698-ED39-4ABA-AE88-C040F78EA25C}"/>
    <hyperlink ref="I22" r:id="rId36" tooltip="https://docs.microsoft.com/learn/paths/enterprise-scale-architecture/" xr:uid="{A50361C6-F3BB-4B48-8FDB-80F72B108744}"/>
    <hyperlink ref="H23" r:id="rId37" tooltip="https://docs.microsoft.com/azure/governance/management-groups/overview" xr:uid="{F8D19BE8-30FA-47D7-94DF-6A75EEEC010F}"/>
    <hyperlink ref="I23" r:id="rId38" tooltip="https://docs.microsoft.com/learn/paths/enterprise-scale-architecture/" xr:uid="{8E671AE6-0EA1-413E-A3D4-24E79D776EBC}"/>
    <hyperlink ref="H24" r:id="rId39" tooltip="https://docs.microsoft.com/azure/governance/management-groups/overview" xr:uid="{A870FDD9-A28C-496F-A88E-57890952C2AB}"/>
    <hyperlink ref="H25" r:id="rId40" tooltip="https://docs.microsoft.com/azure/governance/management-groups/overview" xr:uid="{093A21A3-27B9-4FCC-9847-41D732600055}"/>
    <hyperlink ref="H26" r:id="rId41" tooltip="https://docs.microsoft.com/azure/governance/management-groups/overview" xr:uid="{8E3F472D-D04B-42AB-B273-D8EDB7324A85}"/>
    <hyperlink ref="H27" r:id="rId42" tooltip="https://docs.microsoft.com/azure/governance/management-groups/overview" xr:uid="{F10C51EF-87CF-47EA-A1F1-F4798444249F}"/>
    <hyperlink ref="H28" r:id="rId43" tooltip="https://docs.microsoft.com/azure/azure-resource-manager/management/azure-subscription-service-limits" xr:uid="{98FE3D48-B62D-4561-BDD3-55CFBAE21A9D}"/>
    <hyperlink ref="H29" r:id="rId44" tooltip="https://docs.microsoft.com/azure/cost-management-billing/reservations/save-compute-costs-reservations" xr:uid="{1F3556EF-9536-4374-8555-4D0C4E77B225}"/>
    <hyperlink ref="I29" r:id="rId45" tooltip="https://docs.microsoft.com/en-gb/learn/paths/improve-reliability-modern-operations/" xr:uid="{BF1A7806-A011-4ED2-898B-BF095126CECD}"/>
    <hyperlink ref="H30" r:id="rId46" tooltip="https://docs.microsoft.com/azure/architecture/framework/scalability/design-capacity" xr:uid="{9D0A9BC2-33A3-40BA-85CD-9E8D4183E443}"/>
    <hyperlink ref="I30" r:id="rId47" tooltip="https://docs.microsoft.com/learn/paths/monitor-usage-performance-availability-resources-azure-monitor/" xr:uid="{A096EC72-1B7B-4A91-B343-C5427D85CD4B}"/>
    <hyperlink ref="H31" r:id="rId48" tooltip="https://azure.microsoft.com/global-infrastructure/services/" xr:uid="{085C0F81-CE62-4DD7-87D3-887ACED2FC92}"/>
    <hyperlink ref="I31" r:id="rId49" tooltip="https://docs.microsoft.com/learn/modules/azure-architecture-fundamentals/" xr:uid="{58884821-A1B2-4F66-86AB-45C1B415E853}"/>
    <hyperlink ref="H32" r:id="rId50" tooltip="https://docs.microsoft.com/azure/cost-management-billing/cost-management-billing-overview" xr:uid="{874C530D-68D2-4BE3-90AC-D42B79E2E2DD}"/>
    <hyperlink ref="I32" r:id="rId51" tooltip="https://docs.microsoft.com/en-gb/learn/paths/control-spending-manage-bills/" xr:uid="{0D9C42B9-A28A-4940-9B80-7EFE266779B8}"/>
    <hyperlink ref="H33" r:id="rId52" tooltip="https://docs.microsoft.com/azure/governance/management-groups/overview" xr:uid="{05A4BD6C-6025-4E66-91F8-4A12DAA376B1}"/>
    <hyperlink ref="I33" r:id="rId53" tooltip="https://docs.microsoft.com/learn/paths/enterprise-scale-architecture/" xr:uid="{EB9B6E03-51CE-445A-AF49-C895C4286346}"/>
    <hyperlink ref="H34" r:id="rId54" tooltip="https://docs.microsoft.com/azure/cloud-adoption-framework/decision-guides/resource-tagging/?toc=/azure/azure-resource-manager/management/toc.json" xr:uid="{170DF1F5-E986-4F5E-BAB5-D520CC08618E}"/>
    <hyperlink ref="I34" r:id="rId55" tooltip="https://docs.microsoft.com/learn/paths/implement-resource-mgmt-security/" xr:uid="{1A441D64-7842-41BB-B99A-416C9D445C62}"/>
    <hyperlink ref="H35" r:id="rId56" tooltip="https://docs.microsoft.com/azure/cloud-adoption-framework/ready/azure-best-practices/plan-for-ip-addressing" xr:uid="{EFF3AA97-1373-42FA-BFC5-544CCBD9E943}"/>
    <hyperlink ref="I35" r:id="rId57" tooltip="https://docs.microsoft.com/en-gb/learn/paths/architect-network-infrastructure/" xr:uid="{CE2811BD-EA3C-41DA-AEC3-F157ED30AA6B}"/>
    <hyperlink ref="H36" r:id="rId58" tooltip="https://docs.microsoft.com/azure/cloud-adoption-framework/ready/azure-best-practices/plan-for-ip-addressing" xr:uid="{1E6BF62C-3203-43EE-862E-9E41F650AF35}"/>
    <hyperlink ref="I36" r:id="rId59" tooltip="https://docs.microsoft.com/en-gb/learn/paths/architect-network-infrastructure/" xr:uid="{78116C8B-5C62-4417-A8B5-EF21D04961E3}"/>
    <hyperlink ref="H37" r:id="rId60" tooltip="https://docs.microsoft.com/azure/cloud-adoption-framework/ready/azure-best-practices/plan-for-ip-addressing" xr:uid="{DD0DF0AE-F033-439B-A7FA-00F75E47659A}"/>
    <hyperlink ref="I37" r:id="rId61" tooltip="https://docs.microsoft.com/en-gb/learn/paths/architect-network-infrastructure/" xr:uid="{4A161316-6286-4E36-BE7E-CC5EC432BCFC}"/>
    <hyperlink ref="H38" r:id="rId62" tooltip="https://docs.microsoft.com/azure/cloud-adoption-framework/ready/azure-best-practices/plan-for-ip-addressing" xr:uid="{5BB47D27-6934-44DA-987D-CF10261D271D}"/>
    <hyperlink ref="I38" r:id="rId63" tooltip="https://docs.microsoft.com/en-gb/learn/paths/architect-network-infrastructure/" xr:uid="{57EF008F-AB44-4378-9A59-55F8E4E3C90C}"/>
    <hyperlink ref="H39" r:id="rId64" tooltip="https://docs.microsoft.com/azure/virtual-network/virtual-networks-name-resolution-for-vms-and-role-instances" xr:uid="{96D3A224-2D42-4B3F-9F70-2467636CD33A}"/>
    <hyperlink ref="I39" r:id="rId65" tooltip="https://docs.microsoft.com/en-gb/learn/paths/az-104-manage-virtual-networks/" xr:uid="{E929AD60-7469-40D2-A8A2-C3F4F9958D47}"/>
    <hyperlink ref="H40" r:id="rId66" tooltip="https://docs.microsoft.com/azure/virtual-network/virtual-networks-name-resolution-for-vms-and-role-instances" xr:uid="{F8CE4A6C-75F1-488D-96B9-D66CE8181424}"/>
    <hyperlink ref="I40" r:id="rId67" tooltip="https://docs.microsoft.com/en-gb/learn/paths/az-104-manage-virtual-networks/" xr:uid="{14AB4379-4F96-4A66-94FC-2B7BF9AB7400}"/>
    <hyperlink ref="H41" r:id="rId68" tooltip="https://docs.microsoft.com/azure/virtual-network/virtual-networks-name-resolution-for-vms-and-role-instances" xr:uid="{FD48BAC9-2E7B-4625-8E0A-36946F31A0ED}"/>
    <hyperlink ref="I41" r:id="rId69" tooltip="https://docs.microsoft.com/en-gb/learn/paths/az-104-manage-virtual-networks/" xr:uid="{1A396933-79EA-4998-BE95-F1658EA62F1F}"/>
    <hyperlink ref="H42" r:id="rId70" tooltip="https://docs.microsoft.com/azure/virtual-network/virtual-networks-name-resolution-for-vms-and-role-instances" xr:uid="{0B152AD4-B15F-434C-A06D-681853FAA2E9}"/>
    <hyperlink ref="I43" r:id="rId71" tooltip="https://docs.microsoft.com/en-gb/learn/paths/az-104-manage-virtual-networks/" xr:uid="{52A18B08-24F2-49F8-9B5D-B52AB30CF99D}"/>
    <hyperlink ref="H44" r:id="rId72" tooltip="https://docs.microsoft.com/azure/virtual-wan/virtual-wan-about" xr:uid="{78AEC1F8-EC60-4233-B3DF-ED20E37595DA}"/>
    <hyperlink ref="I44" r:id="rId73" tooltip="https://docs.microsoft.com/learn/modules/introduction-azure-virtual-wan/" xr:uid="{BBCED334-9917-46CB-A83C-7E10DB4A579C}"/>
    <hyperlink ref="H45" r:id="rId74" tooltip="https://docs.microsoft.com/azure/virtual-wan/virtual-wan-about" xr:uid="{F51CE1FF-46BC-42D3-BA88-3450B34E18BD}"/>
    <hyperlink ref="H46" r:id="rId75" tooltip="https://docs.microsoft.com/azure/virtual-wan/virtual-wan-about" xr:uid="{B8E67E6A-95B6-432D-8F0B-AE52B89BEF95}"/>
    <hyperlink ref="H47" r:id="rId76" tooltip="https://docs.microsoft.com/azure/virtual-wan/virtual-wan-about" xr:uid="{EAF7B7C0-37D1-4A59-AE51-16EF7AAD5AB0}"/>
    <hyperlink ref="I47" r:id="rId77" tooltip="https://docs.microsoft.com/learn/modules/configure-expressroute-virtual-wan/" xr:uid="{E7BEE6DD-A3F8-4DBA-8CA4-94558F9C2A1B}"/>
    <hyperlink ref="H48" r:id="rId78" tooltip="https://docs.microsoft.com/azure/virtual-wan/virtual-wan-about" xr:uid="{BD663E48-6B0C-406C-B2F4-9D39E5D58620}"/>
    <hyperlink ref="I48" r:id="rId79" tooltip="https://docs.microsoft.com/learn/modules/design-implement-hybrid-networking/" xr:uid="{F1E3CCC8-7C50-4480-AB3B-DA314268B931}"/>
    <hyperlink ref="H49" r:id="rId80" tooltip="https://docs.microsoft.com/azure/virtual-wan/virtual-wan-about" xr:uid="{CCB87E01-5F51-41C9-9355-7E72B16CDEF1}"/>
    <hyperlink ref="I49" r:id="rId81" tooltip="https://docs.microsoft.com/learn/modules/design-implement-hybrid-networking/" xr:uid="{C7D06D67-3010-4CC4-8608-1A9CCF586954}"/>
    <hyperlink ref="H50" r:id="rId82" tooltip="https://docs.microsoft.com/azure/virtual-wan/virtual-wan-about" xr:uid="{7BEF5FD1-E078-4A72-9BA9-7BC333E0EF95}"/>
    <hyperlink ref="H51" r:id="rId83" tooltip="https://docs.microsoft.com/azure/virtual-wan/virtual-wan-about" xr:uid="{66B6189A-6D8B-4466-93DC-6A5EA512F6BE}"/>
    <hyperlink ref="I51" r:id="rId84" tooltip="https://docs.microsoft.com/en-gb/learn/paths/secure-networking-infrastructure/" xr:uid="{488B939F-FE62-4B0D-B848-69DA0650CAF4}"/>
    <hyperlink ref="H52" r:id="rId85" tooltip="https://docs.microsoft.com/azure/virtual-wan/virtual-wan-about" xr:uid="{5528B399-B78E-4659-A4B6-D7B38DC2B506}"/>
    <hyperlink ref="H53" r:id="rId86" tooltip="https://docs.microsoft.com/azure/virtual-wan/virtual-wan-about" xr:uid="{C68203AF-374E-4A2F-A582-00BF24A5E381}"/>
    <hyperlink ref="H54" r:id="rId87" tooltip="https://docs.microsoft.com/azure/virtual-wan/virtual-wan-about" xr:uid="{8ADBD9E2-706E-423B-939A-A432B94712B1}"/>
    <hyperlink ref="H56" r:id="rId88" tooltip="https://docs.microsoft.com/azure/cloud-adoption-framework/ready/enterprise-scale/network-topology-and-connectivity" xr:uid="{C0FD1649-2414-4AC7-BAA2-0ED6BA3FCF16}"/>
    <hyperlink ref="I56" r:id="rId89" tooltip="https://docs.microsoft.com/en-gb/learn/paths/architect-network-infrastructure/" xr:uid="{7799C246-2D5E-469B-9268-9BBE860F73D4}"/>
    <hyperlink ref="H57" r:id="rId90" tooltip="https://docs.microsoft.com/azure/architecture/reference-architectures/hybrid-networking/expressroute" xr:uid="{F032CFCB-DE90-41F6-A3E6-101D6DB600CF}"/>
    <hyperlink ref="H58" r:id="rId91" tooltip="https://docs.microsoft.com/azure/cloud-adoption-framework/ready/enterprise-scale/network-topology-and-connectivity" xr:uid="{D2147F76-F406-4974-B85A-AEEEF2F1ADBA}"/>
    <hyperlink ref="H59" r:id="rId92" tooltip="https://azure.microsoft.com/solutions/network-appliances/" xr:uid="{EF5A2655-2749-478A-9216-6E5747DB2304}"/>
    <hyperlink ref="H60" r:id="rId93" tooltip="https://azure.microsoft.com/solutions/network-appliances/" xr:uid="{8EBCD12E-FBD5-42B6-9A15-920907518133}"/>
    <hyperlink ref="H61" r:id="rId94" tooltip="https://docs.microsoft.com/azure/expressroute/expressroute-faqs" xr:uid="{13B6CB6D-68AA-489A-A69E-72DC3C5BD3E4}"/>
    <hyperlink ref="I61" r:id="rId95" tooltip="https://docs.microsoft.com/en-gb/learn/paths/azure-administrator-manage-virtual-networks/" xr:uid="{D48D8BB6-31AE-4F97-8060-FA8DA347DC8A}"/>
    <hyperlink ref="H62" r:id="rId96" tooltip="https://docs.microsoft.com/azure/expressroute/expressroute-faqs" xr:uid="{FEEACBE1-D2AA-4E6F-BC18-269290AE6A12}"/>
    <hyperlink ref="I62" r:id="rId97" tooltip="https://docs.microsoft.com/learn/modules/design-implement-azure-expressroute/" xr:uid="{1886CDB4-F73F-4702-B2B6-67D3AA6B6E6F}"/>
    <hyperlink ref="H63" r:id="rId98" tooltip="https://docs.microsoft.com/azure/expressroute/expressroute-faqs" xr:uid="{A73FD5FC-4058-4176-9548-82BCAEF9A167}"/>
    <hyperlink ref="I63" r:id="rId99" tooltip="https://docs.microsoft.com/learn/modules/design-implement-network-monitoring/" xr:uid="{E12C44A0-22FC-4AD7-8FBB-AEB84CBB9E40}"/>
    <hyperlink ref="H64" r:id="rId100" tooltip="https://docs.microsoft.com/azure/azure-monitor/insights/network-insights-overview" xr:uid="{560297BE-BB9E-43BA-8BE1-EB8A2276346C}"/>
    <hyperlink ref="H65" r:id="rId101" tooltip="https://docs.microsoft.com/azure/architecture/reference-architectures/hybrid-networking/hub-spoke?tabs=cli" xr:uid="{84BD36AC-FA9F-4714-B3AE-BF5E6AF3AA9C}"/>
    <hyperlink ref="I65" r:id="rId102" tooltip="https://docs.microsoft.com/learn/modules/design-implement-azure-expressroute/" xr:uid="{DB25CC72-0F9A-4D10-8A85-5DF23C118FAE}"/>
    <hyperlink ref="H66" r:id="rId103" tooltip="https://docs.microsoft.com/azure/expressroute/expressroute-routing" xr:uid="{BC12A915-66B0-4498-BEAA-FE0CD17D381A}"/>
    <hyperlink ref="I66" r:id="rId104" tooltip="https://docs.microsoft.com/learn/modules/design-implement-azure-expressroute/" xr:uid="{92D9653E-46FB-4AE3-B31C-F625EBF17E9E}"/>
    <hyperlink ref="H67" r:id="rId105" tooltip="https://docs.microsoft.com/azure/expressroute/expressroute-routing" xr:uid="{92BF4402-099C-4507-AC42-C3AB4FC99D39}"/>
    <hyperlink ref="I67" r:id="rId106" tooltip="https://docs.microsoft.com/learn/modules/design-implement-azure-expressroute/" xr:uid="{7320D268-B4DF-4569-B438-FD0AB59E2492}"/>
    <hyperlink ref="H68" r:id="rId107" tooltip="https://docs.microsoft.com/azure/expressroute/expressroute-about-virtual-network-gateways" xr:uid="{916BDB90-689E-43A8-8FEE-8A3E081379D1}"/>
    <hyperlink ref="I68" r:id="rId108" tooltip="https://docs.microsoft.com/learn/modules/design-implement-azure-expressroute/" xr:uid="{BB5A39A0-4D31-4EE6-BFA0-08DFBCA06235}"/>
    <hyperlink ref="H69" r:id="rId109" tooltip="https://docs.microsoft.com/azure/networking/" xr:uid="{DCC59E20-3B76-48F6-8688-74588A0E128E}"/>
    <hyperlink ref="I69" r:id="rId110" tooltip="https://docs.microsoft.com/learn/modules/design-implement-azure-expressroute/" xr:uid="{F4EC6856-893C-4D63-AC7C-37D60973F4F5}"/>
    <hyperlink ref="H70" r:id="rId111" tooltip="https://docs.microsoft.com/azure/expressroute/expressroute-routing" xr:uid="{418CF08F-4839-45E9-8C13-8C672D94C77F}"/>
    <hyperlink ref="I70" r:id="rId112" tooltip="https://docs.microsoft.com/learn/modules/design-implement-azure-expressroute/" xr:uid="{26E8A9A9-96BC-4B06-AB55-70AE502E5864}"/>
    <hyperlink ref="H71" r:id="rId113" tooltip="https://docs.microsoft.com/azure/expressroute/expressroute-routing" xr:uid="{FF46E12B-8C31-4C33-B816-09204F27CDEA}"/>
    <hyperlink ref="I71" r:id="rId114" tooltip="https://docs.microsoft.com/learn/modules/design-implement-azure-expressroute/" xr:uid="{56C62E8F-0538-47C6-9243-E9E9379CDA43}"/>
    <hyperlink ref="H72" r:id="rId115" tooltip="https://docs.microsoft.com/azure/networking/" xr:uid="{FB958B49-6151-4792-9570-DE3B6ADB54CE}"/>
    <hyperlink ref="I72" r:id="rId116" tooltip="https://docs.microsoft.com/learn/modules/design-implement-azure-expressroute/" xr:uid="{54C6F7C5-986D-4B40-A742-7238CF2B1987}"/>
    <hyperlink ref="H73" r:id="rId117" tooltip="https://docs.microsoft.com/azure/networking/" xr:uid="{10A079B8-AE9B-4991-96E1-C9EC4DF74E07}"/>
    <hyperlink ref="I73" r:id="rId118" tooltip="https://docs.microsoft.com/learn/modules/design-implement-azure-expressroute/" xr:uid="{F50290DE-CC65-43C4-B43C-95C936C56583}"/>
    <hyperlink ref="H74" r:id="rId119" tooltip="https://docs.microsoft.com/azure/expressroute/expressroute-monitoring-metrics-alerts" xr:uid="{3AA5E5B3-48A3-4DF5-8A15-70901EBE41F1}"/>
    <hyperlink ref="I74" r:id="rId120" tooltip="https://docs.microsoft.com/learn/modules/design-implement-azure-expressroute/" xr:uid="{20DF167A-CCC1-42AA-A26C-3A21EC081053}"/>
    <hyperlink ref="H75" r:id="rId121" tooltip="https://docs.microsoft.com/azure/expressroute/how-to-configure-connection-monitor" xr:uid="{ED675EEE-682C-4DFC-AF68-989A0F2C2F59}"/>
    <hyperlink ref="I75" r:id="rId122" tooltip="https://docs.microsoft.com/learn/modules/design-implement-azure-expressroute/" xr:uid="{386A90D1-33BD-4E89-AAA2-8F34D1CD060F}"/>
    <hyperlink ref="H76" r:id="rId123" tooltip="https://docs.microsoft.com/azure/networking/" xr:uid="{9CEF2F50-3361-4333-B30D-7FC29F4C1BFC}"/>
    <hyperlink ref="I76" r:id="rId124" tooltip="https://docs.microsoft.com/learn/modules/design-implement-azure-expressroute/" xr:uid="{2C2CE228-9101-4F96-8EC5-A28905C3EAE3}"/>
    <hyperlink ref="H77" r:id="rId125" tooltip="https://docs.microsoft.com/azure/networking/" xr:uid="{7923D9CA-542B-40A9-8929-63F36E5F7EF5}"/>
    <hyperlink ref="I77" r:id="rId126" tooltip="https://docs.microsoft.com/learn/modules/design-implement-private-access-to-azure-services/" xr:uid="{A59C6136-8FF7-40B6-B442-06AF375EB419}"/>
    <hyperlink ref="H78" r:id="rId127" tooltip="https://docs.microsoft.com/azure/app-service/networking-features" xr:uid="{4C47EDAB-6E8D-4AE3-A590-FC43BB1159F3}"/>
    <hyperlink ref="I78" r:id="rId128" tooltip="https://docs.microsoft.com/learn/paths/implement-network-security/?source=learn" xr:uid="{A843E61F-C3E0-45F9-ABE1-906D92DBD5A6}"/>
    <hyperlink ref="H79" r:id="rId129" tooltip="https://docs.microsoft.com/azure/app-service/networking-features" xr:uid="{4F0070DD-43ED-46EC-843A-669120E7D326}"/>
    <hyperlink ref="I79" r:id="rId130" tooltip="https://docs.microsoft.com/learn/paths/secure-application-delivery/" xr:uid="{448771E8-2F90-4525-962F-50FF7C2A8D29}"/>
    <hyperlink ref="H80" r:id="rId131" tooltip="https://docs.microsoft.com/azure/app-service/networking-features" xr:uid="{6213C74F-44B5-4A57-9F52-B00CAAA865BC}"/>
    <hyperlink ref="I80" r:id="rId132" tooltip="https://docs.microsoft.com/learn/modules/design-implement-azure-expressroute/" xr:uid="{EB1D36F6-F9EE-47E3-B07A-F67C303B2FD3}"/>
    <hyperlink ref="H81" r:id="rId133" tooltip="https://docs.microsoft.com/azure/app-service/networking-features" xr:uid="{09BABD55-3F5D-4846-A2E8-8898E0A126D4}"/>
    <hyperlink ref="I81" r:id="rId134" tooltip="https://docs.microsoft.com/learn/paths/implement-network-security/?source=learn" xr:uid="{B36BD109-199F-40EA-9103-2230EDCE06C7}"/>
    <hyperlink ref="H82" r:id="rId135" tooltip="https://docs.microsoft.com/azure/app-service/networking-features" xr:uid="{045CE6EE-BC9F-407C-8CDD-10A76CDFF667}"/>
    <hyperlink ref="I82" r:id="rId136" tooltip="https://docs.microsoft.com/learn/paths/implement-network-security/?source=learn" xr:uid="{5A5F4157-B9F5-4E2F-AB25-A8DF7496B38B}"/>
    <hyperlink ref="H83" r:id="rId137" tooltip="https://docs.microsoft.com/azure/app-service/networking-features" xr:uid="{8771B6CB-83D2-4697-A3C7-08B46E26DAF4}"/>
    <hyperlink ref="I83" r:id="rId138" tooltip="https://docs.microsoft.com/learn/paths/implement-network-security/?source=learn" xr:uid="{90C09D5A-26B3-47F8-8759-C036B9398CF9}"/>
    <hyperlink ref="H84" r:id="rId139" tooltip="https://docs.microsoft.com/azure/app-service/networking-features" xr:uid="{75D3C4B8-B908-4EDF-BC50-19C8882B33F5}"/>
    <hyperlink ref="I84" r:id="rId140" tooltip="https://docs.microsoft.com/learn/paths/implement-network-security/?source=learn" xr:uid="{C3EEC5C9-1D37-4A00-9C31-070BB523E1AE}"/>
    <hyperlink ref="H85" r:id="rId141" tooltip="https://docs.microsoft.com/azure/app-service/networking-features" xr:uid="{E491B56E-F6DB-46F8-BC0F-B030B76FE487}"/>
    <hyperlink ref="I85" r:id="rId142" tooltip="https://docs.microsoft.com/en-gb/learn/paths/secure-networking-infrastructure/" xr:uid="{D53D2EAC-F953-4CE0-A902-5BD96FFF6C4C}"/>
    <hyperlink ref="H86" r:id="rId143" tooltip="https://docs.microsoft.com/azure/firewall/" xr:uid="{E68AA33D-1DF0-4695-9464-5078757A7E88}"/>
    <hyperlink ref="I86" r:id="rId144" tooltip="https://docs.microsoft.com/en-gb/learn/paths/secure-networking-infrastructure/" xr:uid="{7B424D4D-34CE-41AB-A909-88F7D4D8638D}"/>
    <hyperlink ref="H87" r:id="rId145" tooltip="https://docs.microsoft.com/azure/firewall/" xr:uid="{09F5A8CD-CD67-4DD9-A7F4-233344D4E54F}"/>
    <hyperlink ref="I87" r:id="rId146" tooltip="https://docs.microsoft.com/en-gb/learn/paths/secure-networking-infrastructure/" xr:uid="{FBC34097-72B9-42BC-9109-DECDBE7AA848}"/>
    <hyperlink ref="H88" r:id="rId147" tooltip="https://docs.microsoft.com/azure/firewall/" xr:uid="{1B6224BC-15C6-408C-AE64-DDB485B1E302}"/>
    <hyperlink ref="I88" r:id="rId148" tooltip="https://docs.microsoft.com/en-gb/learn/paths/secure-networking-infrastructure/" xr:uid="{BA43EFB3-AFB1-4138-843C-B326081FB339}"/>
    <hyperlink ref="H89" r:id="rId149" tooltip="https://docs.microsoft.com/azure/firewall/" xr:uid="{16D61490-8CCC-4174-BB17-D065A883A2A1}"/>
    <hyperlink ref="I89" r:id="rId150" tooltip="https://docs.microsoft.com/learn/paths/secure-application-delivery/" xr:uid="{F10EF048-0567-4C47-8D21-150256716428}"/>
    <hyperlink ref="H90" r:id="rId151" tooltip="https://docs.microsoft.com/azure/web-application-firewall/ag/ag-overview" xr:uid="{76F9F7CC-B7AE-48F3-B476-DAA99FEB5F5F}"/>
    <hyperlink ref="I90" r:id="rId152" tooltip="https://docs.microsoft.com/learn/paths/secure-application-delivery/" xr:uid="{8CD9372C-6109-4673-BC55-2F4A77489A60}"/>
    <hyperlink ref="H91" r:id="rId153" tooltip="https://docs.microsoft.com/azure/web-application-firewall/ag/ag-overview" xr:uid="{3DB0805E-ED6B-462A-9EBC-AA5FC48E806E}"/>
    <hyperlink ref="I91" r:id="rId154" tooltip="https://docs.microsoft.com/learn/paths/secure-application-delivery/" xr:uid="{7F3A3794-CE23-4711-8F36-026BD1662AAC}"/>
    <hyperlink ref="H92" r:id="rId155" tooltip="https://docs.microsoft.com/azure/web-application-firewall/ag/ag-overview" xr:uid="{B5B7E20F-8DA0-448C-8805-029C8B56E9C5}"/>
    <hyperlink ref="I92" r:id="rId156" tooltip="https://docs.microsoft.com/learn/paths/architect-network-infrastructure/" xr:uid="{1AAE94D0-248F-4965-B0ED-A92243DA40C7}"/>
    <hyperlink ref="H93" r:id="rId157" tooltip="https://azure.microsoft.com/solutions/network-appliances/" xr:uid="{DC0AFC0F-C2E8-417B-A84E-7378A20BC59B}"/>
    <hyperlink ref="I93" r:id="rId158" tooltip="https://docs.microsoft.com/learn/paths/secure-networking-infrastructure/" xr:uid="{161AFDF6-D931-43C1-88D0-B7082B7A171A}"/>
    <hyperlink ref="H94" r:id="rId159" tooltip="https://azure.microsoft.com/solutions/network-appliances/" xr:uid="{2F89A26D-1280-463D-BFEB-CC5B7CB95110}"/>
    <hyperlink ref="I94" r:id="rId160" tooltip="https://docs.microsoft.com/learn/paths/secure-application-delivery/" xr:uid="{96F5EBB5-5F9B-47CB-918B-53E025049FB7}"/>
    <hyperlink ref="H95" r:id="rId161" tooltip="https://docs.microsoft.com/azure/ddos-protection/ddos-protection-overview" xr:uid="{3C012651-B7C4-4650-A088-9774251B3094}"/>
    <hyperlink ref="I95" r:id="rId162" tooltip="https://docs.microsoft.com/learn/paths/secure-application-delivery/" xr:uid="{453FA7F7-2CDD-45B1-8D87-673BAB9F773A}"/>
    <hyperlink ref="H96" r:id="rId163" tooltip="https://docs.microsoft.com/azure/cloud-adoption-framework/ready/azure-setup-guide/organize-resources?tabs=AzureManagementGroupsAndHierarchy" xr:uid="{63F8F1C3-1D45-465B-A4E5-1E3440B11E87}"/>
    <hyperlink ref="I96" r:id="rId164" tooltip="https://docs.microsoft.com/learn/paths/architect-network-infrastructure/" xr:uid="{003DF6AD-ACF6-463F-9D29-5FB0A2C5A5AE}"/>
    <hyperlink ref="H97" r:id="rId165" tooltip="https://docs.microsoft.com/azure/web-application-firewall/ag/ag-overview" xr:uid="{D21D8CBD-D73C-4856-BCA8-B51B6EF99CB2}"/>
    <hyperlink ref="I97" r:id="rId166" tooltip="https://docs.microsoft.com/learn/paths/secure-application-delivery/" xr:uid="{5B900698-FFA6-497F-B828-0B893FC09459}"/>
    <hyperlink ref="H98" r:id="rId167" tooltip="https://docs.microsoft.com/azure/web-application-firewall/ag/ag-overview" xr:uid="{06080421-1FCD-4D0E-9DC5-8EA36A6C51C5}"/>
    <hyperlink ref="I98" r:id="rId168" tooltip="https://docs.microsoft.com/learn/paths/secure-networking-infrastructure/" xr:uid="{97D8EF79-B345-4117-9681-744B0044363C}"/>
    <hyperlink ref="H99" r:id="rId169" tooltip="https://docs.microsoft.com/azure/web-application-firewall/ag/ag-overview" xr:uid="{9682ED51-94DB-454A-BFB6-DE425321867F}"/>
    <hyperlink ref="I99" r:id="rId170" tooltip="https://docs.microsoft.com/learn/paths/secure-networking-infrastructure/" xr:uid="{71BF130E-3A78-4227-8A7B-A6DEFE285D0C}"/>
    <hyperlink ref="H100" r:id="rId171" tooltip="https://docs.microsoft.com/azure/ddos-protection/ddos-protection-overview" xr:uid="{DD6FD971-94FD-425C-A137-0E11B7292F8D}"/>
    <hyperlink ref="I100" r:id="rId172" tooltip="https://docs.microsoft.com/learn/paths/secure-networking-infrastructure/" xr:uid="{A3D9EF03-06B1-449D-9703-402CC368E103}"/>
    <hyperlink ref="H101" r:id="rId173" tooltip="https://docs.microsoft.com/azure/web-application-firewall/ag/ag-overview" xr:uid="{D9F6A295-F9DE-4B7B-B1CC-FF8604473FC7}"/>
    <hyperlink ref="I101" r:id="rId174" tooltip="https://docs.microsoft.com/learn/paths/secure-networking-infrastructure/" xr:uid="{C7F18FC6-72FC-41ED-A342-BCC3B601CD68}"/>
    <hyperlink ref="H102" r:id="rId175" tooltip="https://docs.microsoft.com/azure/web-application-firewall/ag/ag-overview" xr:uid="{EC7C3EB3-B215-4F93-8919-5E027FD0F198}"/>
    <hyperlink ref="I102" r:id="rId176" tooltip="https://docs.microsoft.com/learn/paths/implement-resource-mgmt-security/" xr:uid="{7CF1F1EE-4FB8-4DA7-9830-D413A7641785}"/>
    <hyperlink ref="H103" r:id="rId177" tooltip="https://docs.microsoft.com/azure/web-application-firewall/ag/ag-overview" xr:uid="{540D7A2C-7768-4E5C-8CCE-C1D7F2499740}"/>
    <hyperlink ref="I103" r:id="rId178" tooltip="https://docs.microsoft.com/learn/paths/implement-network-security/" xr:uid="{EFD3F6A2-6196-460E-81B6-CB099DFF991F}"/>
    <hyperlink ref="H104" r:id="rId179" tooltip="https://docs.microsoft.com/azure/cloud-adoption-framework/ready/azure-setup-guide/organize-resources?tabs=AzureManagementGroupsAndHierarchy" xr:uid="{99A2FD85-B467-4B57-A9FA-C99002C2562C}"/>
    <hyperlink ref="I104" r:id="rId180" tooltip="https://docs.microsoft.com/learn/paths/implement-network-security/" xr:uid="{7D3083DE-9E5F-45DA-8C03-1DFD70015210}"/>
    <hyperlink ref="H105" r:id="rId181" tooltip="https://docs.microsoft.com/azure/virtual-network/network-security-group-how-it-works" xr:uid="{F62B955F-113C-47B1-9DF1-D7960D0008C2}"/>
    <hyperlink ref="I105" r:id="rId182" tooltip="https://docs.microsoft.com/learn/paths/implement-network-security/" xr:uid="{065BA802-127E-42DC-91DE-3E6D3B61E2D7}"/>
    <hyperlink ref="H106" r:id="rId183" tooltip="https://docs.microsoft.com/azure/virtual-network/network-security-group-how-it-works" xr:uid="{2425F0A8-6A4C-4499-8CD9-1BE9B6296DCF}"/>
    <hyperlink ref="I106" r:id="rId184" tooltip="https://docs.microsoft.com/learn/modules/design-implement-network-monitoring/" xr:uid="{E86B1978-B4A2-4D01-9D5C-590EE196771F}"/>
    <hyperlink ref="H107" r:id="rId185" tooltip="https://docs.microsoft.com/azure/virtual-network/network-security-group-how-it-works" xr:uid="{1A5E44CB-1668-4838-AE52-0B1CA47BFB32}"/>
    <hyperlink ref="I107" r:id="rId186" tooltip="https://docs.microsoft.com/learn/paths/implement-network-security/" xr:uid="{0919C5A8-60CF-4910-8053-207F0F4A56BA}"/>
    <hyperlink ref="H108" r:id="rId187" tooltip="https://docs.microsoft.com/azure/virtual-network/network-security-group-how-it-works" xr:uid="{ED29A2E9-1F09-4A2F-ADAF-85EB838AA3CF}"/>
    <hyperlink ref="I108" r:id="rId188" tooltip="https://docs.microsoft.com/learn/paths/secure-networking-infrastructure/" xr:uid="{4EFDFBF7-A07A-453C-AC6A-F6988ADABA3F}"/>
    <hyperlink ref="H109" r:id="rId189" tooltip="https://docs.microsoft.com/azure/virtual-network/network-security-group-how-it-works" xr:uid="{F240A40B-E27A-4C0D-9383-2CEE4C388482}"/>
    <hyperlink ref="H110" r:id="rId190" tooltip="https://docs.microsoft.com/azure/firewall/" xr:uid="{5B9BD330-54F6-4B61-B5CD-18285852DC17}"/>
    <hyperlink ref="I110" r:id="rId191" tooltip="https://docs.microsoft.com/learn/paths/implement-network-security/" xr:uid="{E17B82F2-F919-47F9-8FEE-E8FB30EC04EA}"/>
    <hyperlink ref="H111" r:id="rId192" tooltip="https://docs.microsoft.com/azure/expressroute/expressroute-erdirect-about" xr:uid="{E59A9FB6-86B5-45F6-A48B-ACFDC2A7AA49}"/>
    <hyperlink ref="I111" r:id="rId193" tooltip="https://docs.microsoft.com/learn/paths/implement-network-security/" xr:uid="{AEF6B4E5-AAF0-428E-A9E0-E1E3856A9C5C}"/>
    <hyperlink ref="H112" r:id="rId194" tooltip="https://docs.microsoft.com/azure/virtual-network/virtual-network-peering-overview" xr:uid="{BF1CA651-E7E8-40F0-9302-69D1726AE1E9}"/>
    <hyperlink ref="I112" r:id="rId195" tooltip="https://docs.microsoft.com/learn/modules/design-implement-network-monitoring/" xr:uid="{B7391048-430C-4731-9D65-62C4E8D96028}"/>
    <hyperlink ref="H113" r:id="rId196" tooltip="https://docs.microsoft.com/azure/virtual-wan/virtual-wan-about" xr:uid="{D924978D-947A-4508-85F7-881477043518}"/>
    <hyperlink ref="H114" r:id="rId197" tooltip="https://docs.microsoft.com/azure/network-watcher/network-watcher-monitoring-overview" xr:uid="{2ABFEBD1-ED08-4947-9BEE-F6C4C84CDFB1}"/>
    <hyperlink ref="H115" r:id="rId198" tooltip="https://docs.microsoft.com/azure/virtual-network/network-security-group-how-it-works" xr:uid="{879D09EA-5A2A-46A0-A27A-B1044FB8DDA4}"/>
    <hyperlink ref="H116" r:id="rId199" tooltip="https://docs.microsoft.com/azure/azure-monitor/logs/design-logs-deployment" xr:uid="{5942A249-2489-42E1-92FC-F407468ED004}"/>
    <hyperlink ref="I116" r:id="rId200" tooltip="https://docs.microsoft.com/azure/azure-monitor/logs/design-logs-deployment" xr:uid="{9EF11920-389D-4119-9BCA-0076849C7846}"/>
    <hyperlink ref="H118" r:id="rId201" tooltip="https://docs.microsoft.com/azure/azure-monitor/logs/design-logs-deployment" xr:uid="{AD5C56A9-08F6-4225-B356-66EFA4582720}"/>
    <hyperlink ref="I118" r:id="rId202" tooltip="https://docs.microsoft.com/learn/paths/architect-infrastructure-operations/" xr:uid="{D32C3811-EC17-47C5-B1B7-8498820527DC}"/>
    <hyperlink ref="H119" r:id="rId203" tooltip="https://docs.microsoft.com/azure/azure-monitor/logs/design-logs-deployment" xr:uid="{5A36133A-0250-4820-83AE-618522FECED6}"/>
    <hyperlink ref="I119" r:id="rId204" tooltip="https://docs.microsoft.com/learn/paths/architect-infrastructure-operations/" xr:uid="{EDF7296D-27FA-43DF-91C7-CF0AC3F7F535}"/>
    <hyperlink ref="H120" r:id="rId205" tooltip="https://docs.microsoft.com/azure/azure-monitor/logs/design-logs-deployment" xr:uid="{74518CC7-921F-49E0-91A7-0B9BA17998CD}"/>
    <hyperlink ref="I120" r:id="rId206" tooltip="https://docs.microsoft.com/learn/paths/implement-resource-mgmt-security/" xr:uid="{895F9F5E-2469-41BE-8955-E1BA10682085}"/>
    <hyperlink ref="H121" r:id="rId207" tooltip="https://docs.microsoft.com/azure/azure-monitor/logs/design-logs-deployment" xr:uid="{B9CED05D-0795-4D56-A25E-A7F51D6DF617}"/>
    <hyperlink ref="I121" r:id="rId208" tooltip="https://docs.microsoft.com/learn/paths/azure-administrator-manage-compute-resources/" xr:uid="{F9582121-4158-4866-BDD1-589A4A8A00BA}"/>
    <hyperlink ref="H122" r:id="rId209" tooltip="https://docs.microsoft.com/azure/governance/policy/how-to/guest-configuration-create" xr:uid="{9B6698E6-EAD8-488F-AA2C-8CC632ABD159}"/>
    <hyperlink ref="I122" r:id="rId210" tooltip="https://docs.microsoft.com/learn/modules/configure-network-watcher/" xr:uid="{35EAC969-D0D9-4A9D-AF24-DC1E7E982706}"/>
    <hyperlink ref="H123" r:id="rId211" tooltip="https://docs.microsoft.com/azure/automation/update-management/overview" xr:uid="{539DB0AD-EA65-465D-A9D9-EDF25B36652E}"/>
    <hyperlink ref="I123" r:id="rId212" tooltip="https://docs.microsoft.com/learn/paths/implement-resource-mgmt-security/" xr:uid="{FD9873FD-9A4A-4207-BCFB-914E83C83850}"/>
    <hyperlink ref="H124" r:id="rId213" tooltip="https://docs.microsoft.com/azure/network-watcher/network-watcher-monitoring-overview" xr:uid="{2742B805-1C7D-4526-9730-1DD4B2EA101A}"/>
    <hyperlink ref="H125" r:id="rId214" tooltip="https://docs.microsoft.com/azure/azure-resource-manager/management/lock-resources?tabs=json" xr:uid="{539E0741-0B14-4D18-A881-11D055EBE749}"/>
    <hyperlink ref="H126" r:id="rId215" tooltip="https://docs.microsoft.com/azure/governance/policy/overview" xr:uid="{75AF330C-A739-4894-9885-93C9F360461D}"/>
    <hyperlink ref="H127" r:id="rId216" tooltip="https://docs.microsoft.com/azure/?product=featured" xr:uid="{D153DF3A-24BD-46DC-B55E-39EC9B3954C3}"/>
    <hyperlink ref="H128" r:id="rId217" tooltip="https://docs.microsoft.com/azure/sentinel/quickstart-onboard" xr:uid="{04CE526E-54CD-4DCE-91AF-85C518197DED}"/>
    <hyperlink ref="H129" r:id="rId218" tooltip="https://docs.microsoft.com/azure/azure-monitor/logs/design-logs-deployment" xr:uid="{4A5FEFC4-0CEB-4E43-BF01-7240BD134050}"/>
    <hyperlink ref="H130" r:id="rId219" tooltip="https://docs.microsoft.com/azure/cloud-adoption-framework/ready/azure-setup-guide/monitoring-reporting?tabs=AzureMonitor" xr:uid="{28E50159-4086-48F1-A62E-CF2552435E82}"/>
    <hyperlink ref="H131" r:id="rId220" tooltip="https://docs.microsoft.com/azure/azure-monitor/agents/diagnostics-extension-overview" xr:uid="{0CB3BE5B-3848-49EA-A90C-287396447B0F}"/>
    <hyperlink ref="H132" r:id="rId221" tooltip="https://docs.microsoft.com/azure/azure-monitor/alerts/alerts-overview" xr:uid="{359D9232-2BA8-4651-864C-0A81B477A328}"/>
    <hyperlink ref="H133" r:id="rId222" tooltip="https://docs.microsoft.com/azure/backup/backup-center-overview" xr:uid="{AA1B081B-1488-4EB0-846B-7FA1EBAD5473}"/>
    <hyperlink ref="H135" r:id="rId223" tooltip="https://docs.microsoft.com/azure/backup/backup-center-overview" xr:uid="{F9F7787D-1302-4756-847C-1BDFFB8E4485}"/>
    <hyperlink ref="H136" r:id="rId224" tooltip="https://docs.microsoft.com/azure/key-vault/general/best-practices" xr:uid="{2930AC54-EF0D-4FE6-9F41-BB640392921B}"/>
    <hyperlink ref="H137" r:id="rId225" tooltip="https://docs.microsoft.com/azure/key-vault/general/best-practices" xr:uid="{BDE93CA2-3026-4FBA-8288-D9AF648A6EAA}"/>
    <hyperlink ref="H138" r:id="rId226" tooltip="https://docs.microsoft.com/azure/key-vault/general/best-practices" xr:uid="{A13A8C5B-D9BB-4044-8278-941E1CFD295C}"/>
    <hyperlink ref="H139" r:id="rId227" tooltip="https://docs.microsoft.com/azure/key-vault/general/best-practices" xr:uid="{15C359D9-07E7-4E67-9A54-7DA8E703E37D}"/>
    <hyperlink ref="H140" r:id="rId228" tooltip="https://docs.microsoft.com/azure/key-vault/general/best-practices" xr:uid="{2926C235-D838-45B1-9482-D55229293C0B}"/>
    <hyperlink ref="H141" r:id="rId229" tooltip="https://docs.microsoft.com/azure/key-vault/general/best-practices" xr:uid="{4CE5307F-5D12-4717-A740-E1FD3468D555}"/>
    <hyperlink ref="H142" r:id="rId230" tooltip="https://docs.microsoft.com/azure/key-vault/general/best-practices" xr:uid="{C2FAA238-F3C3-4BDE-B434-3D2AF158B28C}"/>
    <hyperlink ref="H143" r:id="rId231" tooltip="https://docs.microsoft.com/azure/key-vault/general/best-practices" xr:uid="{708F8CA2-E188-4CE7-9757-30C9E99A5AF9}"/>
    <hyperlink ref="H144" r:id="rId232" tooltip="https://docs.microsoft.com/azure/key-vault/general/best-practices" xr:uid="{D4DBA989-DCDB-4CFA-8A00-41863C7376EC}"/>
    <hyperlink ref="H145" r:id="rId233" tooltip="https://docs.microsoft.com/azure/key-vault/general/best-practices" xr:uid="{E357C610-CC2A-40C1-904F-2EE17066DEF3}"/>
    <hyperlink ref="H147" r:id="rId234" tooltip="https://docs.microsoft.com/azure/key-vault/general/best-practices" xr:uid="{7A10747A-51FE-4983-A5B4-E58AB6C61800}"/>
    <hyperlink ref="H148" r:id="rId235" tooltip="https://docs.microsoft.com/azure/governance/policy/overview" xr:uid="{5660DA33-19F2-4677-9A2B-63D87F55C9D5}"/>
    <hyperlink ref="H149" r:id="rId236" tooltip="https://docs.microsoft.com/azure/cloud-adoption-framework/decision-guides/resource-tagging/?toc=/azure/azure-resource-manager/management/toc.json" xr:uid="{3F164A7A-74EE-4B25-97D8-0C57CA2A1E6C}"/>
    <hyperlink ref="H150" r:id="rId237" tooltip="https://docs.microsoft.com/azure/governance/policy/overview" xr:uid="{99674E7F-1111-4D1F-B4CC-6E1E7E8FE40F}"/>
    <hyperlink ref="H151" r:id="rId238" tooltip="https://docs.microsoft.com/azure/cloud-adoption-framework/ready/enterprise-scale/security-governance-and-compliance" xr:uid="{7D8C6B40-E071-4C34-BACF-C07CBB72D78B}"/>
    <hyperlink ref="H152" r:id="rId239" tooltip="https://docs.microsoft.com/azure/governance/policy/overview" xr:uid="{1C6599DF-03B7-48A3-97EC-1F5937127E03}"/>
    <hyperlink ref="H153" r:id="rId240" tooltip="https://docs.microsoft.com/azure/governance/policy/overview" xr:uid="{F9C11520-1756-423A-8492-1150124A36A1}"/>
    <hyperlink ref="H154" r:id="rId241" tooltip="https://docs.microsoft.com/azure/governance/policy/overview" xr:uid="{83F62598-1FCC-4CDE-A744-81852ACE8787}"/>
    <hyperlink ref="H155" r:id="rId242" tooltip="https://docs.microsoft.com/azure/governance/policy/overview" xr:uid="{CB411D45-1F53-44FE-BAD9-A5AE01A6C20E}"/>
    <hyperlink ref="H156" r:id="rId243" tooltip="https://docs.microsoft.com/azure/governance/policy/overview" xr:uid="{C69575DF-AAF9-4F3D-90D3-4E52191BBAD9}"/>
    <hyperlink ref="H157" r:id="rId244" tooltip="https://docs.microsoft.com/azure/governance/policy/overview" xr:uid="{7FB5D8EB-DAAA-4DEE-9F19-838F30318DA3}"/>
    <hyperlink ref="H158" r:id="rId245" tooltip="https://docs.microsoft.com/azure/governance/policy/overview" xr:uid="{38BACAFE-70BB-455F-96DD-0B411EB09BEF}"/>
    <hyperlink ref="H159" r:id="rId246" tooltip="https://docs.microsoft.com/azure/active-directory/reports-monitoring/overview-reports" xr:uid="{E9E08DE7-7FA9-444A-90AE-CB2922F9CC2B}"/>
    <hyperlink ref="H160" r:id="rId247" tooltip="https://docs.microsoft.com/azure/azure-monitor/logs/logs-data-export?tabs=portal" xr:uid="{10DA2D68-007D-4DCC-9099-0E47189E597A}"/>
    <hyperlink ref="H161" r:id="rId248" tooltip="https://docs.microsoft.com/azure/security-center/" xr:uid="{5D85B916-3E5B-431A-A35F-70EA43A89F0D}"/>
    <hyperlink ref="H162" r:id="rId249" tooltip="https://docs.microsoft.com/azure/security-center/" xr:uid="{474EFF3C-37DB-4767-AC06-C5D8C630DE76}"/>
    <hyperlink ref="H163" r:id="rId250" tooltip="https://docs.microsoft.com/azure/azure-monitor/logs/design-logs-deployment" xr:uid="{7FF83240-0817-4F7B-BBD5-62EF9C9EB272}"/>
    <hyperlink ref="H164" r:id="rId251" tooltip="https://docs.microsoft.com/security/benchmark/azure/security-control-incident-response" xr:uid="{CE14D5F6-3B5A-4166-A752-DBFA2074556A}"/>
    <hyperlink ref="H165" r:id="rId252" tooltip="https://www.microsoft.com/itshowcase/implementing-a-zero-trust-security-model-at-microsoft" xr:uid="{A5282648-E131-4670-B81E-3A34FE1E73BD}"/>
    <hyperlink ref="I124" r:id="rId253" display="https://docs.microsoft.com/en-us/learn/modules/configure-azure-policy/" xr:uid="{D75DD221-0B6C-4151-9A4D-1C0BE273E8A9}"/>
    <hyperlink ref="I125" r:id="rId254" display="https://docs.microsoft.com/en-us/learn/modules/configure-azure-monitor/" xr:uid="{B7AC9DCA-B92E-42C9-B08D-DCC38307B2BB}"/>
    <hyperlink ref="I126" r:id="rId255" display="https://docs.microsoft.com/en-us/learn/paths/security-ops-sentinel/" xr:uid="{E7B54620-57F1-4B9F-AA4E-480C294AC8D2}"/>
    <hyperlink ref="I127" r:id="rId256" display="https://docs.microsoft.com/en-us/learn/paths/monitor-usage-performance-availability-resources-azure-monitor/" xr:uid="{3383D7C8-3081-45F1-9644-660A68F89B85}"/>
    <hyperlink ref="I128" r:id="rId257" display="https://docs.microsoft.com/en-us/learn/paths/monitor-usage-performance-availability-resources-azure-monitor/" xr:uid="{0A1FDFAD-1FA7-4CEC-8D12-EC0CE4CE223C}"/>
    <hyperlink ref="I129" r:id="rId258" display="https://docs.microsoft.com/en-us/learn/paths/monitor-usage-performance-availability-resources-azure-monitor/" xr:uid="{6C37C163-A2C4-4280-810E-4C2B31BCE54E}"/>
    <hyperlink ref="I130" r:id="rId259" display="https://docs.microsoft.com/en-us/learn/paths/monitor-usage-performance-availability-resources-azure-monitor/" xr:uid="{A9A1C3E1-B964-4259-872F-B72F07EF97CD}"/>
    <hyperlink ref="I131" r:id="rId260" display="https://docs.microsoft.com/en-us/learn/paths/architect-migration-bcdr/" xr:uid="{0D712161-6FEE-49CC-BEFD-4BE341403FB7}"/>
    <hyperlink ref="I132" r:id="rId261" display="https://docs.microsoft.com/en-us/learn/paths/architect-migration-bcdr/" xr:uid="{5C279765-76E8-4EC4-BC0E-6A4A94818DC8}"/>
    <hyperlink ref="I133" r:id="rId262" display="https://docs.microsoft.com/en-us/learn/paths/architect-migration-bcdr/" xr:uid="{7FAF1C3D-E97B-40F3-96DA-1599B960434E}"/>
    <hyperlink ref="I135" r:id="rId263" display="https://docs.microsoft.com/en-us/learn/paths/secure-your-cloud-data/" xr:uid="{5B330818-B71B-4C12-AE8F-49D876D686BB}"/>
    <hyperlink ref="I136" r:id="rId264" display="https://docs.microsoft.com/en-us/learn/paths/secure-your-cloud-data/" xr:uid="{354F96D1-C360-48DF-8314-38FD5F613007}"/>
    <hyperlink ref="I137" r:id="rId265" display="https://docs.microsoft.com/en-us/learn/paths/secure-your-cloud-data/" xr:uid="{CA6937BB-00FF-48D8-A431-DD90749F2033}"/>
    <hyperlink ref="I138" r:id="rId266" display="https://docs.microsoft.com/en-us/learn/paths/secure-your-cloud-data/" xr:uid="{1A67B18B-2852-49FF-BEC3-2C52AFEEDDEB}"/>
    <hyperlink ref="I139" r:id="rId267" display="https://docs.microsoft.com/en-us/learn/paths/secure-your-cloud-data/" xr:uid="{193AF484-07D3-481D-94C1-4FDECD26BE47}"/>
    <hyperlink ref="I140" r:id="rId268" display="https://docs.microsoft.com/en-us/learn/paths/secure-your-cloud-data/" xr:uid="{F16E3E09-8953-4194-9C26-589B69F14A7C}"/>
    <hyperlink ref="I141" r:id="rId269" display="https://docs.microsoft.com/en-us/learn/paths/secure-your-cloud-data/" xr:uid="{5C2E74A6-6935-4EDF-B10E-63E48EB5077D}"/>
    <hyperlink ref="I142" r:id="rId270" display="https://docs.microsoft.com/en-us/learn/paths/secure-your-cloud-data/" xr:uid="{C5E4B1E1-593C-4D58-8C65-BBBF6C80A6B0}"/>
    <hyperlink ref="I143" r:id="rId271" display="https://docs.microsoft.com/en-us/learn/paths/secure-your-cloud-data/" xr:uid="{EA33B3C5-46FD-47A3-8B16-D7F82EA3142E}"/>
    <hyperlink ref="I144" r:id="rId272" display="https://docs.microsoft.com/en-us/learn/paths/secure-your-cloud-data/" xr:uid="{52BA3573-7531-4712-9681-E68099C6A71B}"/>
    <hyperlink ref="I145" r:id="rId273" display="https://docs.microsoft.com/en-us/learn/paths/secure-your-cloud-data/" xr:uid="{8750213E-5FAB-44FF-BF6D-87BC7C02F432}"/>
    <hyperlink ref="I147" r:id="rId274" display="https://docs.microsoft.com/en-us/learn/paths/design-identity-governance-monitor-solutions/" xr:uid="{23A18DBA-727A-42D3-A7F3-F0F592FFF18D}"/>
    <hyperlink ref="I148" r:id="rId275" display="https://docs.microsoft.com/en-us/learn/paths/architect-infrastructure-operations/" xr:uid="{0FBF3B69-7E45-498D-89CA-42C45D87106B}"/>
    <hyperlink ref="I149" r:id="rId276" display="https://docs.microsoft.com/en-us/learn/paths/architect-infrastructure-operations/" xr:uid="{7106FE07-EFCE-4EB9-B2F5-4FE4E2275F97}"/>
    <hyperlink ref="I150" r:id="rId277" display="https://docs.microsoft.com/en-us/learn/paths/architect-infrastructure-operations/" xr:uid="{2018C105-2147-456B-A6F4-B79A8570ADBD}"/>
    <hyperlink ref="I151" r:id="rId278" display="https://docs.microsoft.com/en-us/learn/paths/architect-infrastructure-operations/" xr:uid="{E23C2721-0DBE-4C81-B11D-E3FF3A47856D}"/>
    <hyperlink ref="I152" r:id="rId279" display="https://docs.microsoft.com/en-us/learn/paths/architect-infrastructure-operations/" xr:uid="{5FB20395-8A0F-4F55-BC1B-D477969E4E94}"/>
    <hyperlink ref="I153" r:id="rId280" display="https://docs.microsoft.com/en-us/learn/paths/architect-infrastructure-operations/" xr:uid="{9FF21B4F-A6AF-456A-B352-98B34867728D}"/>
    <hyperlink ref="I154" r:id="rId281" display="https://docs.microsoft.com/en-us/learn/paths/architect-infrastructure-operations/" xr:uid="{23E41E31-04F4-4D2D-83DF-1DDC068C4131}"/>
    <hyperlink ref="I155" r:id="rId282" display="https://docs.microsoft.com/en-us/learn/paths/architect-infrastructure-operations/" xr:uid="{63CF0EEE-3398-4156-B48C-3DAB68723762}"/>
    <hyperlink ref="I156" r:id="rId283" display="https://docs.microsoft.com/en-us/learn/paths/architect-infrastructure-operations/" xr:uid="{F27E313B-FC66-49C2-B340-5690FF543286}"/>
    <hyperlink ref="I157" r:id="rId284" display="https://docs.microsoft.com/en-us/learn/modules/monitor-report-aad-security-events/" xr:uid="{99B49591-F15B-4A33-9B8D-B4F694D2F617}"/>
    <hyperlink ref="I159" r:id="rId285" display="https://docs.microsoft.com/en-us/learn/modules/m365-security-azure-security-center/" xr:uid="{2B6BA69E-CCAA-4455-9FFC-61A6B275FAE6}"/>
    <hyperlink ref="I160" r:id="rId286" display="https://docs.microsoft.com/en-us/learn/paths/implement-windows-server-iaas-virtual-machine-security/" xr:uid="{719718F0-C69F-4BF0-9BBD-C0B7953670FA}"/>
    <hyperlink ref="I161" r:id="rId287" display="https://docs.microsoft.com/en-us/learn/paths/monitor-usage-performance-availability-resources-azure-monitor/" xr:uid="{4DD04DB7-84EE-41DE-A48F-8076DAF7FAD5}"/>
    <hyperlink ref="I162" r:id="rId288" display="https://docs.microsoft.com/en-us/learn/paths/manage-security-operations/" xr:uid="{1871A8A7-EA4B-488A-8BC0-1DBC4209EFDE}"/>
    <hyperlink ref="I163" r:id="rId289" display="https://docs.microsoft.com/en-us/learn/paths/manage-security-operations/" xr:uid="{C98EA05C-A124-497A-9268-45AD8D03930E}"/>
    <hyperlink ref="I164" r:id="rId290" display="https://docs.microsoft.com/en-us/learn/paths/manage-security-operations/" xr:uid="{C8E30E14-9B5F-49AF-A84D-39CA3E71D65D}"/>
    <hyperlink ref="I165" r:id="rId291" display="https://docs.microsoft.com/en-us/learn/paths/manage-security-operations/" xr:uid="{50873F43-2458-4ECF-B690-0135FD5AECB2}"/>
    <hyperlink ref="I146" r:id="rId292" display="https://docs.microsoft.com/en-us/learn/modules/intro-to-azure-policy/" xr:uid="{14B2CA53-0F38-4110-9C42-7E14987BCA67}"/>
  </hyperlinks>
  <pageMargins left="0.7" right="0.7" top="0.75" bottom="0.75" header="0.3" footer="0.3"/>
  <pageSetup paperSize="9" orientation="portrait" horizontalDpi="4294967293" r:id="rId293"/>
  <drawing r:id="rId294"/>
  <legacyDrawing r:id="rId295"/>
  <mc:AlternateContent xmlns:mc="http://schemas.openxmlformats.org/markup-compatibility/2006">
    <mc:Choice Requires="x14">
      <controls>
        <mc:AlternateContent xmlns:mc="http://schemas.openxmlformats.org/markup-compatibility/2006">
          <mc:Choice Requires="x14">
            <control shapeId="1025" r:id="rId296" name="Button 1">
              <controlPr defaultSize="0" print="0" autoFill="0" autoPict="0" macro="[0]!Sheet1.export_json">
                <anchor moveWithCells="1" sizeWithCells="1">
                  <from>
                    <xdr:col>6</xdr:col>
                    <xdr:colOff>2933700</xdr:colOff>
                    <xdr:row>0</xdr:row>
                    <xdr:rowOff>619125</xdr:rowOff>
                  </from>
                  <to>
                    <xdr:col>7</xdr:col>
                    <xdr:colOff>152400</xdr:colOff>
                    <xdr:row>0</xdr:row>
                    <xdr:rowOff>876300</xdr:rowOff>
                  </to>
                </anchor>
              </controlPr>
            </control>
          </mc:Choice>
        </mc:AlternateContent>
        <mc:AlternateContent xmlns:mc="http://schemas.openxmlformats.org/markup-compatibility/2006">
          <mc:Choice Requires="x14">
            <control shapeId="1027" r:id="rId297" name="Button 3">
              <controlPr defaultSize="0" print="0" autoFill="0" autoPict="0" macro="[0]!Sheet1.import_checklist">
                <anchor moveWithCells="1">
                  <from>
                    <xdr:col>6</xdr:col>
                    <xdr:colOff>2914650</xdr:colOff>
                    <xdr:row>0</xdr:row>
                    <xdr:rowOff>295275</xdr:rowOff>
                  </from>
                  <to>
                    <xdr:col>7</xdr:col>
                    <xdr:colOff>171450</xdr:colOff>
                    <xdr:row>0</xdr:row>
                    <xdr:rowOff>571500</xdr:rowOff>
                  </to>
                </anchor>
              </controlPr>
            </control>
          </mc:Choice>
        </mc:AlternateContent>
        <mc:AlternateContent xmlns:mc="http://schemas.openxmlformats.org/markup-compatibility/2006">
          <mc:Choice Requires="x14">
            <control shapeId="1028" r:id="rId298" name="Button 4">
              <controlPr defaultSize="0" print="0" autoFill="0" autoPict="0" macro="[0]!Sheet1.import_checklist_fromurl">
                <anchor moveWithCells="1" sizeWithCells="1">
                  <from>
                    <xdr:col>2</xdr:col>
                    <xdr:colOff>5867400</xdr:colOff>
                    <xdr:row>0</xdr:row>
                    <xdr:rowOff>571500</xdr:rowOff>
                  </from>
                  <to>
                    <xdr:col>3</xdr:col>
                    <xdr:colOff>1943100</xdr:colOff>
                    <xdr:row>0</xdr:row>
                    <xdr:rowOff>1047750</xdr:rowOff>
                  </to>
                </anchor>
              </controlPr>
            </control>
          </mc:Choice>
        </mc:AlternateContent>
        <mc:AlternateContent xmlns:mc="http://schemas.openxmlformats.org/markup-compatibility/2006">
          <mc:Choice Requires="x14">
            <control shapeId="1029" r:id="rId299" name="Group Box 5">
              <controlPr defaultSize="0" autoFill="0" autoPict="0">
                <anchor moveWithCells="1">
                  <from>
                    <xdr:col>6</xdr:col>
                    <xdr:colOff>2676525</xdr:colOff>
                    <xdr:row>0</xdr:row>
                    <xdr:rowOff>180975</xdr:rowOff>
                  </from>
                  <to>
                    <xdr:col>7</xdr:col>
                    <xdr:colOff>619125</xdr:colOff>
                    <xdr:row>0</xdr:row>
                    <xdr:rowOff>1314450</xdr:rowOff>
                  </to>
                </anchor>
              </controlPr>
            </control>
          </mc:Choice>
        </mc:AlternateContent>
        <mc:AlternateContent xmlns:mc="http://schemas.openxmlformats.org/markup-compatibility/2006">
          <mc:Choice Requires="x14">
            <control shapeId="1030" r:id="rId300" name="Group Box 6">
              <controlPr defaultSize="0" autoFill="0" autoPict="0">
                <anchor moveWithCells="1">
                  <from>
                    <xdr:col>2</xdr:col>
                    <xdr:colOff>5572125</xdr:colOff>
                    <xdr:row>0</xdr:row>
                    <xdr:rowOff>142875</xdr:rowOff>
                  </from>
                  <to>
                    <xdr:col>6</xdr:col>
                    <xdr:colOff>228600</xdr:colOff>
                    <xdr:row>0</xdr:row>
                    <xdr:rowOff>1295400</xdr:rowOff>
                  </to>
                </anchor>
              </controlPr>
            </control>
          </mc:Choice>
        </mc:AlternateContent>
        <mc:AlternateContent xmlns:mc="http://schemas.openxmlformats.org/markup-compatibility/2006">
          <mc:Choice Requires="x14">
            <control shapeId="1043" r:id="rId301" name="Button 19">
              <controlPr defaultSize="0" print="0" autoFill="0" autoPict="0" macro="[0]!Sheet1.import_graph_results">
                <anchor moveWithCells="1" sizeWithCells="1">
                  <from>
                    <xdr:col>6</xdr:col>
                    <xdr:colOff>2924175</xdr:colOff>
                    <xdr:row>0</xdr:row>
                    <xdr:rowOff>952500</xdr:rowOff>
                  </from>
                  <to>
                    <xdr:col>7</xdr:col>
                    <xdr:colOff>152400</xdr:colOff>
                    <xdr:row>0</xdr:row>
                    <xdr:rowOff>1190625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6" operator="equal" id="{3FAF5097-EDD1-413B-B67D-F709427CE1C9}">
            <xm:f>Values!$B$4</xm:f>
            <x14:dxf>
              <fill>
                <patternFill>
                  <bgColor rgb="FF00B050"/>
                </patternFill>
              </fill>
            </x14:dxf>
          </x14:cfRule>
          <x14:cfRule type="cellIs" priority="17" operator="equal" id="{3C8D81A4-1510-449F-9D38-BCF8671ECC50}">
            <xm:f>Values!$B$2</xm:f>
            <x14:dxf>
              <fill>
                <patternFill>
                  <bgColor rgb="FFFFC000"/>
                </patternFill>
              </fill>
            </x14:dxf>
          </x14:cfRule>
          <x14:cfRule type="cellIs" priority="19" operator="equal" id="{31F07732-5E89-4BEF-9B10-3C1B76C5A57E}">
            <xm:f>Values!$B$5</xm:f>
            <x14:dxf>
              <fill>
                <patternFill>
                  <bgColor theme="2"/>
                </patternFill>
              </fill>
            </x14:dxf>
          </x14:cfRule>
          <x14:cfRule type="cellIs" priority="20" operator="equal" id="{90DE5207-6C3E-4BA7-A439-C362737755D9}">
            <xm:f>Values!$B$3</xm:f>
            <x14:dxf>
              <fill>
                <patternFill>
                  <bgColor rgb="FFFF0000"/>
                </patternFill>
              </fill>
            </x14:dxf>
          </x14:cfRule>
          <xm:sqref>F5:F209</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65359F31-9B04-413B-9DCC-5629B6169AE2}">
          <x14:formula1>
            <xm:f>Values!$B$2:$B$5</xm:f>
          </x14:formula1>
          <xm:sqref>F5:F151</xm:sqref>
        </x14:dataValidation>
        <x14:dataValidation type="list" allowBlank="1" showInputMessage="1" showErrorMessage="1" xr:uid="{3B42DE15-645A-4E06-86AA-0E7EE308B74D}">
          <x14:formula1>
            <xm:f>Values!$A$2:$A$4</xm:f>
          </x14:formula1>
          <xm:sqref>E5:E268</xm:sqref>
        </x14:dataValidation>
        <x14:dataValidation type="list" allowBlank="1" showInputMessage="1" showErrorMessage="1" xr:uid="{D1412479-1CA8-4F35-8E2F-40DF6F1A942B}">
          <x14:formula1>
            <xm:f>Values!$F$2:$F$5</xm:f>
          </x14:formula1>
          <xm:sqref>E1</xm:sqref>
        </x14:dataValidation>
        <x14:dataValidation type="list" allowBlank="1" showInputMessage="1" showErrorMessage="1" xr:uid="{02B2B990-4A86-4049-A8DE-23C2DA4C5AB7}">
          <x14:formula1>
            <xm:f>Values!$G$2:$G$6</xm:f>
          </x14:formula1>
          <xm:sqref>F1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G6"/>
  <sheetViews>
    <sheetView workbookViewId="0">
      <selection activeCell="F3" sqref="F3"/>
    </sheetView>
  </sheetViews>
  <sheetFormatPr defaultRowHeight="15" x14ac:dyDescent="0.25"/>
  <cols>
    <col min="2" max="2" width="10" bestFit="1" customWidth="1"/>
  </cols>
  <sheetData>
    <row r="1" spans="1:7" x14ac:dyDescent="0.25">
      <c r="A1" s="14" t="s">
        <v>2</v>
      </c>
      <c r="B1" s="14" t="s">
        <v>3</v>
      </c>
      <c r="C1" s="14" t="s">
        <v>15</v>
      </c>
      <c r="D1" s="14" t="s">
        <v>20</v>
      </c>
      <c r="E1" s="14" t="s">
        <v>28</v>
      </c>
      <c r="F1" s="14" t="s">
        <v>32</v>
      </c>
      <c r="G1" s="14" t="s">
        <v>33</v>
      </c>
    </row>
    <row r="2" spans="1:7" x14ac:dyDescent="0.25">
      <c r="A2" t="s">
        <v>5</v>
      </c>
      <c r="B2" s="11" t="s">
        <v>6</v>
      </c>
      <c r="C2" t="s">
        <v>31</v>
      </c>
      <c r="D2" s="19" t="s">
        <v>24</v>
      </c>
      <c r="E2" s="19" t="s">
        <v>27</v>
      </c>
      <c r="F2" s="19" t="s">
        <v>34</v>
      </c>
      <c r="G2" s="19" t="s">
        <v>38</v>
      </c>
    </row>
    <row r="3" spans="1:7" x14ac:dyDescent="0.25">
      <c r="A3" t="s">
        <v>8</v>
      </c>
      <c r="B3" s="8" t="s">
        <v>9</v>
      </c>
      <c r="C3" t="s">
        <v>107</v>
      </c>
      <c r="F3" t="s">
        <v>35</v>
      </c>
      <c r="G3" t="s">
        <v>39</v>
      </c>
    </row>
    <row r="4" spans="1:7" x14ac:dyDescent="0.25">
      <c r="A4" t="s">
        <v>7</v>
      </c>
      <c r="B4" s="9" t="s">
        <v>10</v>
      </c>
      <c r="C4" t="s">
        <v>37</v>
      </c>
      <c r="F4" t="s">
        <v>36</v>
      </c>
      <c r="G4" t="s">
        <v>40</v>
      </c>
    </row>
    <row r="5" spans="1:7" x14ac:dyDescent="0.25">
      <c r="B5" s="10" t="s">
        <v>11</v>
      </c>
      <c r="C5" t="s">
        <v>284</v>
      </c>
      <c r="F5" t="s">
        <v>37</v>
      </c>
      <c r="G5" t="s">
        <v>41</v>
      </c>
    </row>
    <row r="6" spans="1:7" x14ac:dyDescent="0.25">
      <c r="C6" t="s">
        <v>72</v>
      </c>
      <c r="G6" t="s">
        <v>42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A12DF1A-88E4-48A5-BF96-2ED16263F29E}">
  <ds:schemaRefs>
    <ds:schemaRef ds:uri="http://schemas.microsoft.com/office/infopath/2007/PartnerControls"/>
    <ds:schemaRef ds:uri="http://purl.org/dc/dcmitype/"/>
    <ds:schemaRef ds:uri="http://purl.org/dc/terms/"/>
    <ds:schemaRef ds:uri="http://schemas.microsoft.com/office/2006/documentManagement/types"/>
    <ds:schemaRef ds:uri="http://schemas.openxmlformats.org/package/2006/metadata/core-properties"/>
    <ds:schemaRef ds:uri="be38a625-1701-4e45-b38e-aec531d5a71a"/>
    <ds:schemaRef ds:uri="http://schemas.microsoft.com/sharepoint/v3"/>
    <ds:schemaRef ds:uri="230e9df3-be65-4c73-a93b-d1236ebd677e"/>
    <ds:schemaRef ds:uri="http://purl.org/dc/elements/1.1/"/>
    <ds:schemaRef ds:uri="d681aa6a-578a-4b4a-96ad-20ed8468a31e"/>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Hubert Kudyba</cp:lastModifiedBy>
  <cp:revision/>
  <dcterms:created xsi:type="dcterms:W3CDTF">2021-01-25T16:35:48Z</dcterms:created>
  <dcterms:modified xsi:type="dcterms:W3CDTF">2021-12-01T13:13:19Z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