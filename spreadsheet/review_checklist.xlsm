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6C1AAA14-02A9-40A6-A34C-B8E83377C4EE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Checklist!$A$4:$H$159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D2" i="7" l="1"/>
  <c r="E2" i="7"/>
  <c r="S21" i="7"/>
  <c r="R29" i="7"/>
  <c r="S29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<sst xmlns="http://schemas.openxmlformats.org/spreadsheetml/2006/main" count="42" uniqueCount="37">
  <si>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</si>
  <si>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</si>
  <si>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</si>
  <si>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</si>
  <si>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</si>
  <si>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</si>
  <si>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</si>
  <si>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</si>
  <si>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</si>
  <si>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</si>
  <si>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</si>
  <si>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</si>
  <si>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</si>
  <si>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</si>
  <si>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</si>
  <si>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</si>
  <si>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</si>
  <si>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</si>
  <si>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</si>
  <si>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</si>
  <si>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</si>
  <si>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</si>
  <si>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</si>
  <si>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</si>
  <si>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</si>
  <si>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BC and DR</t>
  </si>
  <si>
    <t>Identity and Access Management</t>
  </si>
  <si>
    <t>Network Topology and Connectivity</t>
  </si>
  <si>
    <t>Governance and Security</t>
  </si>
  <si>
    <t>Cost Governance</t>
  </si>
  <si>
    <t>Operations</t>
  </si>
  <si>
    <t>Application Deployment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</si>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</sst>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0" fontId="3" fillId="0" borderId="0" xfId="0" applyFont="1" applyAlignment="1">
      <alignment horizontal="left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1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628650</xdr:rowOff>
        </xdr:from>
        <xdr:to>
          <xdr:col>5</xdr:col>
          <xdr:colOff>228600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295275</xdr:rowOff>
        </xdr:from>
        <xdr:to>
          <xdr:col>5</xdr:col>
          <xdr:colOff>238125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5781675</xdr:colOff>
          <xdr:row>0</xdr:row>
          <xdr:rowOff>266700</xdr:rowOff>
        </xdr:from>
        <xdr:to>
          <xdr:col>2</xdr:col>
          <xdr:colOff>6686550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8181975</xdr:colOff>
          <xdr:row>0</xdr:row>
          <xdr:rowOff>142875</xdr:rowOff>
        </xdr:from>
        <xdr:to>
          <xdr:col>5</xdr:col>
          <xdr:colOff>657225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2</xdr:col>
          <xdr:colOff>7962900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247650</xdr:rowOff>
        </xdr:from>
        <xdr:to>
          <xdr:col>2</xdr:col>
          <xdr:colOff>7896225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7010400</xdr:colOff>
          <xdr:row>0</xdr:row>
          <xdr:rowOff>323850</xdr:rowOff>
        </xdr:from>
        <xdr:to>
          <xdr:col>2</xdr:col>
          <xdr:colOff>7400925</xdr:colOff>
          <xdr:row>0</xdr:row>
          <xdr:rowOff>552450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7019925</xdr:colOff>
          <xdr:row>0</xdr:row>
          <xdr:rowOff>514350</xdr:rowOff>
        </xdr:from>
        <xdr:to>
          <xdr:col>2</xdr:col>
          <xdr:colOff>7743825</xdr:colOff>
          <xdr:row>0</xdr:row>
          <xdr:rowOff>666750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6677025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695325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857250</xdr:rowOff>
        </xdr:from>
        <xdr:to>
          <xdr:col>2</xdr:col>
          <xdr:colOff>6791325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7010400</xdr:colOff>
          <xdr:row>0</xdr:row>
          <xdr:rowOff>647700</xdr:rowOff>
        </xdr:from>
        <xdr:to>
          <xdr:col>2</xdr:col>
          <xdr:colOff>7410450</xdr:colOff>
          <xdr:row>0</xdr:row>
          <xdr:rowOff>857250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1038225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952500</xdr:rowOff>
        </xdr:from>
        <xdr:to>
          <xdr:col>5</xdr:col>
          <xdr:colOff>238125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7019925</xdr:colOff>
          <xdr:row>0</xdr:row>
          <xdr:rowOff>771525</xdr:rowOff>
        </xdr:from>
        <xdr:to>
          <xdr:col>2</xdr:col>
          <xdr:colOff>7677150</xdr:colOff>
          <xdr:row>0</xdr:row>
          <xdr:rowOff>1038225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7010400</xdr:colOff>
          <xdr:row>0</xdr:row>
          <xdr:rowOff>952500</xdr:rowOff>
        </xdr:from>
        <xdr:to>
          <xdr:col>2</xdr:col>
          <xdr:colOff>7410450</xdr:colOff>
          <xdr:row>0</xdr:row>
          <xdr:rowOff>1162050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Spanish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C1" sqref="C1"/>
    </sheetView>
  </sheetViews>
  <sheetFormatPr defaultRowHeight="15" x14ac:dyDescent="0.25"/>
  <cols>
    <col min="1" max="1" width="28.28515625" customWidth="1"/>
    <col min="4" max="4" width="15" customWidth="1"/>
    <col min="5" max="5" width="12.85546875" customWidth="1"/>
  </cols>
  <sheetData>
    <row r="1" spans="1:13" ht="37.5" x14ac:dyDescent="0.25">
      <c r="D1" s="26" t="s">
        <v>33</v>
      </c>
      <c r="E1" s="26" t="s">
        <v>34</v>
      </c>
    </row>
    <row r="2" spans="1:13" ht="31.5" x14ac:dyDescent="0.5">
      <c r="A2" s="15" t="s">
        <v>15</v>
      </c>
      <c r="D2" s="25" t="e">
        <f>1-O27/R27</f>
        <v>#DIV/0!</v>
      </c>
      <c r="E2" s="25" t="e">
        <f>P27/R27</f>
        <v>#DIV/0!</v>
      </c>
    </row>
    <row r="5" spans="1:13" x14ac:dyDescent="0.25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17</v>
      </c>
    </row>
    <row r="6" spans="1:13" x14ac:dyDescent="0.25">
      <c r="A6" s="14" t="str">
        <f>Values!A2</f>
        <v>High</v>
      </c>
      <c r="B6" cm="1">
        <f t="array" ref="B6">SUMPRODUCT(--(Checklist!$D$5:$G$493=$A6)*--(Checklist!$E$5:$E$493=B$5))</f>
        <v>0</v>
      </c>
      <c r="C6" cm="1">
        <f t="array" ref="C6">SUMPRODUCT(--(Checklist!$D$5:$G$493=$A6)*--(Checklist!$E$5:$E$493=C$5))</f>
        <v>0</v>
      </c>
      <c r="D6" cm="1">
        <f t="array" ref="D6">SUMPRODUCT(--(Checklist!$D$5:$G$493=$A6)*--(Checklist!$E$5:$E$493=D$5))</f>
        <v>0</v>
      </c>
      <c r="E6" cm="1">
        <f t="array" ref="E6">SUMPRODUCT(--(Checklist!$D$5:$G$493=$A6)*--(Checklist!$E$5:$E$493=E$5))</f>
        <v>0</v>
      </c>
      <c r="F6">
        <f>SUM(B6:E6)</f>
        <v>0</v>
      </c>
      <c r="H6" s="14" t="str">
        <f>IF(Values!$C2="","",Values!$C2)</f>
        <v>Identity and Access Management</v>
      </c>
      <c r="I6" cm="1">
        <f t="array" ref="I6">IF($H6="","",SUMPRODUCT(--(Checklist!$A$5:$A$493=$H6)*--(Checklist!$E$5:$E$493=I$5)))</f>
        <v>0</v>
      </c>
      <c r="J6" cm="1">
        <f t="array" ref="J6">IF($H6="","",SUMPRODUCT(--(Checklist!$A$5:$A$493=$H6)*--(Checklist!$E$5:$E$493=J$5)))</f>
        <v>0</v>
      </c>
      <c r="K6" cm="1">
        <f t="array" ref="K6">IF($H6="","",SUMPRODUCT(--(Checklist!$A$5:$A$493=$H6)*--(Checklist!$E$5:$E$493=K$5)))</f>
        <v>0</v>
      </c>
      <c r="L6" cm="1">
        <f t="array" ref="L6">IF($H6="","",SUMPRODUCT(--(Checklist!$A$5:$A$493=$H6)*--(Checklist!$E$5:$E$493=L$5)))</f>
        <v>0</v>
      </c>
      <c r="M6">
        <f>IF($H6="","",SUM(I6:L6))</f>
        <v>0</v>
      </c>
    </row>
    <row r="7" spans="1:13" x14ac:dyDescent="0.25">
      <c r="A7" s="14" t="str">
        <f>Values!A3</f>
        <v>Medium</v>
      </c>
      <c r="B7" cm="1">
        <f t="array" ref="B7">SUMPRODUCT(--(Checklist!$D$5:$G$493=$A7)*--(Checklist!$E$5:$E$493=B$5))</f>
        <v>0</v>
      </c>
      <c r="C7" cm="1">
        <f t="array" ref="C7">SUMPRODUCT(--(Checklist!$D$5:$G$493=$A7)*--(Checklist!$E$5:$E$493=C$5))</f>
        <v>0</v>
      </c>
      <c r="D7" cm="1">
        <f t="array" ref="D7">SUMPRODUCT(--(Checklist!$D$5:$G$493=$A7)*--(Checklist!$E$5:$E$493=D$5))</f>
        <v>0</v>
      </c>
      <c r="E7" cm="1">
        <f t="array" ref="E7">SUMPRODUCT(--(Checklist!$D$5:$G$493=$A7)*--(Checklist!$E$5:$E$493=E$5))</f>
        <v>0</v>
      </c>
      <c r="F7">
        <f>SUM(B7:E7)</f>
        <v>0</v>
      </c>
      <c r="H7" s="14" t="str">
        <f>IF(Values!$C3="","",Values!$C3)</f>
        <v>Network Topology and Connectivity</v>
      </c>
      <c r="I7" cm="1">
        <f t="array" ref="I7">IF($H7="","",SUMPRODUCT(--(Checklist!$A$5:$A$493=$H7)*--(Checklist!$E$5:$E$493=I$5)))</f>
        <v>0</v>
      </c>
      <c r="J7" cm="1">
        <f t="array" ref="J7">IF($H7="","",SUMPRODUCT(--(Checklist!$A$5:$A$493=$H7)*--(Checklist!$E$5:$E$493=J$5)))</f>
        <v>0</v>
      </c>
      <c r="K7" cm="1">
        <f t="array" ref="K7">IF($H7="","",SUMPRODUCT(--(Checklist!$A$5:$A$493=$H7)*--(Checklist!$E$5:$E$493=K$5)))</f>
        <v>0</v>
      </c>
      <c r="L7" cm="1">
        <f t="array" ref="L7">IF($H7="","",SUMPRODUCT(--(Checklist!$A$5:$A$493=$H7)*--(Checklist!$E$5:$E$493=L$5)))</f>
        <v>0</v>
      </c>
      <c r="M7">
        <f t="shared" ref="M7:M12" si="0">IF($H7="","",SUM(I7:L7))</f>
        <v>0</v>
      </c>
    </row>
    <row r="8" spans="1:13" x14ac:dyDescent="0.25">
      <c r="A8" s="14" t="str">
        <f>Values!A4</f>
        <v>Low</v>
      </c>
      <c r="B8" cm="1">
        <f t="array" ref="B8">SUMPRODUCT(--(Checklist!$D$5:$G$493=$A8)*--(Checklist!$E$5:$E$493=B$5))</f>
        <v>0</v>
      </c>
      <c r="C8" cm="1">
        <f t="array" ref="C8">SUMPRODUCT(--(Checklist!$D$5:$G$493=$A8)*--(Checklist!$E$5:$E$493=C$5))</f>
        <v>0</v>
      </c>
      <c r="D8" cm="1">
        <f t="array" ref="D8">SUMPRODUCT(--(Checklist!$D$5:$G$493=$A8)*--(Checklist!$E$5:$E$493=D$5))</f>
        <v>0</v>
      </c>
      <c r="E8" cm="1">
        <f t="array" ref="E8">SUMPRODUCT(--(Checklist!$D$5:$G$493=$A8)*--(Checklist!$E$5:$E$493=E$5))</f>
        <v>0</v>
      </c>
      <c r="F8">
        <f>SUM(B8:E8)</f>
        <v>0</v>
      </c>
      <c r="H8" s="14" t="str">
        <f>IF(Values!$C4="","",Values!$C4)</f>
        <v>BC and DR</v>
      </c>
      <c r="I8" cm="1">
        <f t="array" ref="I8">IF($H8="","",SUMPRODUCT(--(Checklist!$A$5:$A$493=$H8)*--(Checklist!$E$5:$E$493=I$5)))</f>
        <v>0</v>
      </c>
      <c r="J8" cm="1">
        <f t="array" ref="J8">IF($H8="","",SUMPRODUCT(--(Checklist!$A$5:$A$493=$H8)*--(Checklist!$E$5:$E$493=J$5)))</f>
        <v>0</v>
      </c>
      <c r="K8" cm="1">
        <f t="array" ref="K8">IF($H8="","",SUMPRODUCT(--(Checklist!$A$5:$A$493=$H8)*--(Checklist!$E$5:$E$493=K$5)))</f>
        <v>0</v>
      </c>
      <c r="L8" cm="1">
        <f t="array" ref="L8">IF($H8="","",SUMPRODUCT(--(Checklist!$A$5:$A$493=$H8)*--(Checklist!$E$5:$E$493=L$5)))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Governance and Security</v>
      </c>
      <c r="I9" cm="1">
        <f t="array" ref="I9">IF($H9="","",SUMPRODUCT(--(Checklist!$A$5:$A$493=$H9)*--(Checklist!$E$5:$E$493=I$5)))</f>
        <v>0</v>
      </c>
      <c r="J9" cm="1">
        <f t="array" ref="J9">IF($H9="","",SUMPRODUCT(--(Checklist!$A$5:$A$493=$H9)*--(Checklist!$E$5:$E$493=J$5)))</f>
        <v>0</v>
      </c>
      <c r="K9" cm="1">
        <f t="array" ref="K9">IF($H9="","",SUMPRODUCT(--(Checklist!$A$5:$A$493=$H9)*--(Checklist!$E$5:$E$493=K$5)))</f>
        <v>0</v>
      </c>
      <c r="L9" cm="1">
        <f t="array" ref="L9">IF($H9="","",SUMPRODUCT(--(Checklist!$A$5:$A$493=$H9)*--(Checklist!$E$5:$E$493=L$5)))</f>
        <v>0</v>
      </c>
      <c r="M9">
        <f t="shared" si="0"/>
        <v>0</v>
      </c>
    </row>
    <row r="10" spans="1:13" x14ac:dyDescent="0.25">
      <c r="H10" s="14" t="str">
        <f>IF(Values!$C6="","",Values!$C6)</f>
        <v>Cost Governance</v>
      </c>
      <c r="I10" cm="1">
        <f t="array" ref="I10">IF($H10="","",SUMPRODUCT(--(Checklist!$A$5:$A$493=$H10)*--(Checklist!$E$5:$E$493=I$5)))</f>
        <v>0</v>
      </c>
      <c r="J10" cm="1">
        <f t="array" ref="J10">IF($H10="","",SUMPRODUCT(--(Checklist!$A$5:$A$493=$H10)*--(Checklist!$E$5:$E$493=J$5)))</f>
        <v>0</v>
      </c>
      <c r="K10" cm="1">
        <f t="array" ref="K10">IF($H10="","",SUMPRODUCT(--(Checklist!$A$5:$A$493=$H10)*--(Checklist!$E$5:$E$493=K$5)))</f>
        <v>0</v>
      </c>
      <c r="L10" cm="1">
        <f t="array" ref="L10">IF($H10="","",SUMPRODUCT(--(Checklist!$A$5:$A$493=$H10)*--(Checklist!$E$5:$E$493=L$5)))</f>
        <v>0</v>
      </c>
      <c r="M10">
        <f t="shared" si="0"/>
        <v>0</v>
      </c>
    </row>
    <row r="11" spans="1:13" x14ac:dyDescent="0.25">
      <c r="H11" s="14" t="str">
        <f>IF(Values!$C7="","",Values!$C7)</f>
        <v>Operations</v>
      </c>
      <c r="I11" cm="1">
        <f t="array" ref="I11">IF($H11="","",SUMPRODUCT(--(Checklist!$A$5:$A$493=$H11)*--(Checklist!$E$5:$E$493=I$5)))</f>
        <v>0</v>
      </c>
      <c r="J11" cm="1">
        <f t="array" ref="J11">IF($H11="","",SUMPRODUCT(--(Checklist!$A$5:$A$493=$H11)*--(Checklist!$E$5:$E$493=J$5)))</f>
        <v>0</v>
      </c>
      <c r="K11" cm="1">
        <f t="array" ref="K11">IF($H11="","",SUMPRODUCT(--(Checklist!$A$5:$A$493=$H11)*--(Checklist!$E$5:$E$493=K$5)))</f>
        <v>0</v>
      </c>
      <c r="L11" cm="1">
        <f t="array" ref="L11">IF($H11="","",SUMPRODUCT(--(Checklist!$A$5:$A$493=$H11)*--(Checklist!$E$5:$E$493=L$5)))</f>
        <v>0</v>
      </c>
      <c r="M11">
        <f t="shared" si="0"/>
        <v>0</v>
      </c>
    </row>
    <row r="12" spans="1:13" x14ac:dyDescent="0.25">
      <c r="H12" s="14" t="str">
        <f>IF(Values!$C8="","",Values!$C8)</f>
        <v>Application Deployment</v>
      </c>
      <c r="I12" cm="1">
        <f t="array" ref="I12">IF($H12="","",SUMPRODUCT(--(Checklist!$A$5:$A$493=$H12)*--(Checklist!$E$5:$E$493=I$5)))</f>
        <v>0</v>
      </c>
      <c r="J12" cm="1">
        <f t="array" ref="J12">IF($H12="","",SUMPRODUCT(--(Checklist!$A$5:$A$493=$H12)*--(Checklist!$E$5:$E$493=J$5)))</f>
        <v>0</v>
      </c>
      <c r="K12" cm="1">
        <f t="array" ref="K12">IF($H12="","",SUMPRODUCT(--(Checklist!$A$5:$A$493=$H12)*--(Checklist!$E$5:$E$493=K$5)))</f>
        <v>0</v>
      </c>
      <c r="L12" cm="1">
        <f t="array" ref="L12">IF($H12="","",SUMPRODUCT(--(Checklist!$A$5:$A$493=$H12)*--(Checklist!$E$5:$E$493=L$5)))</f>
        <v>0</v>
      </c>
      <c r="M12">
        <f t="shared" si="0"/>
        <v>0</v>
      </c>
    </row>
    <row r="13" spans="1:13" x14ac:dyDescent="0.25">
      <c r="H13" s="14" t="str">
        <f>IF(Values!$C9="","",Values!$C9)</f>
        <v/>
      </c>
      <c r="I13" t="str" cm="1">
        <f t="array" ref="I13">IF($H13="","",SUMPRODUCT(--(Checklist!$A$5:$A$493=$H13)*--(Checklist!$E$5:$E$493=I$5)))</f>
        <v/>
      </c>
      <c r="J13" t="str" cm="1">
        <f t="array" ref="J13">IF($H13="","",SUMPRODUCT(--(Checklist!$A$5:$A$493=$H13)*--(Checklist!$E$5:$E$493=J$5)))</f>
        <v/>
      </c>
      <c r="K13" t="str" cm="1">
        <f t="array" ref="K13">IF($H13="","",SUMPRODUCT(--(Checklist!$A$5:$A$493=$H13)*--(Checklist!$E$5:$E$493=K$5)))</f>
        <v/>
      </c>
      <c r="L13" t="str" cm="1">
        <f t="array" ref="L13">IF($H13="","",SUMPRODUCT(--(Checklist!$A$5:$A$493=$H13)*--(Checklist!$E$5:$E$493=L$5)))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25">
      <c r="N20" s="14" t="s">
        <v>16</v>
      </c>
      <c r="O20" s="14" t="str">
        <f>Values!$B$2</f>
        <v>Not verified</v>
      </c>
      <c r="P20" s="14" t="str">
        <f>Values!$B$3</f>
        <v>Open</v>
      </c>
      <c r="Q20" s="14" t="s">
        <v>19</v>
      </c>
      <c r="R20" s="14" t="s">
        <v>17</v>
      </c>
      <c r="S20" s="14" t="s">
        <v>18</v>
      </c>
    </row>
    <row r="21" spans="14:19" x14ac:dyDescent="0.25">
      <c r="N21" s="14" t="str">
        <f>IF(Values!$C2="","",Values!$C2)</f>
        <v>Identity and Access Management</v>
      </c>
      <c r="O21" cm="1">
        <f t="array" ref="O21">IF($N21="","",SUMPRODUCT(--(Checklist!$A$5:$A$493=$N21)*--(Checklist!$E$5:$E$493=O$20)))</f>
        <v>0</v>
      </c>
      <c r="P21" cm="1">
        <f t="array" ref="P21">IF($N21="","",SUMPRODUCT(--(Checklist!$A$5:$A$493=$N21)*--(Checklist!$E$5:$E$493=P$20)))</f>
        <v>0</v>
      </c>
      <c r="Q21" cm="1">
        <f t="array" ref="Q21">IF($N21="","",SUMPRODUCT(--(Checklist!$A$5:$A$493=$N21)*(--(Checklist!$E$5:$E$493=Values!$B$4)+--(Checklist!$E$5:$E$493=Values!$B$5))))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25">
      <c r="N22" s="14" t="str">
        <f>IF(Values!$C3="","",Values!$C3)</f>
        <v>Network Topology and Connectivity</v>
      </c>
      <c r="O22" cm="1">
        <f t="array" ref="O22">IF($N22="","",SUMPRODUCT(--(Checklist!$A$5:$A$493=$N22)*--(Checklist!$E$5:$E$493=O$20)))</f>
        <v>0</v>
      </c>
      <c r="P22" cm="1">
        <f t="array" ref="P22">IF($N22="","",SUMPRODUCT(--(Checklist!$A$5:$A$493=$N22)*--(Checklist!$E$5:$E$493=P$20)))</f>
        <v>0</v>
      </c>
      <c r="Q22" cm="1">
        <f t="array" ref="Q22">IF($N22="","",SUMPRODUCT(--(Checklist!$A$5:$A$493=$N22)*(--(Checklist!$E$5:$E$493=Values!$B$4)+--(Checklist!$E$5:$E$493=Values!$B$5))))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25">
      <c r="N23" s="14" t="str">
        <f>IF(Values!$C4="","",Values!$C4)</f>
        <v>BC and DR</v>
      </c>
      <c r="O23" cm="1">
        <f t="array" ref="O23">IF($N23="","",SUMPRODUCT(--(Checklist!$A$5:$A$493=$N23)*--(Checklist!$E$5:$E$493=O$20)))</f>
        <v>0</v>
      </c>
      <c r="P23" cm="1">
        <f t="array" ref="P23">IF($N23="","",SUMPRODUCT(--(Checklist!$A$5:$A$493=$N23)*--(Checklist!$E$5:$E$493=P$20)))</f>
        <v>0</v>
      </c>
      <c r="Q23" cm="1">
        <f t="array" ref="Q23">IF($N23="","",SUMPRODUCT(--(Checklist!$A$5:$A$493=$N23)*(--(Checklist!$E$5:$E$493=Values!$B$4)+--(Checklist!$E$5:$E$493=Values!$B$5))))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25">
      <c r="N24" s="14" t="str">
        <f>IF(Values!$C5="","",Values!$C5)</f>
        <v>Governance and Security</v>
      </c>
      <c r="O24" cm="1">
        <f t="array" ref="O24">IF($N24="","",SUMPRODUCT(--(Checklist!$A$5:$A$493=$N24)*--(Checklist!$E$5:$E$493=O$20)))</f>
        <v>0</v>
      </c>
      <c r="P24" cm="1">
        <f t="array" ref="P24">IF($N24="","",SUMPRODUCT(--(Checklist!$A$5:$A$493=$N24)*--(Checklist!$E$5:$E$493=P$20)))</f>
        <v>0</v>
      </c>
      <c r="Q24" cm="1">
        <f t="array" ref="Q24">IF($N24="","",SUMPRODUCT(--(Checklist!$A$5:$A$493=$N24)*(--(Checklist!$E$5:$E$493=Values!$B$4)+--(Checklist!$E$5:$E$493=Values!$B$5))))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25">
      <c r="N25" s="14" t="str">
        <f>IF(Values!$C6="","",Values!$C6)</f>
        <v>Cost Governance</v>
      </c>
      <c r="O25" cm="1">
        <f t="array" ref="O25">IF($N25="","",SUMPRODUCT(--(Checklist!$A$5:$A$493=$N25)*--(Checklist!$E$5:$E$493=O$20)))</f>
        <v>0</v>
      </c>
      <c r="P25" cm="1">
        <f t="array" ref="P25">IF($N25="","",SUMPRODUCT(--(Checklist!$A$5:$A$493=$N25)*--(Checklist!$E$5:$E$493=P$20)))</f>
        <v>0</v>
      </c>
      <c r="Q25" cm="1">
        <f t="array" ref="Q25">IF($N25="","",SUMPRODUCT(--(Checklist!$A$5:$A$493=$N25)*(--(Checklist!$E$5:$E$493=Values!$B$4)+--(Checklist!$E$5:$E$493=Values!$B$5))))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25">
      <c r="N26" s="14" t="str">
        <f>IF(Values!$C7="","",Values!$C7)</f>
        <v>Operations</v>
      </c>
      <c r="O26" cm="1">
        <f t="array" ref="O26">IF($N26="","",SUMPRODUCT(--(Checklist!$A$5:$A$493=$N26)*--(Checklist!$E$5:$E$493=O$20)))</f>
        <v>0</v>
      </c>
      <c r="P26" cm="1">
        <f t="array" ref="P26">IF($N26="","",SUMPRODUCT(--(Checklist!$A$5:$A$493=$N26)*--(Checklist!$E$5:$E$493=P$20)))</f>
        <v>0</v>
      </c>
      <c r="Q26" cm="1">
        <f t="array" ref="Q26">IF($N26="","",SUMPRODUCT(--(Checklist!$A$5:$A$493=$N26)*(--(Checklist!$E$5:$E$493=Values!$B$4)+--(Checklist!$E$5:$E$493=Values!$B$5))))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25">
      <c r="N27" s="14" t="str">
        <f>IF(Values!$C8="","",Values!$C8)</f>
        <v>Application Deployment</v>
      </c>
      <c r="O27" cm="1">
        <f t="array" ref="O27">IF($N27="","",SUMPRODUCT(--(Checklist!$A$5:$A$493=$N27)*--(Checklist!$E$5:$E$493=O$20)))</f>
        <v>0</v>
      </c>
      <c r="P27" cm="1">
        <f t="array" ref="P27">IF($N27="","",SUMPRODUCT(--(Checklist!$A$5:$A$493=$N27)*--(Checklist!$E$5:$E$493=P$20)))</f>
        <v>0</v>
      </c>
      <c r="Q27" cm="1">
        <f t="array" ref="Q27">IF($N27="","",SUMPRODUCT(--(Checklist!$A$5:$A$493=$N27)*(--(Checklist!$E$5:$E$493=Values!$B$4)+--(Checklist!$E$5:$E$493=Values!$B$5))))</f>
        <v>0</v>
      </c>
      <c r="R27">
        <f t="shared" si="1"/>
        <v>0</v>
      </c>
      <c r="S27" s="16" t="e">
        <f t="shared" si="2"/>
        <v>#DIV/0!</v>
      </c>
    </row>
    <row r="28" spans="14:19" x14ac:dyDescent="0.25">
      <c r="N28" s="14" t="str">
        <f>IF(Values!$C9="","",Values!$C9)</f>
        <v/>
      </c>
      <c r="O28" t="str" cm="1">
        <f t="array" ref="O28">IF($N28="","",SUMPRODUCT(--(Checklist!$A$5:$A$493=$N28)*--(Checklist!$E$5:$E$493=O$20)))</f>
        <v/>
      </c>
      <c r="P28" t="str" cm="1">
        <f t="array" ref="P28">IF($N28="","",SUMPRODUCT(--(Checklist!$A$5:$A$493=$N28)*--(Checklist!$E$5:$E$493=P$20)))</f>
        <v/>
      </c>
      <c r="Q28" t="str" cm="1">
        <f t="array" ref="Q28">IF($N28="","",SUMPRODUCT(--(Checklist!$A$5:$A$493=$N28)*(--(Checklist!$E$5:$E$493=Values!$B$4)+--(Checklist!$E$5:$E$493=Values!$B$5))))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 t="e">
        <f>Q29/R29</f>
        <v>#DIV/0!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K296"/>
  <sheetViews>
    <sheetView showGridLines="0" tabSelected="1" zoomScale="80" zoomScaleNormal="80" workbookViewId="0">
      <selection activeCell="A2" sqref="A2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126.7109375" style="2" customWidth="1"/>
    <col min="4" max="4" width="16.140625" style="2" customWidth="1"/>
    <col min="5" max="5" width="15.140625" style="2" customWidth="1"/>
    <col min="6" max="6" width="49.5703125" style="2" customWidth="1"/>
    <col min="7" max="7" width="18.42578125" style="2" customWidth="1"/>
    <col min="8" max="8" width="14.5703125" style="2" customWidth="1"/>
    <col min="9" max="10" width="9" style="2"/>
    <col min="11" max="11" width="41.28515625" style="2" customWidth="1"/>
    <col min="12" max="16384" width="9" style="2"/>
  </cols>
  <sheetData>
    <row r="1" spans="1:11" ht="121.9" customHeight="1" x14ac:dyDescent="0.3">
      <c r="A1" s="24"/>
      <c r="B1" s="24"/>
      <c r="C1" s="13" t="s">
        <v>13</v>
      </c>
    </row>
    <row r="2" spans="1:11" s="5" customFormat="1" ht="24.6" customHeight="1" x14ac:dyDescent="0.25">
      <c r="A2" s="20" t="s">
        <v>35</v>
      </c>
      <c r="B2" s="4"/>
      <c r="C2" s="4"/>
      <c r="D2" s="4"/>
      <c r="E2" s="4"/>
      <c r="F2" s="4"/>
      <c r="G2" s="4"/>
    </row>
    <row r="3" spans="1:11" x14ac:dyDescent="0.25">
      <c r="A3" s="3"/>
      <c r="B3" s="3"/>
      <c r="C3" s="7"/>
      <c r="D3" s="3"/>
      <c r="E3" s="3"/>
      <c r="F3" s="3"/>
      <c r="G3" s="3"/>
    </row>
    <row r="4" spans="1:11" s="6" customFormat="1" ht="25.5" x14ac:dyDescent="0.25">
      <c r="A4" s="6" t="s">
        <v>0</v>
      </c>
      <c r="B4" s="6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14</v>
      </c>
      <c r="H4" s="6" t="s">
        <v>20</v>
      </c>
      <c r="I4" s="22" t="s">
        <v>22</v>
      </c>
      <c r="J4" s="22" t="s">
        <v>23</v>
      </c>
      <c r="K4" s="22" t="s">
        <v>24</v>
      </c>
    </row>
    <row r="5" spans="1:11" ht="16.5" customHeight="1" x14ac:dyDescent="0.25">
      <c r="A5" s="2"/>
      <c r="B5" s="2"/>
      <c r="G5" s="18"/>
      <c r="H5" s="12"/>
      <c r="I5" s="21"/>
      <c r="J5" s="21"/>
      <c r="K5" s="21"/>
    </row>
    <row r="6" spans="1:11" ht="16.5" customHeight="1" x14ac:dyDescent="0.25">
      <c r="A6" s="2"/>
      <c r="B6" s="2"/>
      <c r="G6" s="18"/>
      <c r="H6" s="12"/>
      <c r="I6" s="21"/>
      <c r="J6" s="21"/>
      <c r="K6" s="21"/>
    </row>
    <row r="7" spans="1:11" ht="16.5" customHeight="1" x14ac:dyDescent="0.25">
      <c r="A7" s="2"/>
      <c r="B7" s="2"/>
      <c r="G7" s="18"/>
      <c r="H7" s="12"/>
      <c r="I7" s="21"/>
      <c r="J7" s="21"/>
      <c r="K7" s="21"/>
    </row>
    <row r="8" spans="1:11" ht="16.5" customHeight="1" x14ac:dyDescent="0.25">
      <c r="A8" s="2"/>
      <c r="B8" s="2"/>
      <c r="F8" s="1"/>
      <c r="G8" s="18"/>
      <c r="H8" s="12"/>
      <c r="I8" s="21"/>
      <c r="J8" s="21"/>
      <c r="K8" s="21"/>
    </row>
    <row r="9" spans="1:11" ht="16.5" customHeight="1" x14ac:dyDescent="0.25">
      <c r="A9" s="2"/>
      <c r="B9" s="2"/>
      <c r="G9" s="18"/>
      <c r="H9" s="12"/>
      <c r="I9" s="21"/>
      <c r="J9" s="21"/>
      <c r="K9" s="21"/>
    </row>
    <row r="10" spans="1:11" ht="16.5" customHeight="1" x14ac:dyDescent="0.25">
      <c r="A10" s="2"/>
      <c r="B10" s="2"/>
      <c r="F10" s="1"/>
      <c r="G10" s="18"/>
      <c r="H10" s="12"/>
      <c r="I10" s="21"/>
      <c r="J10" s="21"/>
      <c r="K10" s="21"/>
    </row>
    <row r="11" spans="1:11" ht="16.5" customHeight="1" x14ac:dyDescent="0.25">
      <c r="A11" s="2"/>
      <c r="B11" s="2"/>
      <c r="G11" s="18"/>
      <c r="H11" s="12"/>
      <c r="I11" s="21"/>
      <c r="J11" s="21"/>
      <c r="K11" s="21"/>
    </row>
    <row r="12" spans="1:11" ht="16.5" customHeight="1" x14ac:dyDescent="0.25">
      <c r="A12" s="2"/>
      <c r="B12" s="2"/>
      <c r="G12" s="18"/>
      <c r="H12" s="12"/>
      <c r="I12" s="21"/>
      <c r="J12" s="21"/>
      <c r="K12" s="21"/>
    </row>
    <row r="13" spans="1:11" ht="16.5" customHeight="1" x14ac:dyDescent="0.25">
      <c r="A13" s="2"/>
      <c r="B13" s="2"/>
      <c r="C13" s="1"/>
      <c r="G13" s="18"/>
      <c r="H13" s="12"/>
      <c r="I13" s="21"/>
      <c r="J13" s="21"/>
      <c r="K13" s="21"/>
    </row>
    <row r="14" spans="1:11" ht="16.5" customHeight="1" x14ac:dyDescent="0.25">
      <c r="A14" s="2"/>
      <c r="B14" s="2"/>
      <c r="G14" s="18"/>
      <c r="H14" s="12"/>
      <c r="I14" s="21"/>
      <c r="J14" s="21"/>
      <c r="K14" s="21"/>
    </row>
    <row r="15" spans="1:11" ht="16.5" customHeight="1" x14ac:dyDescent="0.25">
      <c r="A15" s="2"/>
      <c r="B15" s="2"/>
      <c r="G15" s="18"/>
      <c r="H15" s="12"/>
      <c r="I15" s="21"/>
      <c r="J15" s="21"/>
      <c r="K15" s="21"/>
    </row>
    <row r="16" spans="1:11" ht="16.5" customHeight="1" x14ac:dyDescent="0.25">
      <c r="A16" s="2"/>
      <c r="B16" s="2"/>
      <c r="G16" s="18"/>
      <c r="H16" s="12"/>
      <c r="I16" s="21"/>
      <c r="J16" s="21"/>
      <c r="K16" s="21"/>
    </row>
    <row r="17" spans="1:11" ht="16.5" customHeight="1" x14ac:dyDescent="0.25">
      <c r="A17" s="2"/>
      <c r="B17" s="2"/>
      <c r="G17" s="18"/>
      <c r="H17" s="12"/>
      <c r="I17" s="21"/>
      <c r="J17" s="21"/>
      <c r="K17" s="21"/>
    </row>
    <row r="18" spans="1:11" ht="16.5" customHeight="1" x14ac:dyDescent="0.25">
      <c r="A18" s="2"/>
      <c r="B18" s="2"/>
      <c r="G18" s="18"/>
      <c r="H18" s="12"/>
      <c r="I18" s="21"/>
      <c r="J18" s="21"/>
      <c r="K18" s="21"/>
    </row>
    <row r="19" spans="1:11" ht="16.5" customHeight="1" x14ac:dyDescent="0.25">
      <c r="A19" s="2"/>
      <c r="B19" s="2"/>
      <c r="G19" s="18"/>
      <c r="H19" s="12"/>
      <c r="I19" s="21"/>
      <c r="J19" s="21"/>
      <c r="K19" s="21"/>
    </row>
    <row r="20" spans="1:11" ht="16.5" customHeight="1" x14ac:dyDescent="0.25">
      <c r="A20" s="2"/>
      <c r="B20" s="2"/>
      <c r="G20" s="18"/>
      <c r="H20" s="12"/>
      <c r="I20" s="21"/>
      <c r="J20" s="21"/>
      <c r="K20" s="21"/>
    </row>
    <row r="21" spans="1:11" ht="16.5" customHeight="1" x14ac:dyDescent="0.25">
      <c r="A21" s="2"/>
      <c r="B21" s="2"/>
      <c r="G21" s="18"/>
      <c r="H21" s="12"/>
      <c r="I21" s="21"/>
      <c r="J21" s="21"/>
      <c r="K21" s="21"/>
    </row>
    <row r="22" spans="1:11" ht="16.5" customHeight="1" x14ac:dyDescent="0.25">
      <c r="A22" s="2"/>
      <c r="B22" s="2"/>
      <c r="G22" s="18"/>
      <c r="H22" s="12"/>
      <c r="I22" s="21"/>
      <c r="J22" s="21"/>
      <c r="K22" s="21"/>
    </row>
    <row r="23" spans="1:11" ht="16.5" customHeight="1" x14ac:dyDescent="0.25">
      <c r="A23" s="2"/>
      <c r="B23" s="2"/>
      <c r="G23" s="18"/>
      <c r="H23" s="12"/>
      <c r="I23" s="21"/>
      <c r="J23" s="21"/>
      <c r="K23" s="21"/>
    </row>
    <row r="24" spans="1:11" ht="16.5" customHeight="1" x14ac:dyDescent="0.25">
      <c r="A24" s="2"/>
      <c r="B24" s="2"/>
      <c r="G24" s="18"/>
      <c r="H24" s="12"/>
      <c r="I24" s="21"/>
      <c r="J24" s="21"/>
      <c r="K24" s="21"/>
    </row>
    <row r="25" spans="1:11" ht="16.5" customHeight="1" x14ac:dyDescent="0.25">
      <c r="A25" s="2"/>
      <c r="B25" s="2"/>
      <c r="G25" s="18"/>
      <c r="H25" s="12"/>
      <c r="I25" s="21"/>
      <c r="J25" s="21"/>
      <c r="K25" s="21"/>
    </row>
    <row r="26" spans="1:11" ht="16.5" customHeight="1" x14ac:dyDescent="0.25">
      <c r="A26" s="2"/>
      <c r="B26" s="2"/>
      <c r="G26" s="18"/>
      <c r="H26" s="12"/>
      <c r="I26" s="21"/>
      <c r="J26" s="21"/>
      <c r="K26" s="21"/>
    </row>
    <row r="27" spans="1:11" ht="16.5" customHeight="1" x14ac:dyDescent="0.25">
      <c r="A27" s="2"/>
      <c r="B27" s="2"/>
      <c r="G27" s="18"/>
      <c r="H27" s="12"/>
      <c r="I27" s="21"/>
      <c r="J27" s="21"/>
      <c r="K27" s="21"/>
    </row>
    <row r="28" spans="1:11" ht="16.5" customHeight="1" x14ac:dyDescent="0.25">
      <c r="A28" s="2"/>
      <c r="B28" s="2"/>
      <c r="G28" s="18"/>
      <c r="H28" s="12"/>
      <c r="I28" s="21"/>
      <c r="J28" s="21"/>
      <c r="K28" s="21"/>
    </row>
    <row r="29" spans="1:11" ht="16.5" customHeight="1" x14ac:dyDescent="0.25">
      <c r="A29" s="2"/>
      <c r="B29" s="2"/>
      <c r="F29" s="1"/>
      <c r="G29" s="18"/>
      <c r="H29" s="12"/>
      <c r="I29" s="21"/>
      <c r="J29" s="21"/>
      <c r="K29" s="23"/>
    </row>
    <row r="30" spans="1:11" ht="16.5" customHeight="1" x14ac:dyDescent="0.25">
      <c r="A30" s="2"/>
      <c r="B30" s="2"/>
      <c r="G30" s="18"/>
      <c r="H30" s="12"/>
      <c r="I30" s="21"/>
      <c r="J30" s="21"/>
      <c r="K30" s="21"/>
    </row>
    <row r="31" spans="1:11" ht="16.5" customHeight="1" x14ac:dyDescent="0.25">
      <c r="A31" s="2"/>
      <c r="B31" s="2"/>
      <c r="G31" s="18"/>
      <c r="H31" s="12"/>
      <c r="I31" s="21"/>
      <c r="J31" s="21"/>
      <c r="K31" s="21"/>
    </row>
    <row r="32" spans="1:11" ht="16.5" customHeight="1" x14ac:dyDescent="0.25">
      <c r="A32" s="2"/>
      <c r="B32" s="2"/>
      <c r="G32" s="18"/>
      <c r="H32" s="12"/>
      <c r="I32" s="21"/>
      <c r="J32" s="21"/>
      <c r="K32" s="21"/>
    </row>
    <row r="33" spans="1:11" ht="16.5" customHeight="1" x14ac:dyDescent="0.25">
      <c r="A33" s="2"/>
      <c r="B33" s="2"/>
      <c r="F33" s="1"/>
      <c r="G33" s="18"/>
      <c r="H33" s="12"/>
      <c r="I33" s="21"/>
      <c r="J33" s="21"/>
      <c r="K33" s="21"/>
    </row>
    <row r="34" spans="1:11" ht="16.5" customHeight="1" x14ac:dyDescent="0.25">
      <c r="A34" s="2"/>
      <c r="B34" s="2"/>
      <c r="G34" s="18"/>
      <c r="H34" s="12"/>
      <c r="I34" s="21"/>
      <c r="J34" s="21"/>
      <c r="K34" s="21"/>
    </row>
    <row r="35" spans="1:11" ht="16.5" customHeight="1" x14ac:dyDescent="0.25">
      <c r="A35" s="2"/>
      <c r="B35" s="2"/>
      <c r="G35" s="18"/>
      <c r="H35" s="12"/>
      <c r="I35" s="21"/>
      <c r="J35" s="21"/>
      <c r="K35" s="21"/>
    </row>
    <row r="36" spans="1:11" ht="16.5" customHeight="1" x14ac:dyDescent="0.25">
      <c r="A36" s="2"/>
      <c r="B36" s="2"/>
      <c r="G36" s="18"/>
      <c r="H36" s="12"/>
      <c r="I36" s="21"/>
      <c r="J36" s="21"/>
      <c r="K36" s="21"/>
    </row>
    <row r="37" spans="1:11" ht="16.5" customHeight="1" x14ac:dyDescent="0.25">
      <c r="A37" s="2"/>
      <c r="B37" s="2"/>
      <c r="G37" s="18"/>
      <c r="H37" s="12"/>
      <c r="I37" s="21"/>
      <c r="J37" s="21"/>
      <c r="K37" s="21"/>
    </row>
    <row r="38" spans="1:11" ht="16.5" customHeight="1" x14ac:dyDescent="0.25">
      <c r="A38" s="2"/>
      <c r="B38" s="2"/>
      <c r="G38" s="18"/>
      <c r="H38" s="12"/>
      <c r="I38" s="21"/>
      <c r="J38" s="21"/>
      <c r="K38" s="21"/>
    </row>
    <row r="39" spans="1:11" ht="16.5" customHeight="1" x14ac:dyDescent="0.25">
      <c r="A39" s="2"/>
      <c r="B39" s="2"/>
      <c r="G39" s="18"/>
      <c r="H39" s="12"/>
      <c r="I39" s="21"/>
      <c r="J39" s="21"/>
      <c r="K39" s="21"/>
    </row>
    <row r="40" spans="1:11" ht="16.5" customHeight="1" x14ac:dyDescent="0.25">
      <c r="A40" s="2"/>
      <c r="B40" s="2"/>
      <c r="C40" s="1"/>
      <c r="G40" s="18"/>
      <c r="H40" s="12"/>
      <c r="I40" s="21"/>
      <c r="J40" s="21"/>
      <c r="K40" s="21"/>
    </row>
    <row r="41" spans="1:11" ht="16.5" customHeight="1" x14ac:dyDescent="0.25">
      <c r="A41" s="2"/>
      <c r="B41" s="2"/>
      <c r="G41" s="18"/>
      <c r="H41" s="12"/>
      <c r="I41" s="21"/>
      <c r="J41" s="21"/>
      <c r="K41" s="21"/>
    </row>
    <row r="42" spans="1:11" ht="16.5" customHeight="1" x14ac:dyDescent="0.25">
      <c r="A42" s="2"/>
      <c r="B42" s="2"/>
      <c r="G42" s="18"/>
      <c r="H42" s="12"/>
      <c r="I42" s="21"/>
      <c r="J42" s="21"/>
      <c r="K42" s="21"/>
    </row>
    <row r="43" spans="1:11" ht="16.5" customHeight="1" x14ac:dyDescent="0.25">
      <c r="A43" s="2"/>
      <c r="B43" s="2"/>
      <c r="G43" s="18"/>
      <c r="H43" s="12"/>
      <c r="I43" s="21"/>
      <c r="J43" s="21"/>
      <c r="K43" s="21"/>
    </row>
    <row r="44" spans="1:11" ht="16.5" customHeight="1" x14ac:dyDescent="0.25">
      <c r="A44" s="2"/>
      <c r="B44" s="2"/>
      <c r="G44" s="18"/>
      <c r="H44" s="12"/>
      <c r="I44" s="21"/>
      <c r="J44" s="21"/>
      <c r="K44" s="21"/>
    </row>
    <row r="45" spans="1:11" ht="16.5" customHeight="1" x14ac:dyDescent="0.25">
      <c r="A45" s="2"/>
      <c r="B45" s="2"/>
      <c r="G45" s="18"/>
      <c r="H45" s="12"/>
      <c r="I45" s="21"/>
      <c r="J45" s="21"/>
      <c r="K45" s="21"/>
    </row>
    <row r="46" spans="1:11" ht="16.5" customHeight="1" x14ac:dyDescent="0.25">
      <c r="A46" s="2"/>
      <c r="B46" s="2"/>
      <c r="G46" s="18"/>
      <c r="H46" s="12"/>
      <c r="I46" s="21"/>
      <c r="J46" s="21"/>
      <c r="K46" s="21"/>
    </row>
    <row r="47" spans="1:11" ht="16.5" customHeight="1" x14ac:dyDescent="0.25">
      <c r="A47" s="2"/>
      <c r="B47" s="2"/>
      <c r="G47" s="18"/>
      <c r="H47" s="12"/>
      <c r="I47" s="21"/>
      <c r="J47" s="21"/>
      <c r="K47" s="21"/>
    </row>
    <row r="48" spans="1:11" ht="16.5" customHeight="1" x14ac:dyDescent="0.25">
      <c r="A48" s="2"/>
      <c r="B48" s="2"/>
      <c r="G48" s="18"/>
      <c r="H48" s="12"/>
      <c r="I48" s="21"/>
      <c r="J48" s="21"/>
      <c r="K48" s="21"/>
    </row>
    <row r="49" spans="1:11" ht="16.5" customHeight="1" x14ac:dyDescent="0.25">
      <c r="A49" s="2"/>
      <c r="B49" s="2"/>
      <c r="G49" s="18"/>
      <c r="H49" s="12"/>
      <c r="I49" s="21"/>
      <c r="J49" s="21"/>
      <c r="K49" s="21"/>
    </row>
    <row r="50" spans="1:11" ht="16.5" customHeight="1" x14ac:dyDescent="0.25">
      <c r="A50" s="2"/>
      <c r="B50" s="2"/>
      <c r="G50" s="18"/>
      <c r="H50" s="12"/>
      <c r="I50" s="21"/>
      <c r="J50" s="21"/>
      <c r="K50" s="21"/>
    </row>
    <row r="51" spans="1:11" ht="16.5" customHeight="1" x14ac:dyDescent="0.25">
      <c r="A51" s="2"/>
      <c r="B51" s="2"/>
      <c r="G51" s="18"/>
      <c r="H51" s="12"/>
      <c r="I51" s="21"/>
      <c r="J51" s="21"/>
      <c r="K51" s="21"/>
    </row>
    <row r="52" spans="1:11" ht="16.5" customHeight="1" x14ac:dyDescent="0.25">
      <c r="A52" s="2"/>
      <c r="B52" s="2"/>
      <c r="G52" s="18"/>
      <c r="H52" s="12"/>
      <c r="I52" s="21"/>
      <c r="J52" s="21"/>
      <c r="K52" s="21"/>
    </row>
    <row r="53" spans="1:11" ht="16.5" customHeight="1" x14ac:dyDescent="0.25">
      <c r="A53" s="2"/>
      <c r="B53" s="2"/>
      <c r="G53" s="18"/>
      <c r="H53" s="12"/>
      <c r="I53" s="21"/>
      <c r="J53" s="21"/>
      <c r="K53" s="21"/>
    </row>
    <row r="54" spans="1:11" ht="16.5" customHeight="1" x14ac:dyDescent="0.25">
      <c r="A54" s="2"/>
      <c r="B54" s="2"/>
      <c r="C54" s="1"/>
      <c r="G54" s="18"/>
      <c r="H54" s="12"/>
      <c r="I54" s="21"/>
      <c r="J54" s="21"/>
      <c r="K54" s="21"/>
    </row>
    <row r="55" spans="1:11" ht="16.5" customHeight="1" x14ac:dyDescent="0.25">
      <c r="A55" s="2"/>
      <c r="B55" s="2"/>
      <c r="C55" s="1"/>
      <c r="G55" s="18"/>
      <c r="H55" s="12"/>
      <c r="I55" s="21"/>
      <c r="J55" s="21"/>
      <c r="K55" s="21"/>
    </row>
    <row r="56" spans="1:11" ht="16.5" customHeight="1" x14ac:dyDescent="0.25">
      <c r="A56" s="2"/>
      <c r="B56" s="2"/>
      <c r="G56" s="18"/>
      <c r="H56" s="12"/>
      <c r="I56" s="21"/>
      <c r="J56" s="21"/>
      <c r="K56" s="21"/>
    </row>
    <row r="57" spans="1:11" ht="16.5" customHeight="1" x14ac:dyDescent="0.25">
      <c r="A57" s="2"/>
      <c r="B57" s="2"/>
      <c r="G57" s="18"/>
      <c r="H57" s="12"/>
      <c r="I57" s="21"/>
      <c r="J57" s="21"/>
      <c r="K57" s="21"/>
    </row>
    <row r="58" spans="1:11" ht="16.5" customHeight="1" x14ac:dyDescent="0.25">
      <c r="A58" s="2"/>
      <c r="B58" s="2"/>
      <c r="G58" s="18"/>
      <c r="H58" s="12"/>
      <c r="I58" s="21"/>
      <c r="J58" s="21"/>
      <c r="K58" s="21"/>
    </row>
    <row r="59" spans="1:11" ht="16.5" customHeight="1" x14ac:dyDescent="0.25">
      <c r="A59" s="2"/>
      <c r="B59" s="2"/>
      <c r="G59" s="18"/>
      <c r="H59" s="12"/>
      <c r="I59" s="21"/>
      <c r="J59" s="21"/>
      <c r="K59" s="21"/>
    </row>
    <row r="60" spans="1:11" ht="16.5" customHeight="1" x14ac:dyDescent="0.25">
      <c r="A60" s="2"/>
      <c r="B60" s="2"/>
      <c r="G60" s="18"/>
      <c r="H60" s="12"/>
      <c r="I60" s="21"/>
      <c r="J60" s="21"/>
      <c r="K60" s="21"/>
    </row>
    <row r="61" spans="1:11" ht="16.5" customHeight="1" x14ac:dyDescent="0.25">
      <c r="A61" s="2"/>
      <c r="B61" s="2"/>
      <c r="C61" s="1"/>
      <c r="G61" s="18"/>
      <c r="H61" s="12"/>
      <c r="I61" s="21"/>
      <c r="J61" s="21"/>
      <c r="K61" s="21"/>
    </row>
    <row r="62" spans="1:11" ht="16.5" customHeight="1" x14ac:dyDescent="0.25">
      <c r="A62" s="2"/>
      <c r="B62" s="2"/>
      <c r="G62" s="18"/>
      <c r="H62" s="12"/>
      <c r="I62" s="21"/>
      <c r="J62" s="21"/>
      <c r="K62" s="21"/>
    </row>
    <row r="63" spans="1:11" ht="16.5" customHeight="1" x14ac:dyDescent="0.25">
      <c r="A63" s="2"/>
      <c r="B63" s="2"/>
      <c r="G63" s="18"/>
      <c r="H63" s="12"/>
      <c r="I63" s="21"/>
      <c r="J63" s="21"/>
      <c r="K63" s="21"/>
    </row>
    <row r="64" spans="1:11" ht="16.5" customHeight="1" x14ac:dyDescent="0.25">
      <c r="A64" s="2"/>
      <c r="B64" s="2"/>
      <c r="G64" s="18"/>
      <c r="H64" s="12"/>
      <c r="I64" s="21"/>
      <c r="J64" s="21"/>
      <c r="K64" s="21"/>
    </row>
    <row r="65" spans="1:11" ht="16.5" customHeight="1" x14ac:dyDescent="0.25">
      <c r="A65" s="2"/>
      <c r="B65" s="2"/>
      <c r="G65" s="18"/>
      <c r="H65" s="12"/>
      <c r="I65" s="21"/>
      <c r="J65" s="21"/>
      <c r="K65" s="21"/>
    </row>
    <row r="66" spans="1:11" ht="16.5" customHeight="1" x14ac:dyDescent="0.25">
      <c r="A66" s="2"/>
      <c r="B66" s="2"/>
      <c r="G66" s="18"/>
      <c r="H66" s="12"/>
      <c r="I66" s="21"/>
      <c r="J66" s="21"/>
      <c r="K66" s="21"/>
    </row>
    <row r="67" spans="1:11" ht="16.5" customHeight="1" x14ac:dyDescent="0.25">
      <c r="A67" s="2"/>
      <c r="B67" s="2"/>
      <c r="G67" s="18"/>
      <c r="H67" s="12"/>
      <c r="I67" s="21"/>
      <c r="J67" s="21"/>
      <c r="K67" s="21"/>
    </row>
    <row r="68" spans="1:11" ht="16.5" customHeight="1" x14ac:dyDescent="0.25">
      <c r="A68" s="2"/>
      <c r="B68" s="2"/>
      <c r="G68" s="18"/>
      <c r="H68" s="12"/>
      <c r="I68" s="21"/>
      <c r="J68" s="21"/>
      <c r="K68" s="21"/>
    </row>
    <row r="69" spans="1:11" ht="16.5" customHeight="1" x14ac:dyDescent="0.25">
      <c r="A69" s="2"/>
      <c r="B69" s="2"/>
      <c r="G69" s="18"/>
      <c r="H69" s="12"/>
      <c r="I69" s="21"/>
      <c r="J69" s="21"/>
      <c r="K69" s="21"/>
    </row>
    <row r="70" spans="1:11" ht="16.5" customHeight="1" x14ac:dyDescent="0.25">
      <c r="A70" s="2"/>
      <c r="B70" s="2"/>
      <c r="G70" s="18"/>
      <c r="H70" s="12"/>
      <c r="I70" s="21"/>
      <c r="J70" s="21"/>
      <c r="K70" s="21"/>
    </row>
    <row r="71" spans="1:11" ht="16.5" customHeight="1" x14ac:dyDescent="0.25">
      <c r="A71" s="2"/>
      <c r="B71" s="2"/>
      <c r="G71" s="18"/>
      <c r="H71" s="12"/>
      <c r="I71" s="21"/>
      <c r="J71" s="21"/>
      <c r="K71" s="21"/>
    </row>
    <row r="72" spans="1:11" ht="16.5" customHeight="1" x14ac:dyDescent="0.25">
      <c r="A72" s="2"/>
      <c r="B72" s="2"/>
      <c r="G72" s="18"/>
      <c r="H72" s="12"/>
      <c r="I72" s="21"/>
      <c r="J72" s="21"/>
      <c r="K72" s="21"/>
    </row>
    <row r="73" spans="1:11" ht="16.5" customHeight="1" x14ac:dyDescent="0.25">
      <c r="A73" s="2"/>
      <c r="B73" s="2"/>
      <c r="G73" s="18"/>
      <c r="H73" s="12"/>
      <c r="I73" s="21"/>
      <c r="J73" s="21"/>
      <c r="K73" s="21"/>
    </row>
    <row r="74" spans="1:11" ht="16.5" customHeight="1" x14ac:dyDescent="0.25">
      <c r="A74" s="2"/>
      <c r="B74" s="2"/>
      <c r="F74" s="1"/>
      <c r="G74" s="18"/>
      <c r="H74" s="12"/>
      <c r="I74" s="21"/>
      <c r="J74" s="21"/>
      <c r="K74" s="21"/>
    </row>
    <row r="75" spans="1:11" ht="16.5" customHeight="1" x14ac:dyDescent="0.25">
      <c r="A75" s="2"/>
      <c r="B75" s="2"/>
      <c r="G75" s="18"/>
      <c r="H75" s="12"/>
      <c r="I75" s="21"/>
      <c r="J75" s="21"/>
      <c r="K75" s="21"/>
    </row>
    <row r="76" spans="1:11" ht="16.5" customHeight="1" x14ac:dyDescent="0.25">
      <c r="A76" s="2"/>
      <c r="B76" s="2"/>
      <c r="G76" s="18"/>
      <c r="H76" s="12"/>
      <c r="I76" s="21"/>
      <c r="J76" s="21"/>
      <c r="K76" s="21"/>
    </row>
    <row r="77" spans="1:11" ht="16.5" customHeight="1" x14ac:dyDescent="0.25">
      <c r="A77" s="2"/>
      <c r="B77" s="2"/>
      <c r="G77" s="18"/>
      <c r="H77" s="12"/>
      <c r="I77" s="21"/>
      <c r="J77" s="21"/>
      <c r="K77" s="21"/>
    </row>
    <row r="78" spans="1:11" ht="16.5" customHeight="1" x14ac:dyDescent="0.25">
      <c r="A78" s="2"/>
      <c r="B78" s="2"/>
      <c r="G78" s="18"/>
      <c r="H78" s="12"/>
      <c r="I78" s="21"/>
      <c r="J78" s="21"/>
      <c r="K78" s="21"/>
    </row>
    <row r="79" spans="1:11" ht="16.5" customHeight="1" x14ac:dyDescent="0.25">
      <c r="A79" s="2"/>
      <c r="B79" s="2"/>
      <c r="G79" s="18"/>
      <c r="H79" s="12"/>
      <c r="I79" s="21"/>
      <c r="J79" s="21"/>
      <c r="K79" s="21"/>
    </row>
    <row r="80" spans="1:11" ht="16.5" customHeight="1" x14ac:dyDescent="0.25">
      <c r="A80" s="2"/>
      <c r="B80" s="2"/>
      <c r="C80" s="1"/>
      <c r="G80" s="18"/>
      <c r="H80" s="12"/>
      <c r="I80" s="21"/>
      <c r="J80" s="21"/>
      <c r="K80" s="21"/>
    </row>
    <row r="81" spans="1:11" ht="16.5" customHeight="1" x14ac:dyDescent="0.25">
      <c r="A81" s="2"/>
      <c r="B81" s="2"/>
      <c r="G81" s="12"/>
      <c r="H81" s="12"/>
      <c r="I81" s="21"/>
      <c r="J81" s="21"/>
      <c r="K81" s="21"/>
    </row>
    <row r="82" spans="1:11" ht="16.5" customHeight="1" x14ac:dyDescent="0.25">
      <c r="A82" s="2"/>
      <c r="B82" s="2"/>
      <c r="G82" s="12"/>
      <c r="H82" s="12"/>
      <c r="I82" s="21"/>
      <c r="J82" s="21"/>
      <c r="K82" s="21"/>
    </row>
    <row r="83" spans="1:11" ht="16.5" customHeight="1" x14ac:dyDescent="0.25">
      <c r="A83" s="2"/>
      <c r="B83" s="2"/>
      <c r="G83" s="12"/>
      <c r="H83" s="12"/>
      <c r="I83" s="21"/>
      <c r="J83" s="21"/>
      <c r="K83" s="21"/>
    </row>
    <row r="84" spans="1:11" ht="16.5" customHeight="1" x14ac:dyDescent="0.25">
      <c r="A84" s="2"/>
      <c r="B84" s="2"/>
      <c r="C84" s="1"/>
      <c r="G84" s="12"/>
      <c r="H84" s="12"/>
      <c r="I84" s="21"/>
      <c r="J84" s="21"/>
      <c r="K84" s="21"/>
    </row>
    <row r="85" spans="1:11" ht="16.5" customHeight="1" x14ac:dyDescent="0.25">
      <c r="A85" s="2"/>
      <c r="B85" s="2"/>
      <c r="G85" s="12"/>
      <c r="H85" s="12"/>
      <c r="I85" s="21"/>
      <c r="J85" s="21"/>
      <c r="K85" s="21"/>
    </row>
    <row r="86" spans="1:11" ht="16.5" customHeight="1" x14ac:dyDescent="0.25">
      <c r="A86" s="2"/>
      <c r="B86" s="2"/>
      <c r="C86" s="1"/>
      <c r="G86" s="12"/>
      <c r="H86" s="12"/>
      <c r="I86" s="21"/>
      <c r="J86" s="21"/>
      <c r="K86" s="21"/>
    </row>
    <row r="87" spans="1:11" ht="16.5" customHeight="1" x14ac:dyDescent="0.25">
      <c r="A87"/>
      <c r="B87" s="2"/>
      <c r="G87" s="12"/>
      <c r="H87" s="12"/>
      <c r="I87" s="21"/>
      <c r="J87" s="21"/>
      <c r="K87" s="21"/>
    </row>
    <row r="88" spans="1:11" ht="16.5" customHeight="1" x14ac:dyDescent="0.25">
      <c r="A88"/>
      <c r="B88" s="2"/>
      <c r="G88" s="12"/>
      <c r="H88" s="12"/>
      <c r="I88" s="21"/>
      <c r="J88" s="21"/>
      <c r="K88" s="21"/>
    </row>
    <row r="89" spans="1:11" ht="16.5" customHeight="1" x14ac:dyDescent="0.25">
      <c r="A89"/>
      <c r="B89" s="2"/>
      <c r="G89" s="12"/>
      <c r="H89" s="12"/>
      <c r="I89" s="21"/>
      <c r="J89" s="21"/>
      <c r="K89" s="21"/>
    </row>
    <row r="90" spans="1:11" ht="16.5" customHeight="1" x14ac:dyDescent="0.25">
      <c r="A90"/>
      <c r="B90" s="2"/>
      <c r="G90" s="12"/>
      <c r="H90" s="12"/>
      <c r="I90" s="21"/>
      <c r="J90" s="21"/>
      <c r="K90" s="21"/>
    </row>
    <row r="91" spans="1:11" ht="15.75" customHeight="1" x14ac:dyDescent="0.25">
      <c r="A91"/>
      <c r="B91" s="2"/>
      <c r="C91" s="1"/>
      <c r="G91" s="12"/>
      <c r="H91" s="12"/>
      <c r="I91" s="21"/>
      <c r="J91" s="21"/>
      <c r="K91" s="21"/>
    </row>
    <row r="92" spans="1:11" ht="16.5" customHeight="1" x14ac:dyDescent="0.25">
      <c r="A92"/>
      <c r="B92" s="2"/>
      <c r="G92" s="12"/>
      <c r="H92" s="12"/>
      <c r="I92" s="21"/>
      <c r="J92" s="21"/>
      <c r="K92" s="21"/>
    </row>
    <row r="93" spans="1:11" ht="16.5" customHeight="1" x14ac:dyDescent="0.25">
      <c r="A93"/>
      <c r="B93" s="2"/>
      <c r="G93" s="12"/>
      <c r="H93" s="12"/>
      <c r="I93" s="21"/>
      <c r="J93" s="21"/>
      <c r="K93" s="21"/>
    </row>
    <row r="94" spans="1:11" ht="16.5" customHeight="1" x14ac:dyDescent="0.25">
      <c r="A94" s="2"/>
      <c r="B94" s="2"/>
      <c r="G94" s="12"/>
      <c r="H94" s="12"/>
      <c r="I94" s="21"/>
      <c r="J94" s="21"/>
      <c r="K94" s="21"/>
    </row>
    <row r="95" spans="1:11" ht="16.5" customHeight="1" x14ac:dyDescent="0.25">
      <c r="A95" s="2"/>
      <c r="B95" s="2"/>
      <c r="G95" s="12"/>
      <c r="H95" s="12"/>
      <c r="I95" s="21"/>
      <c r="J95" s="21"/>
      <c r="K95" s="21"/>
    </row>
    <row r="96" spans="1:11" ht="16.5" customHeight="1" x14ac:dyDescent="0.25">
      <c r="A96" s="2"/>
      <c r="B96" s="2"/>
      <c r="G96" s="12"/>
      <c r="H96" s="12"/>
      <c r="I96" s="21"/>
      <c r="J96" s="21"/>
      <c r="K96" s="21"/>
    </row>
    <row r="97" spans="1:11" ht="16.5" customHeight="1" x14ac:dyDescent="0.25">
      <c r="A97" s="2"/>
      <c r="B97" s="2"/>
      <c r="G97" s="12"/>
      <c r="H97" s="12"/>
      <c r="I97" s="21"/>
      <c r="J97" s="21"/>
      <c r="K97" s="21"/>
    </row>
    <row r="98" spans="1:11" ht="16.5" customHeight="1" x14ac:dyDescent="0.25">
      <c r="A98" s="2"/>
      <c r="B98" s="2"/>
      <c r="G98" s="12"/>
      <c r="H98" s="12"/>
      <c r="I98" s="21"/>
      <c r="J98" s="21"/>
      <c r="K98" s="21"/>
    </row>
    <row r="99" spans="1:11" ht="16.5" customHeight="1" x14ac:dyDescent="0.25">
      <c r="A99" s="2"/>
      <c r="B99" s="2"/>
      <c r="G99" s="12"/>
      <c r="H99" s="12"/>
      <c r="I99" s="21"/>
      <c r="J99" s="21"/>
      <c r="K99" s="21"/>
    </row>
    <row r="100" spans="1:11" ht="16.5" customHeight="1" x14ac:dyDescent="0.25">
      <c r="A100" s="2"/>
      <c r="B100" s="2"/>
      <c r="G100" s="12"/>
      <c r="H100" s="12"/>
      <c r="I100" s="21"/>
      <c r="J100" s="21"/>
      <c r="K100" s="21"/>
    </row>
    <row r="101" spans="1:11" ht="16.5" customHeight="1" x14ac:dyDescent="0.25">
      <c r="A101" s="2"/>
      <c r="B101" s="2"/>
      <c r="F101" s="1"/>
      <c r="G101" s="12"/>
      <c r="H101" s="12"/>
      <c r="I101" s="21"/>
      <c r="J101" s="21"/>
      <c r="K101" s="21"/>
    </row>
    <row r="102" spans="1:11" ht="16.5" customHeight="1" x14ac:dyDescent="0.25">
      <c r="A102" s="2"/>
      <c r="B102" s="2"/>
      <c r="G102" s="12"/>
      <c r="H102" s="12"/>
      <c r="I102" s="21"/>
      <c r="J102" s="21"/>
      <c r="K102" s="21"/>
    </row>
    <row r="103" spans="1:11" ht="16.5" customHeight="1" x14ac:dyDescent="0.25">
      <c r="A103" s="2"/>
      <c r="B103" s="2"/>
      <c r="G103" s="12"/>
      <c r="H103" s="12"/>
      <c r="I103" s="21"/>
      <c r="J103" s="21"/>
      <c r="K103" s="21"/>
    </row>
    <row r="104" spans="1:11" ht="16.5" customHeight="1" x14ac:dyDescent="0.25">
      <c r="A104" s="2"/>
      <c r="B104" s="2"/>
      <c r="G104" s="12"/>
      <c r="H104" s="12"/>
      <c r="I104" s="21"/>
      <c r="J104" s="21"/>
      <c r="K104" s="21"/>
    </row>
    <row r="105" spans="1:11" ht="16.5" customHeight="1" x14ac:dyDescent="0.25">
      <c r="B105" s="2"/>
      <c r="G105" s="12"/>
      <c r="H105" s="12"/>
      <c r="I105" s="21"/>
      <c r="J105" s="21"/>
      <c r="K105" s="21"/>
    </row>
    <row r="106" spans="1:11" ht="16.5" customHeight="1" x14ac:dyDescent="0.25">
      <c r="B106" s="2"/>
      <c r="G106" s="12"/>
      <c r="H106" s="12"/>
      <c r="I106" s="21"/>
      <c r="J106" s="21"/>
      <c r="K106" s="21"/>
    </row>
    <row r="107" spans="1:11" ht="16.5" customHeight="1" x14ac:dyDescent="0.25">
      <c r="B107" s="2"/>
      <c r="G107" s="12"/>
      <c r="H107" s="12"/>
      <c r="I107" s="21"/>
      <c r="J107" s="21"/>
      <c r="K107" s="21"/>
    </row>
    <row r="108" spans="1:11" ht="16.5" customHeight="1" x14ac:dyDescent="0.25">
      <c r="B108" s="2"/>
      <c r="F108" s="1"/>
      <c r="G108" s="12"/>
      <c r="H108" s="12"/>
      <c r="I108" s="21"/>
      <c r="J108" s="21"/>
      <c r="K108" s="21"/>
    </row>
    <row r="109" spans="1:11" ht="16.5" customHeight="1" x14ac:dyDescent="0.25">
      <c r="B109" s="2"/>
      <c r="G109" s="12"/>
      <c r="H109" s="12"/>
      <c r="I109" s="21"/>
      <c r="J109" s="21"/>
      <c r="K109" s="21"/>
    </row>
    <row r="110" spans="1:11" ht="16.5" customHeight="1" x14ac:dyDescent="0.25">
      <c r="B110" s="2"/>
      <c r="G110" s="12"/>
      <c r="H110" s="12"/>
      <c r="I110" s="21"/>
      <c r="J110" s="21"/>
      <c r="K110" s="21"/>
    </row>
    <row r="111" spans="1:11" ht="16.5" customHeight="1" x14ac:dyDescent="0.25">
      <c r="B111" s="2"/>
      <c r="F111" s="1"/>
      <c r="G111" s="12"/>
      <c r="H111" s="12"/>
      <c r="I111" s="21"/>
      <c r="J111" s="21"/>
      <c r="K111" s="21"/>
    </row>
    <row r="112" spans="1:11" ht="16.5" customHeight="1" x14ac:dyDescent="0.25">
      <c r="B112" s="2"/>
      <c r="G112" s="12"/>
      <c r="H112" s="12"/>
      <c r="I112" s="21"/>
      <c r="J112" s="21"/>
      <c r="K112" s="21"/>
    </row>
    <row r="113" spans="2:11" ht="16.5" customHeight="1" x14ac:dyDescent="0.25">
      <c r="B113" s="2"/>
      <c r="F113" s="1"/>
      <c r="G113" s="12"/>
      <c r="H113" s="12"/>
      <c r="I113" s="21"/>
      <c r="J113" s="21"/>
      <c r="K113" s="21"/>
    </row>
    <row r="114" spans="2:11" ht="16.5" customHeight="1" x14ac:dyDescent="0.25">
      <c r="B114" s="2"/>
      <c r="G114" s="12"/>
      <c r="H114" s="12"/>
      <c r="I114" s="21"/>
      <c r="J114" s="21"/>
      <c r="K114" s="21"/>
    </row>
    <row r="115" spans="2:11" ht="16.5" customHeight="1" x14ac:dyDescent="0.25">
      <c r="B115" s="2"/>
      <c r="G115" s="12"/>
      <c r="H115" s="12"/>
      <c r="I115" s="21"/>
      <c r="J115" s="21"/>
      <c r="K115" s="21"/>
    </row>
    <row r="116" spans="2:11" ht="16.5" customHeight="1" x14ac:dyDescent="0.25">
      <c r="B116" s="2"/>
      <c r="G116" s="12"/>
      <c r="H116" s="12"/>
      <c r="I116" s="21"/>
      <c r="J116" s="21"/>
      <c r="K116" s="21"/>
    </row>
    <row r="117" spans="2:11" ht="16.5" customHeight="1" x14ac:dyDescent="0.25">
      <c r="B117" s="2"/>
      <c r="F117" s="1"/>
      <c r="G117" s="12"/>
      <c r="H117" s="12"/>
      <c r="I117" s="21"/>
      <c r="J117" s="21"/>
      <c r="K117" s="21"/>
    </row>
    <row r="118" spans="2:11" ht="16.5" customHeight="1" x14ac:dyDescent="0.25">
      <c r="B118" s="2"/>
      <c r="F118" s="1"/>
      <c r="G118" s="12"/>
      <c r="H118" s="12"/>
      <c r="I118" s="21"/>
      <c r="J118" s="21"/>
      <c r="K118" s="21"/>
    </row>
    <row r="119" spans="2:11" ht="16.5" customHeight="1" x14ac:dyDescent="0.25">
      <c r="B119" s="2"/>
      <c r="F119" s="1"/>
      <c r="G119" s="12"/>
      <c r="H119" s="12"/>
      <c r="I119" s="21"/>
      <c r="J119" s="21"/>
      <c r="K119" s="21"/>
    </row>
    <row r="120" spans="2:11" ht="16.5" customHeight="1" x14ac:dyDescent="0.25">
      <c r="B120" s="2"/>
      <c r="F120" s="1"/>
      <c r="G120" s="12"/>
      <c r="H120" s="12"/>
      <c r="I120" s="21"/>
      <c r="J120" s="21"/>
      <c r="K120" s="21"/>
    </row>
    <row r="121" spans="2:11" ht="16.5" customHeight="1" x14ac:dyDescent="0.25">
      <c r="B121" s="2"/>
      <c r="G121" s="12"/>
      <c r="H121" s="12"/>
      <c r="I121" s="21"/>
      <c r="J121" s="21"/>
      <c r="K121" s="21"/>
    </row>
    <row r="122" spans="2:11" ht="16.5" customHeight="1" x14ac:dyDescent="0.25">
      <c r="B122" s="2"/>
      <c r="F122" s="1"/>
      <c r="G122" s="12"/>
      <c r="H122" s="12"/>
      <c r="I122" s="21"/>
      <c r="J122" s="21"/>
      <c r="K122" s="21"/>
    </row>
    <row r="123" spans="2:11" ht="16.5" customHeight="1" x14ac:dyDescent="0.25">
      <c r="B123" s="2"/>
      <c r="F123" s="1"/>
      <c r="G123" s="12"/>
      <c r="H123" s="12"/>
      <c r="I123" s="21"/>
      <c r="J123" s="21"/>
      <c r="K123" s="21"/>
    </row>
    <row r="124" spans="2:11" ht="16.5" customHeight="1" x14ac:dyDescent="0.25">
      <c r="B124" s="2"/>
      <c r="F124" s="1"/>
      <c r="G124" s="12"/>
      <c r="H124" s="12"/>
      <c r="I124" s="21"/>
      <c r="J124" s="21"/>
      <c r="K124" s="21"/>
    </row>
    <row r="125" spans="2:11" ht="16.5" customHeight="1" x14ac:dyDescent="0.25">
      <c r="B125" s="2"/>
      <c r="F125" s="1"/>
      <c r="G125" s="12"/>
      <c r="H125" s="12"/>
      <c r="I125" s="21"/>
      <c r="J125" s="21"/>
      <c r="K125" s="21"/>
    </row>
    <row r="126" spans="2:11" ht="16.5" customHeight="1" x14ac:dyDescent="0.25">
      <c r="B126" s="2"/>
      <c r="G126" s="12"/>
      <c r="H126" s="12"/>
      <c r="I126" s="21"/>
      <c r="J126" s="21"/>
      <c r="K126" s="21"/>
    </row>
    <row r="127" spans="2:11" ht="16.5" customHeight="1" x14ac:dyDescent="0.25">
      <c r="B127" s="2"/>
      <c r="G127" s="12"/>
      <c r="H127" s="12"/>
      <c r="I127" s="21"/>
      <c r="J127" s="21"/>
      <c r="K127" s="21"/>
    </row>
    <row r="128" spans="2:11" ht="16.5" customHeight="1" x14ac:dyDescent="0.25">
      <c r="B128" s="2"/>
      <c r="F128" s="1"/>
      <c r="G128" s="12"/>
      <c r="H128" s="12"/>
      <c r="I128" s="21"/>
      <c r="J128" s="21"/>
      <c r="K128" s="21"/>
    </row>
    <row r="129" spans="2:11" ht="16.5" customHeight="1" x14ac:dyDescent="0.25">
      <c r="B129" s="2"/>
      <c r="G129" s="12"/>
      <c r="H129" s="12"/>
      <c r="I129" s="21"/>
      <c r="J129" s="21"/>
      <c r="K129" s="21"/>
    </row>
    <row r="130" spans="2:11" ht="16.5" customHeight="1" x14ac:dyDescent="0.25">
      <c r="B130" s="2"/>
      <c r="G130" s="12"/>
      <c r="H130" s="12"/>
      <c r="I130" s="21"/>
      <c r="J130" s="21"/>
      <c r="K130" s="21"/>
    </row>
    <row r="131" spans="2:11" ht="16.5" customHeight="1" x14ac:dyDescent="0.25">
      <c r="B131" s="2"/>
      <c r="G131" s="12"/>
      <c r="H131" s="12"/>
      <c r="I131" s="21"/>
      <c r="J131" s="21"/>
      <c r="K131" s="21"/>
    </row>
    <row r="132" spans="2:11" ht="16.5" customHeight="1" x14ac:dyDescent="0.25">
      <c r="B132" s="2"/>
      <c r="G132" s="12"/>
      <c r="H132" s="12"/>
      <c r="I132" s="21"/>
      <c r="J132" s="21"/>
      <c r="K132" s="21"/>
    </row>
    <row r="133" spans="2:11" ht="16.5" customHeight="1" x14ac:dyDescent="0.25">
      <c r="B133" s="2"/>
      <c r="G133" s="12"/>
      <c r="H133" s="12"/>
      <c r="I133" s="21"/>
      <c r="J133" s="21"/>
      <c r="K133" s="21"/>
    </row>
    <row r="134" spans="2:11" ht="16.5" customHeight="1" x14ac:dyDescent="0.25">
      <c r="B134" s="2"/>
      <c r="G134" s="12"/>
      <c r="H134" s="12"/>
      <c r="I134" s="21"/>
      <c r="J134" s="21"/>
      <c r="K134" s="21"/>
    </row>
    <row r="135" spans="2:11" ht="16.5" customHeight="1" x14ac:dyDescent="0.25">
      <c r="B135" s="2"/>
      <c r="G135" s="12"/>
      <c r="H135" s="12"/>
      <c r="I135" s="21"/>
      <c r="J135" s="21"/>
      <c r="K135" s="21"/>
    </row>
    <row r="136" spans="2:11" ht="16.5" customHeight="1" x14ac:dyDescent="0.25">
      <c r="B136" s="2"/>
      <c r="G136" s="12"/>
      <c r="H136" s="12"/>
      <c r="I136" s="21"/>
      <c r="J136" s="21"/>
      <c r="K136" s="21"/>
    </row>
    <row r="137" spans="2:11" ht="16.5" customHeight="1" x14ac:dyDescent="0.25">
      <c r="B137" s="2"/>
      <c r="G137" s="12"/>
      <c r="H137" s="12"/>
      <c r="I137" s="21"/>
      <c r="J137" s="21"/>
      <c r="K137" s="21"/>
    </row>
    <row r="138" spans="2:11" ht="16.5" customHeight="1" x14ac:dyDescent="0.25">
      <c r="B138" s="2"/>
      <c r="G138" s="12"/>
      <c r="H138" s="12"/>
      <c r="I138" s="21"/>
      <c r="J138" s="21"/>
      <c r="K138" s="21"/>
    </row>
    <row r="139" spans="2:11" ht="16.5" customHeight="1" x14ac:dyDescent="0.25">
      <c r="B139" s="2"/>
      <c r="G139" s="12"/>
      <c r="H139" s="12"/>
      <c r="I139" s="21"/>
      <c r="J139" s="21"/>
      <c r="K139" s="21"/>
    </row>
    <row r="140" spans="2:11" ht="16.5" customHeight="1" x14ac:dyDescent="0.25">
      <c r="B140" s="2"/>
      <c r="G140" s="12"/>
      <c r="H140" s="12"/>
      <c r="I140" s="21"/>
      <c r="J140" s="21"/>
      <c r="K140" s="21"/>
    </row>
    <row r="141" spans="2:11" ht="16.5" customHeight="1" x14ac:dyDescent="0.25">
      <c r="B141" s="2"/>
      <c r="G141" s="12"/>
      <c r="H141" s="12"/>
      <c r="I141" s="21"/>
      <c r="J141" s="21"/>
      <c r="K141" s="21"/>
    </row>
    <row r="142" spans="2:11" ht="16.5" customHeight="1" x14ac:dyDescent="0.25">
      <c r="B142" s="2"/>
      <c r="F142" s="1"/>
      <c r="G142" s="12"/>
      <c r="H142" s="12"/>
      <c r="I142" s="21"/>
      <c r="J142" s="21"/>
      <c r="K142" s="21"/>
    </row>
    <row r="143" spans="2:11" ht="16.5" customHeight="1" x14ac:dyDescent="0.25">
      <c r="B143" s="2"/>
      <c r="F143" s="1"/>
      <c r="G143" s="12"/>
      <c r="H143" s="12"/>
      <c r="I143" s="21"/>
      <c r="J143" s="21"/>
      <c r="K143" s="21"/>
    </row>
    <row r="144" spans="2:11" ht="16.5" customHeight="1" x14ac:dyDescent="0.25">
      <c r="B144" s="2"/>
      <c r="F144" s="1"/>
      <c r="G144" s="12"/>
      <c r="H144" s="12"/>
      <c r="I144" s="21"/>
      <c r="J144" s="21"/>
      <c r="K144" s="21"/>
    </row>
    <row r="145" spans="1:11" ht="16.5" customHeight="1" x14ac:dyDescent="0.25">
      <c r="B145" s="2"/>
      <c r="C145" s="1"/>
      <c r="F145" s="1"/>
      <c r="G145" s="12"/>
      <c r="H145" s="12"/>
      <c r="I145" s="21"/>
      <c r="J145" s="21"/>
      <c r="K145" s="21"/>
    </row>
    <row r="146" spans="1:11" ht="16.5" customHeight="1" x14ac:dyDescent="0.25">
      <c r="B146" s="2"/>
      <c r="C146" s="1"/>
      <c r="F146" s="1"/>
      <c r="G146" s="12"/>
      <c r="H146" s="12"/>
      <c r="I146" s="21"/>
      <c r="J146" s="21"/>
      <c r="K146" s="21"/>
    </row>
    <row r="147" spans="1:11" ht="16.5" customHeight="1" x14ac:dyDescent="0.25">
      <c r="B147" s="2"/>
      <c r="C147" s="1"/>
      <c r="F147" s="1"/>
      <c r="G147" s="12"/>
      <c r="H147" s="12"/>
      <c r="I147" s="21"/>
      <c r="J147" s="21"/>
      <c r="K147" s="21"/>
    </row>
    <row r="148" spans="1:11" ht="16.5" customHeight="1" x14ac:dyDescent="0.25">
      <c r="B148" s="2"/>
      <c r="F148" s="1"/>
      <c r="G148" s="12"/>
      <c r="H148" s="12"/>
      <c r="I148" s="21"/>
      <c r="J148" s="21"/>
      <c r="K148" s="21"/>
    </row>
    <row r="149" spans="1:11" ht="16.5" customHeight="1" x14ac:dyDescent="0.25">
      <c r="B149" s="2"/>
      <c r="F149" s="1"/>
      <c r="G149" s="12"/>
      <c r="H149" s="12"/>
      <c r="I149" s="21"/>
      <c r="J149" s="21"/>
      <c r="K149" s="21"/>
    </row>
    <row r="150" spans="1:11" ht="16.5" customHeight="1" x14ac:dyDescent="0.25">
      <c r="B150" s="2"/>
      <c r="F150" s="1"/>
      <c r="G150" s="12"/>
      <c r="H150" s="12"/>
      <c r="I150" s="21"/>
      <c r="J150" s="21"/>
      <c r="K150" s="21"/>
    </row>
    <row r="151" spans="1:11" ht="16.5" customHeight="1" x14ac:dyDescent="0.25">
      <c r="B151" s="2"/>
      <c r="F151" s="1"/>
      <c r="G151" s="12"/>
      <c r="H151" s="12"/>
      <c r="I151" s="21"/>
      <c r="J151" s="21"/>
      <c r="K151" s="21"/>
    </row>
    <row r="152" spans="1:11" ht="16.5" customHeight="1" x14ac:dyDescent="0.25">
      <c r="B152" s="2"/>
      <c r="F152" s="1"/>
      <c r="G152" s="12"/>
      <c r="H152" s="12"/>
      <c r="I152" s="21"/>
      <c r="J152" s="21"/>
      <c r="K152" s="21"/>
    </row>
    <row r="153" spans="1:11" ht="16.5" customHeight="1" x14ac:dyDescent="0.25">
      <c r="B153" s="2"/>
      <c r="G153" s="12"/>
      <c r="H153" s="12"/>
      <c r="I153" s="21"/>
      <c r="J153" s="21"/>
      <c r="K153" s="21"/>
    </row>
    <row r="154" spans="1:11" ht="16.5" customHeight="1" x14ac:dyDescent="0.25">
      <c r="B154" s="2"/>
      <c r="G154" s="12"/>
      <c r="H154" s="12"/>
      <c r="I154" s="21"/>
      <c r="J154" s="21"/>
      <c r="K154" s="21"/>
    </row>
    <row r="155" spans="1:11" ht="16.5" customHeight="1" x14ac:dyDescent="0.25">
      <c r="B155" s="2"/>
      <c r="G155" s="12"/>
      <c r="H155" s="12"/>
      <c r="I155" s="21"/>
      <c r="J155" s="21"/>
      <c r="K155" s="21"/>
    </row>
    <row r="156" spans="1:11" ht="16.5" customHeight="1" x14ac:dyDescent="0.25">
      <c r="B156" s="2"/>
      <c r="G156" s="12"/>
      <c r="H156" s="12"/>
      <c r="I156" s="21"/>
      <c r="J156" s="21"/>
      <c r="K156" s="21"/>
    </row>
    <row r="157" spans="1:11" ht="16.5" customHeight="1" x14ac:dyDescent="0.25">
      <c r="B157" s="2"/>
      <c r="F157" s="1"/>
      <c r="G157" s="12"/>
      <c r="H157" s="12"/>
      <c r="I157" s="21"/>
      <c r="J157" s="21"/>
      <c r="K157" s="21"/>
    </row>
    <row r="158" spans="1:11" ht="16.5" customHeight="1" x14ac:dyDescent="0.25">
      <c r="B158" s="2"/>
      <c r="G158" s="12"/>
      <c r="H158" s="12"/>
      <c r="I158" s="21"/>
      <c r="J158" s="21"/>
      <c r="K158" s="21"/>
    </row>
    <row r="159" spans="1:11" ht="16.5" customHeight="1" x14ac:dyDescent="0.25">
      <c r="B159" s="2"/>
      <c r="G159" s="12"/>
      <c r="H159" s="12"/>
      <c r="I159" s="21"/>
      <c r="J159" s="21"/>
      <c r="K159" s="21"/>
    </row>
    <row r="160" spans="1:11" ht="16.5" customHeight="1" x14ac:dyDescent="0.25">
      <c r="A160" s="2"/>
      <c r="B160" s="2"/>
      <c r="G160" s="12"/>
      <c r="I160" s="21"/>
      <c r="J160" s="21"/>
      <c r="K160" s="21"/>
    </row>
    <row r="161" spans="1:11" ht="16.5" customHeight="1" x14ac:dyDescent="0.25">
      <c r="A161" s="2"/>
      <c r="B161" s="2"/>
      <c r="G161" s="12"/>
      <c r="I161" s="21"/>
      <c r="J161" s="21"/>
      <c r="K161" s="21"/>
    </row>
    <row r="162" spans="1:11" ht="16.5" customHeight="1" x14ac:dyDescent="0.25">
      <c r="G162" s="12"/>
      <c r="I162" s="21"/>
      <c r="J162" s="21"/>
      <c r="K162" s="21"/>
    </row>
    <row r="163" spans="1:11" ht="16.5" customHeight="1" x14ac:dyDescent="0.25">
      <c r="G163" s="12"/>
      <c r="I163" s="21"/>
      <c r="J163" s="21"/>
      <c r="K163" s="21"/>
    </row>
    <row r="164" spans="1:11" ht="16.5" customHeight="1" x14ac:dyDescent="0.25">
      <c r="G164" s="12"/>
      <c r="I164" s="21"/>
      <c r="J164" s="21"/>
      <c r="K164" s="21"/>
    </row>
    <row r="165" spans="1:11" ht="16.5" customHeight="1" x14ac:dyDescent="0.25">
      <c r="G165" s="12"/>
      <c r="I165" s="21"/>
      <c r="J165" s="21"/>
      <c r="K165" s="21"/>
    </row>
    <row r="166" spans="1:11" ht="16.5" customHeight="1" x14ac:dyDescent="0.25">
      <c r="I166" s="21"/>
      <c r="J166" s="21"/>
      <c r="K166" s="21"/>
    </row>
    <row r="167" spans="1:11" ht="16.5" customHeight="1" x14ac:dyDescent="0.25">
      <c r="I167" s="21"/>
      <c r="J167" s="21"/>
      <c r="K167" s="21"/>
    </row>
    <row r="168" spans="1:11" ht="16.5" customHeight="1" x14ac:dyDescent="0.25">
      <c r="I168" s="21"/>
      <c r="J168" s="21"/>
      <c r="K168" s="21"/>
    </row>
    <row r="169" spans="1:11" ht="16.5" customHeight="1" x14ac:dyDescent="0.25">
      <c r="I169" s="21"/>
      <c r="J169" s="21"/>
      <c r="K169" s="21"/>
    </row>
    <row r="170" spans="1:11" ht="16.5" customHeight="1" x14ac:dyDescent="0.25">
      <c r="I170" s="21"/>
      <c r="J170" s="21"/>
      <c r="K170" s="21"/>
    </row>
    <row r="171" spans="1:11" ht="16.5" customHeight="1" x14ac:dyDescent="0.25">
      <c r="I171" s="21"/>
      <c r="J171" s="21"/>
      <c r="K171" s="21"/>
    </row>
    <row r="172" spans="1:11" ht="16.5" customHeight="1" x14ac:dyDescent="0.25">
      <c r="I172" s="21"/>
      <c r="J172" s="21"/>
      <c r="K172" s="21"/>
    </row>
    <row r="173" spans="1:11" ht="16.5" customHeight="1" x14ac:dyDescent="0.25">
      <c r="I173" s="21"/>
      <c r="J173" s="21"/>
      <c r="K173" s="21"/>
    </row>
    <row r="174" spans="1:11" ht="16.5" customHeight="1" x14ac:dyDescent="0.25">
      <c r="I174" s="21"/>
      <c r="J174" s="21"/>
      <c r="K174" s="21"/>
    </row>
    <row r="175" spans="1:11" ht="16.5" customHeight="1" x14ac:dyDescent="0.25">
      <c r="I175" s="21"/>
      <c r="J175" s="21"/>
      <c r="K175" s="21"/>
    </row>
    <row r="176" spans="1:11" ht="16.5" customHeight="1" x14ac:dyDescent="0.25">
      <c r="I176" s="21"/>
      <c r="J176" s="21"/>
      <c r="K176" s="21"/>
    </row>
    <row r="177" spans="9:11" ht="16.5" customHeight="1" x14ac:dyDescent="0.25">
      <c r="I177" s="21"/>
      <c r="J177" s="21"/>
      <c r="K177" s="21"/>
    </row>
    <row r="178" spans="9:11" ht="16.5" customHeight="1" x14ac:dyDescent="0.25">
      <c r="I178" s="21"/>
      <c r="J178" s="21"/>
      <c r="K178" s="21"/>
    </row>
    <row r="179" spans="9:11" ht="16.5" customHeight="1" x14ac:dyDescent="0.25">
      <c r="I179" s="21"/>
      <c r="J179" s="21"/>
      <c r="K179" s="21"/>
    </row>
    <row r="180" spans="9:11" ht="16.5" customHeight="1" x14ac:dyDescent="0.25">
      <c r="I180" s="21"/>
      <c r="J180" s="21"/>
      <c r="K180" s="21"/>
    </row>
    <row r="181" spans="9:11" ht="16.5" customHeight="1" x14ac:dyDescent="0.25">
      <c r="I181" s="21"/>
      <c r="J181" s="21"/>
      <c r="K181" s="21"/>
    </row>
    <row r="182" spans="9:11" ht="16.5" customHeight="1" x14ac:dyDescent="0.25">
      <c r="I182" s="21"/>
      <c r="J182" s="21"/>
      <c r="K182" s="21"/>
    </row>
    <row r="183" spans="9:11" ht="16.5" customHeight="1" x14ac:dyDescent="0.25">
      <c r="I183" s="21"/>
      <c r="J183" s="21"/>
      <c r="K183" s="21"/>
    </row>
    <row r="184" spans="9:11" ht="16.5" customHeight="1" x14ac:dyDescent="0.25">
      <c r="I184" s="21"/>
      <c r="J184" s="21"/>
      <c r="K184" s="21"/>
    </row>
    <row r="185" spans="9:11" ht="16.5" customHeight="1" x14ac:dyDescent="0.25">
      <c r="I185" s="21"/>
      <c r="J185" s="21"/>
      <c r="K185" s="21"/>
    </row>
    <row r="186" spans="9:11" ht="16.5" customHeight="1" x14ac:dyDescent="0.25">
      <c r="I186" s="21"/>
      <c r="J186" s="21"/>
      <c r="K186" s="21"/>
    </row>
    <row r="187" spans="9:11" ht="16.5" customHeight="1" x14ac:dyDescent="0.25">
      <c r="I187" s="21"/>
      <c r="J187" s="21"/>
      <c r="K187" s="21"/>
    </row>
    <row r="188" spans="9:11" ht="16.5" customHeight="1" x14ac:dyDescent="0.25">
      <c r="I188" s="21"/>
      <c r="J188" s="21"/>
      <c r="K188" s="21"/>
    </row>
    <row r="189" spans="9:11" ht="16.5" customHeight="1" x14ac:dyDescent="0.25">
      <c r="I189" s="21"/>
      <c r="J189" s="21"/>
      <c r="K189" s="21"/>
    </row>
    <row r="190" spans="9:11" ht="16.5" customHeight="1" x14ac:dyDescent="0.25">
      <c r="I190" s="21"/>
      <c r="J190" s="21"/>
      <c r="K190" s="21"/>
    </row>
    <row r="191" spans="9:11" ht="16.5" customHeight="1" x14ac:dyDescent="0.25">
      <c r="I191" s="21"/>
      <c r="J191" s="21"/>
      <c r="K191" s="21"/>
    </row>
    <row r="192" spans="9:11" ht="16.5" customHeight="1" x14ac:dyDescent="0.25">
      <c r="I192" s="21"/>
      <c r="J192" s="21"/>
      <c r="K192" s="21"/>
    </row>
    <row r="193" spans="9:11" ht="16.5" customHeight="1" x14ac:dyDescent="0.25">
      <c r="I193" s="21"/>
      <c r="J193" s="21"/>
      <c r="K193" s="21"/>
    </row>
    <row r="194" spans="9:11" ht="16.5" customHeight="1" x14ac:dyDescent="0.25">
      <c r="I194" s="21"/>
      <c r="J194" s="21"/>
      <c r="K194" s="21"/>
    </row>
    <row r="195" spans="9:11" ht="16.5" customHeight="1" x14ac:dyDescent="0.25">
      <c r="I195" s="21"/>
      <c r="J195" s="21"/>
      <c r="K195" s="21"/>
    </row>
    <row r="196" spans="9:11" ht="16.5" customHeight="1" x14ac:dyDescent="0.25">
      <c r="I196" s="21"/>
      <c r="J196" s="21"/>
      <c r="K196" s="21"/>
    </row>
    <row r="197" spans="9:11" ht="16.5" customHeight="1" x14ac:dyDescent="0.25">
      <c r="I197" s="21"/>
      <c r="J197" s="21"/>
      <c r="K197" s="21"/>
    </row>
    <row r="198" spans="9:11" ht="16.5" customHeight="1" x14ac:dyDescent="0.25">
      <c r="I198" s="21"/>
      <c r="J198" s="21"/>
      <c r="K198" s="21"/>
    </row>
    <row r="199" spans="9:11" ht="16.5" customHeight="1" x14ac:dyDescent="0.25">
      <c r="I199" s="21"/>
      <c r="J199" s="21"/>
      <c r="K199" s="21"/>
    </row>
    <row r="200" spans="9:11" ht="16.5" customHeight="1" x14ac:dyDescent="0.25">
      <c r="I200" s="21"/>
      <c r="J200" s="21"/>
      <c r="K200" s="21"/>
    </row>
    <row r="201" spans="9:11" ht="16.5" customHeight="1" x14ac:dyDescent="0.25">
      <c r="I201" s="21"/>
      <c r="J201" s="21"/>
      <c r="K201" s="21"/>
    </row>
    <row r="202" spans="9:11" ht="16.5" customHeight="1" x14ac:dyDescent="0.25">
      <c r="I202" s="21"/>
      <c r="J202" s="21"/>
      <c r="K202" s="21"/>
    </row>
    <row r="203" spans="9:11" ht="16.5" customHeight="1" x14ac:dyDescent="0.25">
      <c r="I203" s="21"/>
      <c r="J203" s="21"/>
      <c r="K203" s="21"/>
    </row>
    <row r="204" spans="9:11" ht="16.5" customHeight="1" x14ac:dyDescent="0.25">
      <c r="I204" s="21"/>
      <c r="J204" s="21"/>
      <c r="K204" s="21"/>
    </row>
    <row r="205" spans="9:11" ht="16.5" customHeight="1" x14ac:dyDescent="0.25">
      <c r="I205" s="21"/>
      <c r="J205" s="21"/>
      <c r="K205" s="21"/>
    </row>
    <row r="206" spans="9:11" ht="16.5" customHeight="1" x14ac:dyDescent="0.25">
      <c r="I206" s="21"/>
      <c r="J206" s="21"/>
      <c r="K206" s="21"/>
    </row>
    <row r="207" spans="9:11" ht="16.5" customHeight="1" x14ac:dyDescent="0.25">
      <c r="I207" s="21"/>
      <c r="J207" s="21"/>
      <c r="K207" s="21"/>
    </row>
    <row r="208" spans="9:11" ht="16.5" customHeight="1" x14ac:dyDescent="0.25">
      <c r="I208" s="21"/>
      <c r="J208" s="21"/>
      <c r="K208" s="21"/>
    </row>
    <row r="209" spans="9:11" ht="16.5" customHeight="1" x14ac:dyDescent="0.25">
      <c r="I209" s="21"/>
      <c r="J209" s="21"/>
      <c r="K209" s="21"/>
    </row>
    <row r="210" spans="9:11" ht="16.5" customHeight="1" x14ac:dyDescent="0.25">
      <c r="I210" s="21"/>
      <c r="J210" s="21"/>
      <c r="K210" s="21"/>
    </row>
    <row r="211" spans="9:11" ht="16.5" customHeight="1" x14ac:dyDescent="0.25">
      <c r="I211" s="21"/>
      <c r="J211" s="21"/>
      <c r="K211" s="21"/>
    </row>
    <row r="212" spans="9:11" ht="16.5" customHeight="1" x14ac:dyDescent="0.25">
      <c r="I212" s="21"/>
      <c r="J212" s="21"/>
      <c r="K212" s="21"/>
    </row>
    <row r="213" spans="9:11" ht="16.5" customHeight="1" x14ac:dyDescent="0.25">
      <c r="I213" s="21"/>
      <c r="J213" s="21"/>
      <c r="K213" s="21"/>
    </row>
    <row r="214" spans="9:11" ht="16.5" customHeight="1" x14ac:dyDescent="0.25">
      <c r="I214" s="21"/>
      <c r="J214" s="21"/>
      <c r="K214" s="21"/>
    </row>
    <row r="215" spans="9:11" x14ac:dyDescent="0.25">
      <c r="I215" s="21"/>
      <c r="J215" s="21"/>
      <c r="K215" s="21"/>
    </row>
    <row r="216" spans="9:11" x14ac:dyDescent="0.25">
      <c r="I216" s="21"/>
      <c r="J216" s="21"/>
      <c r="K216" s="21"/>
    </row>
    <row r="217" spans="9:11" x14ac:dyDescent="0.25">
      <c r="I217" s="21"/>
      <c r="J217" s="21"/>
      <c r="K217" s="21"/>
    </row>
    <row r="218" spans="9:11" x14ac:dyDescent="0.25">
      <c r="I218" s="21"/>
      <c r="J218" s="21"/>
      <c r="K218" s="21"/>
    </row>
    <row r="219" spans="9:11" x14ac:dyDescent="0.25">
      <c r="I219" s="21"/>
      <c r="J219" s="21"/>
      <c r="K219" s="21"/>
    </row>
    <row r="220" spans="9:11" x14ac:dyDescent="0.25">
      <c r="I220" s="21"/>
      <c r="J220" s="21"/>
      <c r="K220" s="21"/>
    </row>
    <row r="221" spans="9:11" x14ac:dyDescent="0.25">
      <c r="I221" s="21"/>
      <c r="J221" s="21"/>
      <c r="K221" s="21"/>
    </row>
    <row r="222" spans="9:11" x14ac:dyDescent="0.25">
      <c r="I222" s="21"/>
      <c r="J222" s="21"/>
      <c r="K222" s="21"/>
    </row>
    <row r="223" spans="9:11" x14ac:dyDescent="0.25">
      <c r="I223" s="21"/>
      <c r="J223" s="21"/>
      <c r="K223" s="21"/>
    </row>
    <row r="224" spans="9:11" x14ac:dyDescent="0.25">
      <c r="I224" s="21"/>
      <c r="J224" s="21"/>
      <c r="K224" s="21"/>
    </row>
    <row r="225" spans="9:11" x14ac:dyDescent="0.25">
      <c r="I225" s="21"/>
      <c r="J225" s="21"/>
      <c r="K225" s="21"/>
    </row>
    <row r="226" spans="9:11" x14ac:dyDescent="0.25">
      <c r="I226" s="21"/>
      <c r="J226" s="21"/>
      <c r="K226" s="21"/>
    </row>
    <row r="227" spans="9:11" x14ac:dyDescent="0.25">
      <c r="I227" s="21"/>
      <c r="J227" s="21"/>
      <c r="K227" s="21"/>
    </row>
    <row r="228" spans="9:11" x14ac:dyDescent="0.25">
      <c r="I228" s="21"/>
      <c r="J228" s="21"/>
      <c r="K228" s="21"/>
    </row>
    <row r="229" spans="9:11" x14ac:dyDescent="0.25">
      <c r="I229" s="21"/>
      <c r="J229" s="21"/>
      <c r="K229" s="21"/>
    </row>
    <row r="230" spans="9:11" x14ac:dyDescent="0.25">
      <c r="I230" s="21"/>
      <c r="J230" s="21"/>
      <c r="K230" s="21"/>
    </row>
    <row r="231" spans="9:11" x14ac:dyDescent="0.25">
      <c r="I231" s="21"/>
      <c r="J231" s="21"/>
      <c r="K231" s="21"/>
    </row>
    <row r="232" spans="9:11" x14ac:dyDescent="0.25">
      <c r="I232" s="21"/>
      <c r="J232" s="21"/>
      <c r="K232" s="21"/>
    </row>
    <row r="233" spans="9:11" x14ac:dyDescent="0.25">
      <c r="I233" s="21"/>
      <c r="J233" s="21"/>
      <c r="K233" s="21"/>
    </row>
    <row r="234" spans="9:11" x14ac:dyDescent="0.25">
      <c r="I234" s="21"/>
      <c r="J234" s="21"/>
      <c r="K234" s="21"/>
    </row>
    <row r="235" spans="9:11" x14ac:dyDescent="0.25">
      <c r="I235" s="21"/>
      <c r="J235" s="21"/>
      <c r="K235" s="21"/>
    </row>
    <row r="236" spans="9:11" x14ac:dyDescent="0.25">
      <c r="I236" s="21"/>
      <c r="J236" s="21"/>
      <c r="K236" s="21"/>
    </row>
    <row r="237" spans="9:11" x14ac:dyDescent="0.25">
      <c r="I237" s="21"/>
      <c r="J237" s="21"/>
      <c r="K237" s="21"/>
    </row>
    <row r="238" spans="9:11" x14ac:dyDescent="0.25">
      <c r="I238" s="21"/>
      <c r="J238" s="21"/>
      <c r="K238" s="21"/>
    </row>
    <row r="239" spans="9:11" x14ac:dyDescent="0.25">
      <c r="I239" s="21"/>
      <c r="J239" s="21"/>
      <c r="K239" s="21"/>
    </row>
    <row r="240" spans="9:11" x14ac:dyDescent="0.25">
      <c r="I240" s="21"/>
      <c r="J240" s="21"/>
      <c r="K240" s="21"/>
    </row>
    <row r="241" spans="9:11" x14ac:dyDescent="0.25">
      <c r="I241" s="21"/>
      <c r="J241" s="21"/>
      <c r="K241" s="21"/>
    </row>
    <row r="242" spans="9:11" x14ac:dyDescent="0.25">
      <c r="I242" s="21"/>
      <c r="J242" s="21"/>
      <c r="K242" s="21"/>
    </row>
    <row r="243" spans="9:11" x14ac:dyDescent="0.25">
      <c r="I243" s="21"/>
      <c r="J243" s="21"/>
      <c r="K243" s="21"/>
    </row>
    <row r="244" spans="9:11" x14ac:dyDescent="0.25">
      <c r="I244" s="21"/>
      <c r="J244" s="21"/>
      <c r="K244" s="21"/>
    </row>
    <row r="245" spans="9:11" x14ac:dyDescent="0.25">
      <c r="I245" s="21"/>
      <c r="J245" s="21"/>
      <c r="K245" s="21"/>
    </row>
    <row r="246" spans="9:11" x14ac:dyDescent="0.25">
      <c r="I246" s="21"/>
      <c r="J246" s="21"/>
      <c r="K246" s="21"/>
    </row>
    <row r="247" spans="9:11" x14ac:dyDescent="0.25">
      <c r="I247" s="21"/>
      <c r="J247" s="21"/>
      <c r="K247" s="21"/>
    </row>
    <row r="248" spans="9:11" x14ac:dyDescent="0.25">
      <c r="I248" s="21"/>
      <c r="J248" s="21"/>
      <c r="K248" s="21"/>
    </row>
    <row r="249" spans="9:11" x14ac:dyDescent="0.25">
      <c r="I249" s="21"/>
      <c r="J249" s="21"/>
      <c r="K249" s="21"/>
    </row>
    <row r="250" spans="9:11" x14ac:dyDescent="0.25">
      <c r="I250" s="21"/>
      <c r="J250" s="21"/>
      <c r="K250" s="21"/>
    </row>
    <row r="251" spans="9:11" x14ac:dyDescent="0.25">
      <c r="I251" s="21"/>
      <c r="J251" s="21"/>
      <c r="K251" s="21"/>
    </row>
    <row r="252" spans="9:11" x14ac:dyDescent="0.25">
      <c r="I252" s="21"/>
      <c r="J252" s="21"/>
      <c r="K252" s="21"/>
    </row>
    <row r="253" spans="9:11" x14ac:dyDescent="0.25">
      <c r="I253" s="21"/>
      <c r="J253" s="21"/>
      <c r="K253" s="21"/>
    </row>
    <row r="254" spans="9:11" x14ac:dyDescent="0.25">
      <c r="I254" s="21"/>
      <c r="J254" s="21"/>
      <c r="K254" s="21"/>
    </row>
    <row r="255" spans="9:11" x14ac:dyDescent="0.25">
      <c r="I255" s="21"/>
      <c r="J255" s="21"/>
      <c r="K255" s="21"/>
    </row>
    <row r="256" spans="9:11" x14ac:dyDescent="0.25">
      <c r="I256" s="21"/>
      <c r="J256" s="21"/>
      <c r="K256" s="21"/>
    </row>
    <row r="257" spans="9:11" x14ac:dyDescent="0.25">
      <c r="I257" s="21"/>
      <c r="J257" s="21"/>
      <c r="K257" s="21"/>
    </row>
    <row r="258" spans="9:11" x14ac:dyDescent="0.25">
      <c r="I258" s="21"/>
      <c r="J258" s="21"/>
      <c r="K258" s="21"/>
    </row>
    <row r="259" spans="9:11" x14ac:dyDescent="0.25">
      <c r="I259" s="21"/>
      <c r="J259" s="21"/>
      <c r="K259" s="21"/>
    </row>
    <row r="260" spans="9:11" x14ac:dyDescent="0.25">
      <c r="I260" s="21"/>
      <c r="J260" s="21"/>
      <c r="K260" s="21"/>
    </row>
    <row r="261" spans="9:11" x14ac:dyDescent="0.25">
      <c r="I261" s="21"/>
      <c r="J261" s="21"/>
      <c r="K261" s="21"/>
    </row>
    <row r="262" spans="9:11" x14ac:dyDescent="0.25">
      <c r="I262" s="21"/>
      <c r="J262" s="21"/>
      <c r="K262" s="21"/>
    </row>
    <row r="263" spans="9:11" x14ac:dyDescent="0.25">
      <c r="I263" s="21"/>
      <c r="J263" s="21"/>
      <c r="K263" s="21"/>
    </row>
    <row r="264" spans="9:11" x14ac:dyDescent="0.25">
      <c r="I264" s="21"/>
      <c r="J264" s="21"/>
      <c r="K264" s="21"/>
    </row>
    <row r="265" spans="9:11" x14ac:dyDescent="0.25">
      <c r="I265" s="21"/>
      <c r="J265" s="21"/>
      <c r="K265" s="21"/>
    </row>
    <row r="266" spans="9:11" x14ac:dyDescent="0.25">
      <c r="I266" s="21"/>
      <c r="J266" s="21"/>
      <c r="K266" s="21"/>
    </row>
    <row r="267" spans="9:11" x14ac:dyDescent="0.25">
      <c r="I267" s="21"/>
      <c r="J267" s="21"/>
      <c r="K267" s="21"/>
    </row>
    <row r="268" spans="9:11" x14ac:dyDescent="0.25">
      <c r="I268" s="21"/>
      <c r="J268" s="21"/>
      <c r="K268" s="21"/>
    </row>
    <row r="269" spans="9:11" x14ac:dyDescent="0.25">
      <c r="I269" s="21"/>
      <c r="J269" s="21"/>
      <c r="K269" s="21"/>
    </row>
    <row r="270" spans="9:11" x14ac:dyDescent="0.25">
      <c r="I270" s="21"/>
      <c r="J270" s="21"/>
      <c r="K270" s="21"/>
    </row>
    <row r="271" spans="9:11" x14ac:dyDescent="0.25">
      <c r="I271" s="21"/>
      <c r="J271" s="21"/>
      <c r="K271" s="21"/>
    </row>
    <row r="272" spans="9:11" x14ac:dyDescent="0.25">
      <c r="I272" s="21"/>
      <c r="J272" s="21"/>
      <c r="K272" s="21"/>
    </row>
    <row r="273" spans="9:11" x14ac:dyDescent="0.25">
      <c r="I273" s="21"/>
      <c r="J273" s="21"/>
      <c r="K273" s="21"/>
    </row>
    <row r="274" spans="9:11" x14ac:dyDescent="0.25">
      <c r="I274" s="21"/>
      <c r="J274" s="21"/>
      <c r="K274" s="21"/>
    </row>
    <row r="275" spans="9:11" x14ac:dyDescent="0.25">
      <c r="I275" s="21"/>
      <c r="J275" s="21"/>
      <c r="K275" s="21"/>
    </row>
    <row r="276" spans="9:11" x14ac:dyDescent="0.25">
      <c r="I276" s="21"/>
      <c r="J276" s="21"/>
      <c r="K276" s="21"/>
    </row>
    <row r="277" spans="9:11" x14ac:dyDescent="0.25">
      <c r="I277" s="21"/>
      <c r="J277" s="21"/>
      <c r="K277" s="21"/>
    </row>
    <row r="278" spans="9:11" x14ac:dyDescent="0.25">
      <c r="I278" s="21"/>
      <c r="J278" s="21"/>
      <c r="K278" s="21"/>
    </row>
    <row r="279" spans="9:11" x14ac:dyDescent="0.25">
      <c r="I279" s="21"/>
      <c r="J279" s="21"/>
      <c r="K279" s="21"/>
    </row>
    <row r="280" spans="9:11" x14ac:dyDescent="0.25">
      <c r="I280" s="21"/>
      <c r="J280" s="21"/>
      <c r="K280" s="21"/>
    </row>
    <row r="281" spans="9:11" x14ac:dyDescent="0.25">
      <c r="I281" s="21"/>
      <c r="J281" s="21"/>
      <c r="K281" s="21"/>
    </row>
    <row r="282" spans="9:11" x14ac:dyDescent="0.25">
      <c r="I282" s="21"/>
      <c r="J282" s="21"/>
      <c r="K282" s="21"/>
    </row>
    <row r="283" spans="9:11" x14ac:dyDescent="0.25">
      <c r="I283" s="21"/>
      <c r="J283" s="21"/>
      <c r="K283" s="21"/>
    </row>
    <row r="284" spans="9:11" x14ac:dyDescent="0.25">
      <c r="I284" s="21"/>
      <c r="J284" s="21"/>
      <c r="K284" s="21"/>
    </row>
    <row r="285" spans="9:11" x14ac:dyDescent="0.25">
      <c r="I285" s="21"/>
      <c r="J285" s="21"/>
      <c r="K285" s="21"/>
    </row>
    <row r="286" spans="9:11" x14ac:dyDescent="0.25">
      <c r="I286" s="21"/>
      <c r="J286" s="21"/>
      <c r="K286" s="21"/>
    </row>
    <row r="287" spans="9:11" x14ac:dyDescent="0.25">
      <c r="I287" s="21"/>
      <c r="J287" s="21"/>
      <c r="K287" s="21"/>
    </row>
    <row r="288" spans="9:11" x14ac:dyDescent="0.25">
      <c r="I288" s="21"/>
      <c r="J288" s="21"/>
      <c r="K288" s="21"/>
    </row>
    <row r="289" spans="9:11" x14ac:dyDescent="0.25">
      <c r="I289" s="21"/>
      <c r="J289" s="21"/>
      <c r="K289" s="21"/>
    </row>
    <row r="290" spans="9:11" x14ac:dyDescent="0.25">
      <c r="I290" s="21"/>
      <c r="J290" s="21"/>
      <c r="K290" s="21"/>
    </row>
    <row r="291" spans="9:11" x14ac:dyDescent="0.25">
      <c r="I291" s="21"/>
      <c r="J291" s="21"/>
      <c r="K291" s="21"/>
    </row>
    <row r="292" spans="9:11" x14ac:dyDescent="0.25">
      <c r="I292" s="21"/>
      <c r="J292" s="21"/>
    </row>
    <row r="293" spans="9:11" x14ac:dyDescent="0.25">
      <c r="I293" s="21"/>
      <c r="J293" s="21"/>
    </row>
    <row r="294" spans="9:11" x14ac:dyDescent="0.25">
      <c r="I294" s="21"/>
      <c r="J294" s="21"/>
    </row>
    <row r="295" spans="9:11" x14ac:dyDescent="0.25">
      <c r="I295" s="21"/>
      <c r="J295" s="21"/>
    </row>
    <row r="296" spans="9:11" x14ac:dyDescent="0.25">
      <c r="I296" s="21"/>
      <c r="J296" s="21"/>
    </row>
  </sheetData>
  <autoFilter ref="A4:H159" xr:uid="{40A4B7A3-F207-4AF4-8579-95FFC9A7072F}"/>
  <dataConsolidate/>
  <mergeCells count="1">
    <mergeCell ref="A1:B1"/>
  </mergeCells>
  <conditionalFormatting sqref="F6:F18">
    <cfRule type="cellIs" dxfId="9" priority="171" operator="equal">
      <formula>"Fulfilled"</formula>
    </cfRule>
    <cfRule type="cellIs" dxfId="8" priority="172" operator="equal">
      <formula>"Not verified"</formula>
    </cfRule>
    <cfRule type="cellIs" dxfId="7" priority="173" operator="equal">
      <formula>"Fullfilled"</formula>
    </cfRule>
    <cfRule type="cellIs" dxfId="6" priority="174" operator="equal">
      <formula>"N/A"</formula>
    </cfRule>
    <cfRule type="cellIs" dxfId="5" priority="175" operator="equal">
      <formula>"Open"</formula>
    </cfRule>
  </conditionalFormatting>
  <conditionalFormatting sqref="I5:K291">
    <cfRule type="expression" dxfId="4" priority="1">
      <formula>($C5&lt;&gt;"")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3</xdr:col>
                    <xdr:colOff>0</xdr:colOff>
                    <xdr:row>0</xdr:row>
                    <xdr:rowOff>628650</xdr:rowOff>
                  </from>
                  <to>
                    <xdr:col>5</xdr:col>
                    <xdr:colOff>228600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295275</xdr:rowOff>
                  </from>
                  <to>
                    <xdr:col>5</xdr:col>
                    <xdr:colOff>238125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5781675</xdr:colOff>
                    <xdr:row>0</xdr:row>
                    <xdr:rowOff>266700</xdr:rowOff>
                  </from>
                  <to>
                    <xdr:col>2</xdr:col>
                    <xdr:colOff>6686550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2</xdr:col>
                    <xdr:colOff>8181975</xdr:colOff>
                    <xdr:row>0</xdr:row>
                    <xdr:rowOff>142875</xdr:rowOff>
                  </from>
                  <to>
                    <xdr:col>5</xdr:col>
                    <xdr:colOff>657225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2</xdr:col>
                    <xdr:colOff>7962900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247650</xdr:rowOff>
                  </from>
                  <to>
                    <xdr:col>2</xdr:col>
                    <xdr:colOff>7896225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7010400</xdr:colOff>
                    <xdr:row>0</xdr:row>
                    <xdr:rowOff>323850</xdr:rowOff>
                  </from>
                  <to>
                    <xdr:col>2</xdr:col>
                    <xdr:colOff>7400925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7019925</xdr:colOff>
                    <xdr:row>0</xdr:row>
                    <xdr:rowOff>514350</xdr:rowOff>
                  </from>
                  <to>
                    <xdr:col>2</xdr:col>
                    <xdr:colOff>7743825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6677025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695325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857250</xdr:rowOff>
                  </from>
                  <to>
                    <xdr:col>2</xdr:col>
                    <xdr:colOff>6791325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7010400</xdr:colOff>
                    <xdr:row>0</xdr:row>
                    <xdr:rowOff>647700</xdr:rowOff>
                  </from>
                  <to>
                    <xdr:col>2</xdr:col>
                    <xdr:colOff>7410450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1038225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heet1.import_graph_results">
                <anchor moveWithCells="1" sizeWithCells="1">
                  <from>
                    <xdr:col>3</xdr:col>
                    <xdr:colOff>0</xdr:colOff>
                    <xdr:row>0</xdr:row>
                    <xdr:rowOff>952500</xdr:rowOff>
                  </from>
                  <to>
                    <xdr:col>5</xdr:col>
                    <xdr:colOff>238125</xdr:colOff>
                    <xdr:row>0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Option Button 34">
              <controlPr defaultSize="0" autoFill="0" autoLine="0" autoPict="0" macro="[0]!Sheet1.set_portuguese">
                <anchor moveWithCells="1">
                  <from>
                    <xdr:col>2</xdr:col>
                    <xdr:colOff>7019925</xdr:colOff>
                    <xdr:row>0</xdr:row>
                    <xdr:rowOff>771525</xdr:rowOff>
                  </from>
                  <to>
                    <xdr:col>2</xdr:col>
                    <xdr:colOff>7677150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9" name="Option Button 35">
              <controlPr defaultSize="0" autoFill="0" autoLine="0" autoPict="0" macro="[0]!Sheet1.set_spanish">
                <anchor moveWithCells="1">
                  <from>
                    <xdr:col>2</xdr:col>
                    <xdr:colOff>7010400</xdr:colOff>
                    <xdr:row>0</xdr:row>
                    <xdr:rowOff>952500</xdr:rowOff>
                  </from>
                  <to>
                    <xdr:col>2</xdr:col>
                    <xdr:colOff>7410450</xdr:colOff>
                    <xdr:row>0</xdr:row>
                    <xdr:rowOff>1162050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1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E5:E219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E8"/>
  <sheetViews>
    <sheetView workbookViewId="0">
      <selection activeCell="A4" sqref="A4"/>
    </sheetView>
  </sheetViews>
  <sheetFormatPr defaultRowHeight="15" x14ac:dyDescent="0.25"/>
  <cols>
    <col min="2" max="2" width="10" bestFit="1" customWidth="1"/>
  </cols>
  <sheetData>
    <row r="1" spans="1:5" x14ac:dyDescent="0.25">
      <c r="A1" t="s">
        <v>3</v>
      </c>
      <c r="B1" t="s">
        <v>4</v>
      </c>
      <c r="C1" t="s">
        <v>16</v>
      </c>
      <c r="D1" t="s">
        <v>21</v>
      </c>
      <c r="E1" t="s">
        <v>36</v>
      </c>
    </row>
    <row r="2" spans="1:5" x14ac:dyDescent="0.25">
      <c r="A2" t="s">
        <v>6</v>
      </c>
      <c r="B2" s="11" t="s">
        <v>7</v>
      </c>
      <c r="C2" t="s">
        <v>26</v>
      </c>
      <c r="D2" s="19" t="s">
        <v>32</v>
      </c>
      <c r="E2" s="19" t="s">
        <v>35</v>
      </c>
    </row>
    <row r="3" spans="1:5" x14ac:dyDescent="0.25">
      <c r="A3" t="s">
        <v>9</v>
      </c>
      <c r="B3" s="8" t="s">
        <v>10</v>
      </c>
      <c r="C3" t="s">
        <v>27</v>
      </c>
    </row>
    <row r="4" spans="1:5" x14ac:dyDescent="0.25">
      <c r="A4" t="s">
        <v>8</v>
      </c>
      <c r="B4" s="9" t="s">
        <v>11</v>
      </c>
      <c r="C4" t="s">
        <v>25</v>
      </c>
    </row>
    <row r="5" spans="1:5" x14ac:dyDescent="0.25">
      <c r="B5" s="10" t="s">
        <v>12</v>
      </c>
      <c r="C5" t="s">
        <v>28</v>
      </c>
    </row>
    <row r="6" spans="1:5" x14ac:dyDescent="0.25">
      <c r="C6" t="s">
        <v>29</v>
      </c>
    </row>
    <row r="7" spans="1:5" x14ac:dyDescent="0.25">
      <c r="C7" t="s">
        <v>30</v>
      </c>
    </row>
    <row r="8" spans="1:5" x14ac:dyDescent="0.25">
      <c r="C8" t="s">
        <v>31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2021-10-27T10:33:56Z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