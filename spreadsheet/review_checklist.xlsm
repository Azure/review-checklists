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3F8D010-2B91-435D-9C38-32E373A4F6D7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Checklist!$A$4:$I$160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<sst xmlns="http://schemas.openxmlformats.org/spreadsheetml/2006/main" count="41" uniqueCount="37">
  <si>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</si>
  <si>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</si>
  <si>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</si>
  <si>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</si>
  <si>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</si>
  <si>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</si>
  <si>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</si>
  <si>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</si>
  <si>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</si>
  <si>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</si>
  <si>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</si>
  <si>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</si>
  <si>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</si>
  <si>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</si>
  <si>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</si>
  <si>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</si>
  <si>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</si>
  <si>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</si>
  <si>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</si>
  <si>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</si>
  <si>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</si>
  <si>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</si>
  <si>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</si>
  <si>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</si>
  <si>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</si>
  <si>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</si>
  <si>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</si>
  <si>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</si>
  <si>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</si>
  <si>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</si>
  <si>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</si>
  <si>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Identity</t>
  </si>
  <si>
    <t>Security</t>
  </si>
  <si>
    <t>Networking</t>
  </si>
  <si>
    <t>Azure Landing Zone Review</t>
  </si>
  <si>
    <t>Subscriptions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</si>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</sst>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2276475</xdr:colOff>
          <xdr:row>0</xdr:row>
          <xdr:rowOff>619125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180975</xdr:rowOff>
        </xdr:from>
        <xdr:to>
          <xdr:col>6</xdr:col>
          <xdr:colOff>676275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514350</xdr:rowOff>
        </xdr:from>
        <xdr:to>
          <xdr:col>3</xdr:col>
          <xdr:colOff>1304925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3</xdr:col>
          <xdr:colOff>476250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3</xdr:col>
          <xdr:colOff>485775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647700</xdr:rowOff>
        </xdr:from>
        <xdr:to>
          <xdr:col>3</xdr:col>
          <xdr:colOff>981075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1038225</xdr:rowOff>
        </xdr:from>
        <xdr:to>
          <xdr:col>3</xdr:col>
          <xdr:colOff>561975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771525</xdr:rowOff>
        </xdr:from>
        <xdr:to>
          <xdr:col>3</xdr:col>
          <xdr:colOff>1238250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952500</xdr:rowOff>
        </xdr:from>
        <xdr:to>
          <xdr:col>3</xdr:col>
          <xdr:colOff>981075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25</v>
      </c>
      <c r="E1" s="25" t="s">
        <v>26</v>
      </c>
    </row>
    <row r="2" spans="1:13" ht="31.5" x14ac:dyDescent="0.5">
      <c r="A2" s="15" t="s">
        <v>14</v>
      </c>
      <c r="D2" s="24" t="e">
        <f>1-O27/R27</f>
        <v>#VALUE!</v>
      </c>
      <c r="E2" s="24" t="e">
        <f>P27/R27</f>
        <v>#VALUE!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SUMPRODUCT(--(Checklist!$E$5:$H$494=$A6)*--(Checklist!$F$5:$F$494=B$5))</f>
        <v>0</v>
      </c>
      <c r="C6" cm="1">
        <f t="array" ref="C6">SUMPRODUCT(--(Checklist!$E$5:$H$494=$A6)*--(Checklist!$F$5:$F$494=C$5))</f>
        <v>0</v>
      </c>
      <c r="D6" cm="1">
        <f t="array" ref="D6">SUMPRODUCT(--(Checklist!$E$5:$H$494=$A6)*--(Checklist!$F$5:$F$494=D$5))</f>
        <v>0</v>
      </c>
      <c r="E6" cm="1">
        <f t="array" ref="E6">SUMPRODUCT(--(Checklist!$E$5:$H$494=$A6)*--(Checklist!$F$5:$F$494=E$5))</f>
        <v>0</v>
      </c>
      <c r="F6">
        <f>SUM(B6:E6)</f>
        <v>0</v>
      </c>
      <c r="H6" s="14" t="str">
        <f>IF(Values!$C2="","",Values!$C2)</f>
        <v>Identity</v>
      </c>
      <c r="I6" cm="1">
        <f t="array" ref="I6">IF($H6="","",SUMPRODUCT(--(Checklist!$A$5:$A$494=$H6)*--(Checklist!$F$5:$F$494=I$5)))</f>
        <v>0</v>
      </c>
      <c r="J6" cm="1">
        <f t="array" ref="J6">IF($H6="","",SUMPRODUCT(--(Checklist!$A$5:$A$494=$H6)*--(Checklist!$F$5:$F$494=J$5)))</f>
        <v>0</v>
      </c>
      <c r="K6" cm="1">
        <f t="array" ref="K6">IF($H6="","",SUMPRODUCT(--(Checklist!$A$5:$A$494=$H6)*--(Checklist!$F$5:$F$494=K$5)))</f>
        <v>0</v>
      </c>
      <c r="L6" cm="1">
        <f t="array" ref="L6">IF($H6="","",SUMPRODUCT(--(Checklist!$A$5:$A$494=$H6)*--(Checklist!$F$5:$F$494=L$5)))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SUMPRODUCT(--(Checklist!$E$5:$H$494=$A7)*--(Checklist!$F$5:$F$494=B$5))</f>
        <v>0</v>
      </c>
      <c r="C7" cm="1">
        <f t="array" ref="C7">SUMPRODUCT(--(Checklist!$E$5:$H$494=$A7)*--(Checklist!$F$5:$F$494=C$5))</f>
        <v>0</v>
      </c>
      <c r="D7" cm="1">
        <f t="array" ref="D7">SUMPRODUCT(--(Checklist!$E$5:$H$494=$A7)*--(Checklist!$F$5:$F$494=D$5))</f>
        <v>0</v>
      </c>
      <c r="E7" cm="1">
        <f t="array" ref="E7">SUMPRODUCT(--(Checklist!$E$5:$H$494=$A7)*--(Checklist!$F$5:$F$494=E$5))</f>
        <v>0</v>
      </c>
      <c r="F7">
        <f>SUM(B7:E7)</f>
        <v>0</v>
      </c>
      <c r="H7" s="14" t="str">
        <f>IF(Values!$C3="","",Values!$C3)</f>
        <v>Networking</v>
      </c>
      <c r="I7" cm="1">
        <f t="array" ref="I7">IF($H7="","",SUMPRODUCT(--(Checklist!$A$5:$A$494=$H7)*--(Checklist!$F$5:$F$494=I$5)))</f>
        <v>0</v>
      </c>
      <c r="J7" cm="1">
        <f t="array" ref="J7">IF($H7="","",SUMPRODUCT(--(Checklist!$A$5:$A$494=$H7)*--(Checklist!$F$5:$F$494=J$5)))</f>
        <v>0</v>
      </c>
      <c r="K7" cm="1">
        <f t="array" ref="K7">IF($H7="","",SUMPRODUCT(--(Checklist!$A$5:$A$494=$H7)*--(Checklist!$F$5:$F$494=K$5)))</f>
        <v>0</v>
      </c>
      <c r="L7" cm="1">
        <f t="array" ref="L7">IF($H7="","",SUMPRODUCT(--(Checklist!$A$5:$A$494=$H7)*--(Checklist!$F$5:$F$494=L$5)))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SUMPRODUCT(--(Checklist!$E$5:$H$494=$A8)*--(Checklist!$F$5:$F$494=B$5))</f>
        <v>0</v>
      </c>
      <c r="C8" cm="1">
        <f t="array" ref="C8">SUMPRODUCT(--(Checklist!$E$5:$H$494=$A8)*--(Checklist!$F$5:$F$494=C$5))</f>
        <v>0</v>
      </c>
      <c r="D8" cm="1">
        <f t="array" ref="D8">SUMPRODUCT(--(Checklist!$E$5:$H$494=$A8)*--(Checklist!$F$5:$F$494=D$5))</f>
        <v>0</v>
      </c>
      <c r="E8" cm="1">
        <f t="array" ref="E8">SUMPRODUCT(--(Checklist!$E$5:$H$494=$A8)*--(Checklist!$F$5:$F$494=E$5))</f>
        <v>0</v>
      </c>
      <c r="F8">
        <f>SUM(B8:E8)</f>
        <v>0</v>
      </c>
      <c r="H8" s="14" t="str">
        <f>IF(Values!$C4="","",Values!$C4)</f>
        <v>Security</v>
      </c>
      <c r="I8" cm="1">
        <f t="array" ref="I8">IF($H8="","",SUMPRODUCT(--(Checklist!$A$5:$A$494=$H8)*--(Checklist!$F$5:$F$494=I$5)))</f>
        <v>0</v>
      </c>
      <c r="J8" cm="1">
        <f t="array" ref="J8">IF($H8="","",SUMPRODUCT(--(Checklist!$A$5:$A$494=$H8)*--(Checklist!$F$5:$F$494=J$5)))</f>
        <v>0</v>
      </c>
      <c r="K8" cm="1">
        <f t="array" ref="K8">IF($H8="","",SUMPRODUCT(--(Checklist!$A$5:$A$494=$H8)*--(Checklist!$F$5:$F$494=K$5)))</f>
        <v>0</v>
      </c>
      <c r="L8" cm="1">
        <f t="array" ref="L8">IF($H8="","",SUMPRODUCT(--(Checklist!$A$5:$A$494=$H8)*--(Checklist!$F$5:$F$494=L$5)))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Management</v>
      </c>
      <c r="I9" cm="1">
        <f t="array" ref="I9">IF($H9="","",SUMPRODUCT(--(Checklist!$A$5:$A$494=$H9)*--(Checklist!$F$5:$F$494=I$5)))</f>
        <v>0</v>
      </c>
      <c r="J9" cm="1">
        <f t="array" ref="J9">IF($H9="","",SUMPRODUCT(--(Checklist!$A$5:$A$494=$H9)*--(Checklist!$F$5:$F$494=J$5)))</f>
        <v>0</v>
      </c>
      <c r="K9" cm="1">
        <f t="array" ref="K9">IF($H9="","",SUMPRODUCT(--(Checklist!$A$5:$A$494=$H9)*--(Checklist!$F$5:$F$494=K$5)))</f>
        <v>0</v>
      </c>
      <c r="L9" cm="1">
        <f t="array" ref="L9">IF($H9="","",SUMPRODUCT(--(Checklist!$A$5:$A$494=$H9)*--(Checklist!$F$5:$F$494=L$5)))</f>
        <v>0</v>
      </c>
      <c r="M9">
        <f t="shared" si="0"/>
        <v>0</v>
      </c>
    </row>
    <row r="10" spans="1:13" x14ac:dyDescent="0.25">
      <c r="H10" s="14" t="str">
        <f>IF(Values!$C6="","",Values!$C6)</f>
        <v>Subscriptions</v>
      </c>
      <c r="I10" cm="1">
        <f t="array" ref="I10">IF($H10="","",SUMPRODUCT(--(Checklist!$A$5:$A$494=$H10)*--(Checklist!$F$5:$F$494=I$5)))</f>
        <v>0</v>
      </c>
      <c r="J10" cm="1">
        <f t="array" ref="J10">IF($H10="","",SUMPRODUCT(--(Checklist!$A$5:$A$494=$H10)*--(Checklist!$F$5:$F$494=J$5)))</f>
        <v>0</v>
      </c>
      <c r="K10" cm="1">
        <f t="array" ref="K10">IF($H10="","",SUMPRODUCT(--(Checklist!$A$5:$A$494=$H10)*--(Checklist!$F$5:$F$494=K$5)))</f>
        <v>0</v>
      </c>
      <c r="L10" cm="1">
        <f t="array" ref="L10">IF($H10="","",SUMPRODUCT(--(Checklist!$A$5:$A$494=$H10)*--(Checklist!$F$5:$F$494=L$5)))</f>
        <v>0</v>
      </c>
      <c r="M10">
        <f t="shared" si="0"/>
        <v>0</v>
      </c>
    </row>
    <row r="11" spans="1:13" x14ac:dyDescent="0.25">
      <c r="H11" s="14" t="str">
        <f>IF(Values!$C7="","",Values!$C7)</f>
        <v/>
      </c>
      <c r="I11" t="str" cm="1">
        <f t="array" ref="I11">IF($H11="","",SUMPRODUCT(--(Checklist!$A$5:$A$494=$H11)*--(Checklist!$F$5:$F$494=I$5)))</f>
        <v/>
      </c>
      <c r="J11" t="str" cm="1">
        <f t="array" ref="J11">IF($H11="","",SUMPRODUCT(--(Checklist!$A$5:$A$494=$H11)*--(Checklist!$F$5:$F$494=J$5)))</f>
        <v/>
      </c>
      <c r="K11" t="str" cm="1">
        <f t="array" ref="K11">IF($H11="","",SUMPRODUCT(--(Checklist!$A$5:$A$494=$H11)*--(Checklist!$F$5:$F$494=K$5)))</f>
        <v/>
      </c>
      <c r="L11" t="str" cm="1">
        <f t="array" ref="L11">IF($H11="","",SUMPRODUCT(--(Checklist!$A$5:$A$494=$H11)*--(Checklist!$F$5:$F$494=L$5)))</f>
        <v/>
      </c>
      <c r="M11" t="str">
        <f t="shared" si="0"/>
        <v/>
      </c>
    </row>
    <row r="12" spans="1:13" x14ac:dyDescent="0.25">
      <c r="H12" s="14" t="str">
        <f>IF(Values!$C8="","",Values!$C8)</f>
        <v/>
      </c>
      <c r="I12" t="str" cm="1">
        <f t="array" ref="I12">IF($H12="","",SUMPRODUCT(--(Checklist!$A$5:$A$494=$H12)*--(Checklist!$F$5:$F$494=I$5)))</f>
        <v/>
      </c>
      <c r="J12" t="str" cm="1">
        <f t="array" ref="J12">IF($H12="","",SUMPRODUCT(--(Checklist!$A$5:$A$494=$H12)*--(Checklist!$F$5:$F$494=J$5)))</f>
        <v/>
      </c>
      <c r="K12" t="str" cm="1">
        <f t="array" ref="K12">IF($H12="","",SUMPRODUCT(--(Checklist!$A$5:$A$494=$H12)*--(Checklist!$F$5:$F$494=K$5)))</f>
        <v/>
      </c>
      <c r="L12" t="str" cm="1">
        <f t="array" ref="L12">IF($H12="","",SUMPRODUCT(--(Checklist!$A$5:$A$494=$H12)*--(Checklist!$F$5:$F$494=L$5)))</f>
        <v/>
      </c>
      <c r="M12" t="str">
        <f t="shared" si="0"/>
        <v/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IF($H13="","",SUMPRODUCT(--(Checklist!$A$5:$A$494=$H13)*--(Checklist!$F$5:$F$494=I$5)))</f>
        <v/>
      </c>
      <c r="J13" t="str" cm="1">
        <f t="array" ref="J13">IF($H13="","",SUMPRODUCT(--(Checklist!$A$5:$A$494=$H13)*--(Checklist!$F$5:$F$494=J$5)))</f>
        <v/>
      </c>
      <c r="K13" t="str" cm="1">
        <f t="array" ref="K13">IF($H13="","",SUMPRODUCT(--(Checklist!$A$5:$A$494=$H13)*--(Checklist!$F$5:$F$494=K$5)))</f>
        <v/>
      </c>
      <c r="L13" t="str" cm="1">
        <f t="array" ref="L13">IF($H13="","",SUMPRODUCT(--(Checklist!$A$5:$A$494=$H13)*--(Checklist!$F$5:$F$494=L$5)))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Identity</v>
      </c>
      <c r="O21" cm="1">
        <f t="array" ref="O21">IF($N21="","",SUMPRODUCT(--(Checklist!$A$5:$A$494=$N21)*--(Checklist!$F$5:$F$494=O$20)))</f>
        <v>0</v>
      </c>
      <c r="P21" cm="1">
        <f t="array" ref="P21">IF($N21="","",SUMPRODUCT(--(Checklist!$A$5:$A$494=$N21)*--(Checklist!$F$5:$F$494=P$20)))</f>
        <v>0</v>
      </c>
      <c r="Q21" cm="1">
        <f t="array" ref="Q21">IF($N21="","",SUMPRODUCT(--(Checklist!$A$5:$A$494=$N21)*(--(Checklist!$F$5:$F$494=Values!$B$4)+--(Checklist!$F$5:$F$494=Values!$B$5))))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Networking</v>
      </c>
      <c r="O22" cm="1">
        <f t="array" ref="O22">IF($N22="","",SUMPRODUCT(--(Checklist!$A$5:$A$494=$N22)*--(Checklist!$F$5:$F$494=O$20)))</f>
        <v>0</v>
      </c>
      <c r="P22" cm="1">
        <f t="array" ref="P22">IF($N22="","",SUMPRODUCT(--(Checklist!$A$5:$A$494=$N22)*--(Checklist!$F$5:$F$494=P$20)))</f>
        <v>0</v>
      </c>
      <c r="Q22" cm="1">
        <f t="array" ref="Q22">IF($N22="","",SUMPRODUCT(--(Checklist!$A$5:$A$494=$N22)*(--(Checklist!$F$5:$F$494=Values!$B$4)+--(Checklist!$F$5:$F$494=Values!$B$5))))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Security</v>
      </c>
      <c r="O23" cm="1">
        <f t="array" ref="O23">IF($N23="","",SUMPRODUCT(--(Checklist!$A$5:$A$494=$N23)*--(Checklist!$F$5:$F$494=O$20)))</f>
        <v>0</v>
      </c>
      <c r="P23" cm="1">
        <f t="array" ref="P23">IF($N23="","",SUMPRODUCT(--(Checklist!$A$5:$A$494=$N23)*--(Checklist!$F$5:$F$494=P$20)))</f>
        <v>0</v>
      </c>
      <c r="Q23" cm="1">
        <f t="array" ref="Q23">IF($N23="","",SUMPRODUCT(--(Checklist!$A$5:$A$494=$N23)*(--(Checklist!$F$5:$F$494=Values!$B$4)+--(Checklist!$F$5:$F$494=Values!$B$5))))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Management</v>
      </c>
      <c r="O24" cm="1">
        <f t="array" ref="O24">IF($N24="","",SUMPRODUCT(--(Checklist!$A$5:$A$494=$N24)*--(Checklist!$F$5:$F$494=O$20)))</f>
        <v>0</v>
      </c>
      <c r="P24" cm="1">
        <f t="array" ref="P24">IF($N24="","",SUMPRODUCT(--(Checklist!$A$5:$A$494=$N24)*--(Checklist!$F$5:$F$494=P$20)))</f>
        <v>0</v>
      </c>
      <c r="Q24" cm="1">
        <f t="array" ref="Q24">IF($N24="","",SUMPRODUCT(--(Checklist!$A$5:$A$494=$N24)*(--(Checklist!$F$5:$F$494=Values!$B$4)+--(Checklist!$F$5:$F$494=Values!$B$5))))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Subscriptions</v>
      </c>
      <c r="O25" cm="1">
        <f t="array" ref="O25">IF($N25="","",SUMPRODUCT(--(Checklist!$A$5:$A$494=$N25)*--(Checklist!$F$5:$F$494=O$20)))</f>
        <v>0</v>
      </c>
      <c r="P25" cm="1">
        <f t="array" ref="P25">IF($N25="","",SUMPRODUCT(--(Checklist!$A$5:$A$494=$N25)*--(Checklist!$F$5:$F$494=P$20)))</f>
        <v>0</v>
      </c>
      <c r="Q25" cm="1">
        <f t="array" ref="Q25">IF($N25="","",SUMPRODUCT(--(Checklist!$A$5:$A$494=$N25)*(--(Checklist!$F$5:$F$494=Values!$B$4)+--(Checklist!$F$5:$F$494=Values!$B$5))))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/>
      </c>
      <c r="O26" t="str" cm="1">
        <f t="array" ref="O26">IF($N26="","",SUMPRODUCT(--(Checklist!$A$5:$A$494=$N26)*--(Checklist!$F$5:$F$494=O$20)))</f>
        <v/>
      </c>
      <c r="P26" t="str" cm="1">
        <f t="array" ref="P26">IF($N26="","",SUMPRODUCT(--(Checklist!$A$5:$A$494=$N26)*--(Checklist!$F$5:$F$494=P$20)))</f>
        <v/>
      </c>
      <c r="Q26" t="str" cm="1">
        <f t="array" ref="Q26">IF($N26="","",SUMPRODUCT(--(Checklist!$A$5:$A$494=$N26)*(--(Checklist!$F$5:$F$494=Values!$B$4)+--(Checklist!$F$5:$F$494=Values!$B$5))))</f>
        <v/>
      </c>
      <c r="R26" t="str">
        <f t="shared" si="1"/>
        <v/>
      </c>
      <c r="S26" s="16" t="str">
        <f t="shared" si="2"/>
        <v/>
      </c>
    </row>
    <row r="27" spans="14:19" x14ac:dyDescent="0.25">
      <c r="N27" s="14" t="str">
        <f>IF(Values!$C8="","",Values!$C8)</f>
        <v/>
      </c>
      <c r="O27" t="str" cm="1">
        <f t="array" ref="O27">IF($N27="","",SUMPRODUCT(--(Checklist!$A$5:$A$494=$N27)*--(Checklist!$F$5:$F$494=O$20)))</f>
        <v/>
      </c>
      <c r="P27" t="str" cm="1">
        <f t="array" ref="P27">IF($N27="","",SUMPRODUCT(--(Checklist!$A$5:$A$494=$N27)*--(Checklist!$F$5:$F$494=P$20)))</f>
        <v/>
      </c>
      <c r="Q27" t="str" cm="1">
        <f t="array" ref="Q27">IF($N27="","",SUMPRODUCT(--(Checklist!$A$5:$A$494=$N27)*(--(Checklist!$F$5:$F$494=Values!$B$4)+--(Checklist!$F$5:$F$494=Values!$B$5))))</f>
        <v/>
      </c>
      <c r="R27" t="str">
        <f t="shared" si="1"/>
        <v/>
      </c>
      <c r="S27" s="16" t="str">
        <f t="shared" si="2"/>
        <v/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IF($N28="","",SUMPRODUCT(--(Checklist!$A$5:$A$494=$N28)*--(Checklist!$F$5:$F$494=O$20)))</f>
        <v/>
      </c>
      <c r="P28" t="str" cm="1">
        <f t="array" ref="P28">IF($N28="","",SUMPRODUCT(--(Checklist!$A$5:$A$494=$N28)*--(Checklist!$F$5:$F$494=P$20)))</f>
        <v/>
      </c>
      <c r="Q28" t="str" cm="1">
        <f t="array" ref="Q28">IF($N28="","",SUMPRODUCT(--(Checklist!$A$5:$A$494=$N28)*(--(Checklist!$F$5:$F$494=Values!$B$4)+--(Checklist!$F$5:$F$494=Values!$B$5))))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97"/>
  <sheetViews>
    <sheetView showGridLines="0" tabSelected="1" zoomScale="80" zoomScaleNormal="80" workbookViewId="0">
      <selection activeCell="A5" sqref="A5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64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9"/>
      <c r="B1" s="29"/>
      <c r="C1" s="13" t="s">
        <v>12</v>
      </c>
      <c r="D1" s="13"/>
    </row>
    <row r="2" spans="1:12" s="5" customFormat="1" ht="24.6" customHeight="1" x14ac:dyDescent="0.25">
      <c r="A2" s="20" t="s">
        <v>34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6"/>
      <c r="H5" s="18"/>
      <c r="I5" s="12"/>
      <c r="J5" s="21"/>
      <c r="K5" s="21"/>
      <c r="L5" s="21"/>
    </row>
    <row r="6" spans="1:12" ht="16.5" customHeight="1" x14ac:dyDescent="0.2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6"/>
      <c r="H7" s="18"/>
      <c r="I7" s="12"/>
      <c r="J7" s="21"/>
      <c r="K7" s="21"/>
      <c r="L7" s="23"/>
    </row>
    <row r="8" spans="1:12" ht="16.5" customHeight="1" x14ac:dyDescent="0.2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C13" s="1"/>
      <c r="D13" s="26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6"/>
      <c r="H15" s="18"/>
      <c r="I15" s="12"/>
      <c r="J15" s="21"/>
      <c r="K15" s="21"/>
      <c r="L15" s="21"/>
    </row>
    <row r="16" spans="1:12" ht="16.5" customHeight="1" x14ac:dyDescent="0.25">
      <c r="A16" s="2"/>
      <c r="B16" s="2"/>
      <c r="D16" s="26"/>
      <c r="H16" s="18"/>
      <c r="I16" s="12"/>
      <c r="J16" s="21"/>
      <c r="K16" s="21"/>
      <c r="L16" s="21"/>
    </row>
    <row r="17" spans="1:12" ht="16.5" customHeight="1" x14ac:dyDescent="0.25">
      <c r="A17" s="2"/>
      <c r="B17" s="2"/>
      <c r="D17" s="26"/>
      <c r="H17" s="18"/>
      <c r="I17" s="12"/>
      <c r="J17" s="21"/>
      <c r="K17" s="21"/>
      <c r="L17" s="21"/>
    </row>
    <row r="18" spans="1:12" ht="16.5" customHeight="1" x14ac:dyDescent="0.25">
      <c r="A18" s="2"/>
      <c r="B18" s="2"/>
      <c r="D18" s="26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6"/>
      <c r="H19" s="18"/>
      <c r="I19" s="12"/>
      <c r="J19" s="21"/>
      <c r="K19" s="21"/>
      <c r="L19" s="21"/>
    </row>
    <row r="20" spans="1:12" ht="16.5" customHeight="1" x14ac:dyDescent="0.25">
      <c r="A20" s="2"/>
      <c r="B20" s="2"/>
      <c r="D20" s="26"/>
      <c r="H20" s="18"/>
      <c r="I20" s="12"/>
      <c r="J20" s="21"/>
      <c r="K20" s="21"/>
      <c r="L20" s="21"/>
    </row>
    <row r="21" spans="1:12" ht="16.5" customHeight="1" x14ac:dyDescent="0.2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6"/>
      <c r="H22" s="18"/>
      <c r="I22" s="12"/>
      <c r="J22" s="21"/>
      <c r="K22" s="21"/>
      <c r="L22" s="21"/>
    </row>
    <row r="23" spans="1:12" ht="16.5" customHeight="1" x14ac:dyDescent="0.25">
      <c r="A23" s="2"/>
      <c r="B23" s="2"/>
      <c r="D23" s="26"/>
      <c r="H23" s="18"/>
      <c r="I23" s="12"/>
      <c r="J23" s="21"/>
      <c r="K23" s="21"/>
      <c r="L23" s="21"/>
    </row>
    <row r="24" spans="1:12" ht="16.5" customHeight="1" x14ac:dyDescent="0.25">
      <c r="A24" s="2"/>
      <c r="B24" s="2"/>
      <c r="D24" s="26"/>
      <c r="H24" s="18"/>
      <c r="I24" s="12"/>
      <c r="J24" s="21"/>
      <c r="K24" s="21"/>
      <c r="L24" s="21"/>
    </row>
    <row r="25" spans="1:12" ht="16.5" customHeight="1" x14ac:dyDescent="0.2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6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6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6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6"/>
      <c r="H33" s="18"/>
      <c r="I33" s="27"/>
      <c r="J33" s="21"/>
      <c r="K33" s="21"/>
      <c r="L33" s="21"/>
    </row>
    <row r="34" spans="1:12" ht="16.5" customHeight="1" x14ac:dyDescent="0.25">
      <c r="A34" s="2"/>
      <c r="B34" s="2"/>
      <c r="D34" s="26"/>
      <c r="H34" s="18"/>
      <c r="I34" s="27"/>
      <c r="J34" s="21"/>
      <c r="K34" s="21"/>
      <c r="L34" s="21"/>
    </row>
    <row r="35" spans="1:12" ht="16.5" customHeight="1" x14ac:dyDescent="0.25">
      <c r="A35" s="2"/>
      <c r="B35" s="2"/>
      <c r="D35" s="26"/>
      <c r="H35" s="18"/>
      <c r="I35" s="27"/>
      <c r="J35" s="21"/>
      <c r="K35" s="21"/>
      <c r="L35" s="21"/>
    </row>
    <row r="36" spans="1:12" ht="16.5" customHeight="1" x14ac:dyDescent="0.2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D40" s="26"/>
      <c r="H40" s="18"/>
      <c r="I40" s="12"/>
      <c r="J40" s="21"/>
      <c r="K40" s="21"/>
      <c r="L40" s="23"/>
    </row>
    <row r="41" spans="1:12" ht="16.5" customHeight="1" x14ac:dyDescent="0.25">
      <c r="A41" s="2"/>
      <c r="B41" s="2"/>
      <c r="C41" s="1"/>
      <c r="D41" s="26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D44" s="26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D45" s="26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D51" s="26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C55" s="1"/>
      <c r="D55" s="26"/>
      <c r="H55" s="18"/>
      <c r="I55" s="12"/>
      <c r="J55" s="21"/>
      <c r="K55" s="21"/>
      <c r="L55" s="21"/>
    </row>
    <row r="56" spans="1:12" ht="16.5" customHeight="1" x14ac:dyDescent="0.25">
      <c r="A56" s="2"/>
      <c r="B56" s="2"/>
      <c r="C56" s="1"/>
      <c r="D56" s="26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6"/>
      <c r="H60" s="18"/>
      <c r="I60" s="12"/>
      <c r="J60" s="21"/>
      <c r="K60" s="21"/>
      <c r="L60" s="21"/>
    </row>
    <row r="61" spans="1:12" ht="16.5" customHeight="1" x14ac:dyDescent="0.2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C62" s="1"/>
      <c r="D62" s="26"/>
      <c r="H62" s="18"/>
      <c r="I62" s="12"/>
      <c r="J62" s="21"/>
      <c r="K62" s="21"/>
      <c r="L62" s="21"/>
    </row>
    <row r="63" spans="1:12" ht="16.5" customHeight="1" x14ac:dyDescent="0.2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6"/>
      <c r="H66" s="18"/>
      <c r="I66" s="12"/>
      <c r="J66" s="21"/>
      <c r="K66" s="21"/>
      <c r="L66" s="23"/>
    </row>
    <row r="67" spans="1:12" ht="16.5" customHeight="1" x14ac:dyDescent="0.2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D70" s="26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6"/>
      <c r="H71" s="18"/>
      <c r="I71" s="12"/>
      <c r="J71" s="21"/>
      <c r="K71" s="21"/>
      <c r="L71" s="23"/>
    </row>
    <row r="72" spans="1:12" ht="16.5" customHeight="1" x14ac:dyDescent="0.25">
      <c r="A72" s="2"/>
      <c r="B72" s="2"/>
      <c r="D72" s="26"/>
      <c r="H72" s="18"/>
      <c r="I72" s="12"/>
      <c r="J72" s="21"/>
      <c r="K72" s="21"/>
      <c r="L72" s="21"/>
    </row>
    <row r="73" spans="1:12" ht="16.5" customHeight="1" x14ac:dyDescent="0.25">
      <c r="A73" s="2"/>
      <c r="B73" s="2"/>
      <c r="D73" s="26"/>
      <c r="H73" s="18"/>
      <c r="I73" s="12"/>
      <c r="J73" s="21"/>
      <c r="K73" s="21"/>
      <c r="L73" s="23"/>
    </row>
    <row r="74" spans="1:12" ht="16.5" customHeight="1" x14ac:dyDescent="0.25">
      <c r="A74" s="2"/>
      <c r="B74" s="2"/>
      <c r="D74" s="26"/>
      <c r="H74" s="18"/>
      <c r="I74" s="12"/>
      <c r="J74" s="21"/>
      <c r="K74" s="21"/>
      <c r="L74" s="21"/>
    </row>
    <row r="75" spans="1:12" ht="16.5" customHeight="1" x14ac:dyDescent="0.25">
      <c r="A75" s="2"/>
      <c r="B75" s="2"/>
      <c r="D75" s="26"/>
      <c r="H75" s="18"/>
      <c r="I75" s="12"/>
      <c r="J75" s="21"/>
      <c r="K75" s="21"/>
      <c r="L75" s="21"/>
    </row>
    <row r="76" spans="1:12" ht="16.5" customHeight="1" x14ac:dyDescent="0.25">
      <c r="A76" s="2"/>
      <c r="B76" s="2"/>
      <c r="D76" s="26"/>
      <c r="H76" s="18"/>
      <c r="I76" s="12"/>
      <c r="J76" s="21"/>
      <c r="K76" s="21"/>
      <c r="L76" s="21"/>
    </row>
    <row r="77" spans="1:12" ht="16.5" customHeight="1" x14ac:dyDescent="0.25">
      <c r="A77" s="2"/>
      <c r="B77" s="2"/>
      <c r="D77" s="26"/>
      <c r="H77" s="18"/>
      <c r="I77" s="12"/>
      <c r="J77" s="21"/>
      <c r="K77" s="21"/>
      <c r="L77" s="21"/>
    </row>
    <row r="78" spans="1:12" ht="16.5" customHeight="1" x14ac:dyDescent="0.25">
      <c r="A78" s="2"/>
      <c r="B78" s="2"/>
      <c r="D78" s="26"/>
      <c r="H78" s="18"/>
      <c r="I78" s="12"/>
      <c r="J78" s="21"/>
      <c r="K78" s="21"/>
      <c r="L78" s="21"/>
    </row>
    <row r="79" spans="1:12" ht="16.5" customHeight="1" x14ac:dyDescent="0.25">
      <c r="A79" s="2"/>
      <c r="B79" s="2"/>
      <c r="D79" s="26"/>
      <c r="H79" s="18"/>
      <c r="I79" s="12"/>
      <c r="J79" s="21"/>
      <c r="K79" s="21"/>
      <c r="L79" s="21"/>
    </row>
    <row r="80" spans="1:12" ht="16.5" customHeight="1" x14ac:dyDescent="0.25">
      <c r="A80" s="2"/>
      <c r="B80" s="2"/>
      <c r="D80" s="26"/>
      <c r="H80" s="18"/>
      <c r="I80" s="12"/>
      <c r="J80" s="21"/>
      <c r="K80" s="21"/>
      <c r="L80" s="21"/>
    </row>
    <row r="81" spans="1:12" ht="16.5" customHeight="1" x14ac:dyDescent="0.25">
      <c r="A81" s="2"/>
      <c r="B81" s="2"/>
      <c r="C81" s="1"/>
      <c r="D81" s="26"/>
      <c r="H81" s="18"/>
      <c r="I81" s="12"/>
      <c r="J81" s="21"/>
      <c r="K81" s="21"/>
      <c r="L81" s="21"/>
    </row>
    <row r="82" spans="1:12" ht="16.5" customHeight="1" x14ac:dyDescent="0.25">
      <c r="A82" s="2"/>
      <c r="B82" s="2"/>
      <c r="D82" s="26"/>
      <c r="H82" s="27"/>
      <c r="I82" s="12"/>
      <c r="J82" s="21"/>
      <c r="K82" s="21"/>
      <c r="L82" s="21"/>
    </row>
    <row r="83" spans="1:12" ht="16.5" customHeight="1" x14ac:dyDescent="0.25">
      <c r="A83" s="2"/>
      <c r="B83" s="2"/>
      <c r="D83" s="26"/>
      <c r="H83" s="27"/>
      <c r="I83" s="12"/>
      <c r="J83" s="21"/>
      <c r="K83" s="21"/>
      <c r="L83" s="21"/>
    </row>
    <row r="84" spans="1:12" ht="16.5" customHeight="1" x14ac:dyDescent="0.2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25">
      <c r="A85" s="2"/>
      <c r="B85" s="2"/>
      <c r="C85" s="1"/>
      <c r="D85" s="26"/>
      <c r="H85" s="27"/>
      <c r="I85" s="12"/>
      <c r="J85" s="21"/>
      <c r="K85" s="21"/>
      <c r="L85" s="21"/>
    </row>
    <row r="86" spans="1:12" ht="16.5" customHeight="1" x14ac:dyDescent="0.2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25">
      <c r="A87" s="2"/>
      <c r="B87" s="2"/>
      <c r="C87" s="1"/>
      <c r="D87" s="26"/>
      <c r="H87" s="27"/>
      <c r="I87" s="12"/>
      <c r="J87" s="21"/>
      <c r="K87" s="21"/>
      <c r="L87" s="21"/>
    </row>
    <row r="88" spans="1:12" ht="16.5" customHeight="1" x14ac:dyDescent="0.25">
      <c r="A88"/>
      <c r="B88" s="2"/>
      <c r="D88" s="26"/>
      <c r="H88" s="27"/>
      <c r="I88" s="12"/>
      <c r="J88" s="21"/>
      <c r="K88" s="21"/>
      <c r="L88" s="21"/>
    </row>
    <row r="89" spans="1:12" ht="16.5" customHeight="1" x14ac:dyDescent="0.25">
      <c r="A89"/>
      <c r="B89" s="2"/>
      <c r="D89" s="26"/>
      <c r="H89" s="27"/>
      <c r="I89" s="12"/>
      <c r="J89" s="21"/>
      <c r="K89" s="21"/>
      <c r="L89" s="21"/>
    </row>
    <row r="90" spans="1:12" ht="16.5" customHeight="1" x14ac:dyDescent="0.25">
      <c r="A90"/>
      <c r="B90" s="2"/>
      <c r="D90" s="26"/>
      <c r="H90" s="27"/>
      <c r="I90" s="12"/>
      <c r="J90" s="21"/>
      <c r="K90" s="21"/>
      <c r="L90" s="21"/>
    </row>
    <row r="91" spans="1:12" ht="16.5" customHeight="1" x14ac:dyDescent="0.25">
      <c r="A91"/>
      <c r="B91" s="2"/>
      <c r="D91" s="26"/>
      <c r="H91" s="27"/>
      <c r="I91" s="12"/>
      <c r="J91" s="21"/>
      <c r="K91" s="21"/>
      <c r="L91" s="21"/>
    </row>
    <row r="92" spans="1:12" ht="15.75" customHeight="1" x14ac:dyDescent="0.25">
      <c r="A92"/>
      <c r="B92" s="2"/>
      <c r="C92" s="1"/>
      <c r="D92" s="26"/>
      <c r="H92" s="27"/>
      <c r="I92" s="12"/>
      <c r="J92" s="21"/>
      <c r="K92" s="21"/>
      <c r="L92" s="21"/>
    </row>
    <row r="93" spans="1:12" ht="16.5" customHeight="1" x14ac:dyDescent="0.25">
      <c r="A93"/>
      <c r="B93" s="2"/>
      <c r="D93" s="26"/>
      <c r="H93" s="27"/>
      <c r="I93" s="12"/>
      <c r="J93" s="21"/>
      <c r="K93" s="21"/>
      <c r="L93" s="21"/>
    </row>
    <row r="94" spans="1:12" ht="16.5" customHeight="1" x14ac:dyDescent="0.25">
      <c r="A94"/>
      <c r="B94" s="2"/>
      <c r="D94" s="26"/>
      <c r="H94" s="27"/>
      <c r="I94" s="12"/>
      <c r="J94" s="21"/>
      <c r="K94" s="21"/>
      <c r="L94" s="21"/>
    </row>
    <row r="95" spans="1:12" ht="16.5" customHeight="1" x14ac:dyDescent="0.25">
      <c r="A95" s="2"/>
      <c r="B95" s="2"/>
      <c r="D95" s="26"/>
      <c r="H95" s="27"/>
      <c r="I95" s="12"/>
      <c r="J95" s="21"/>
      <c r="K95" s="21"/>
      <c r="L95" s="21"/>
    </row>
    <row r="96" spans="1:12" ht="16.5" customHeight="1" x14ac:dyDescent="0.25">
      <c r="A96" s="2"/>
      <c r="B96" s="2"/>
      <c r="D96" s="26"/>
      <c r="H96" s="27"/>
      <c r="I96" s="12"/>
      <c r="J96" s="21"/>
      <c r="K96" s="21"/>
      <c r="L96" s="21"/>
    </row>
    <row r="97" spans="1:12" ht="16.5" customHeight="1" x14ac:dyDescent="0.25">
      <c r="A97" s="2"/>
      <c r="B97" s="2"/>
      <c r="D97" s="26"/>
      <c r="H97" s="27"/>
      <c r="I97" s="12"/>
      <c r="J97" s="21"/>
      <c r="K97" s="21"/>
      <c r="L97" s="21"/>
    </row>
    <row r="98" spans="1:12" ht="16.5" customHeight="1" x14ac:dyDescent="0.25">
      <c r="A98" s="2"/>
      <c r="B98" s="2"/>
      <c r="D98" s="26"/>
      <c r="H98" s="27"/>
      <c r="I98" s="12"/>
      <c r="J98" s="21"/>
      <c r="K98" s="21"/>
      <c r="L98" s="21"/>
    </row>
    <row r="99" spans="1:12" ht="16.5" customHeight="1" x14ac:dyDescent="0.25">
      <c r="A99" s="2"/>
      <c r="B99" s="2"/>
      <c r="D99" s="26"/>
      <c r="H99" s="27"/>
      <c r="I99" s="12"/>
      <c r="J99" s="21"/>
      <c r="K99" s="21"/>
      <c r="L99" s="21"/>
    </row>
    <row r="100" spans="1:12" ht="16.5" customHeight="1" x14ac:dyDescent="0.25">
      <c r="A100" s="2"/>
      <c r="B100" s="2"/>
      <c r="D100" s="26"/>
      <c r="H100" s="27"/>
      <c r="I100" s="12"/>
      <c r="J100" s="21"/>
      <c r="K100" s="21"/>
      <c r="L100" s="21"/>
    </row>
    <row r="101" spans="1:12" ht="16.5" customHeight="1" x14ac:dyDescent="0.25">
      <c r="A101" s="2"/>
      <c r="B101" s="2"/>
      <c r="D101" s="28"/>
      <c r="H101" s="27"/>
      <c r="I101" s="12"/>
      <c r="J101" s="21"/>
      <c r="K101" s="21"/>
      <c r="L101" s="21"/>
    </row>
    <row r="102" spans="1:12" ht="16.5" customHeight="1" x14ac:dyDescent="0.25">
      <c r="A102" s="2"/>
      <c r="B102" s="2"/>
      <c r="D102" s="26"/>
      <c r="H102" s="27"/>
      <c r="I102" s="12"/>
      <c r="J102" s="21"/>
      <c r="K102" s="21"/>
      <c r="L102" s="21"/>
    </row>
    <row r="103" spans="1:12" ht="16.5" customHeight="1" x14ac:dyDescent="0.25">
      <c r="A103" s="2"/>
      <c r="B103" s="2"/>
      <c r="D103" s="26"/>
      <c r="H103" s="27"/>
      <c r="I103" s="12"/>
      <c r="J103" s="21"/>
      <c r="K103" s="21"/>
      <c r="L103" s="21"/>
    </row>
    <row r="104" spans="1:12" ht="16.5" customHeight="1" x14ac:dyDescent="0.25">
      <c r="A104" s="2"/>
      <c r="B104" s="2"/>
      <c r="D104" s="26"/>
      <c r="H104" s="27"/>
      <c r="I104" s="12"/>
      <c r="J104" s="21"/>
      <c r="K104" s="21"/>
      <c r="L104" s="21"/>
    </row>
    <row r="105" spans="1:12" ht="16.5" customHeight="1" x14ac:dyDescent="0.25">
      <c r="A105" s="2"/>
      <c r="B105" s="2"/>
      <c r="D105" s="26"/>
      <c r="H105" s="27"/>
      <c r="I105" s="12"/>
      <c r="J105" s="21"/>
      <c r="K105" s="21"/>
      <c r="L105" s="21"/>
    </row>
    <row r="106" spans="1:12" ht="16.5" customHeight="1" x14ac:dyDescent="0.25">
      <c r="B106" s="2"/>
      <c r="D106" s="26"/>
      <c r="H106" s="27"/>
      <c r="I106" s="12"/>
      <c r="J106" s="21"/>
      <c r="K106" s="21"/>
      <c r="L106" s="21"/>
    </row>
    <row r="107" spans="1:12" ht="16.5" customHeight="1" x14ac:dyDescent="0.25">
      <c r="B107" s="2"/>
      <c r="D107" s="26"/>
      <c r="H107" s="27"/>
      <c r="I107" s="12"/>
      <c r="J107" s="21"/>
      <c r="K107" s="21"/>
      <c r="L107" s="21"/>
    </row>
    <row r="108" spans="1:12" ht="16.5" customHeight="1" x14ac:dyDescent="0.25">
      <c r="B108" s="2"/>
      <c r="D108" s="26"/>
      <c r="H108" s="27"/>
      <c r="I108" s="12"/>
      <c r="J108" s="21"/>
      <c r="K108" s="21"/>
      <c r="L108" s="21"/>
    </row>
    <row r="109" spans="1:12" ht="16.5" customHeight="1" x14ac:dyDescent="0.25">
      <c r="B109" s="2"/>
      <c r="D109" s="26"/>
      <c r="H109" s="27"/>
      <c r="I109" s="12"/>
      <c r="J109" s="21"/>
      <c r="K109" s="21"/>
      <c r="L109" s="23"/>
    </row>
    <row r="110" spans="1:12" ht="16.5" customHeight="1" x14ac:dyDescent="0.25">
      <c r="B110" s="2"/>
      <c r="D110" s="26"/>
      <c r="H110" s="27"/>
      <c r="I110" s="12"/>
      <c r="J110" s="21"/>
      <c r="K110" s="21"/>
      <c r="L110" s="21"/>
    </row>
    <row r="111" spans="1:12" ht="16.5" customHeight="1" x14ac:dyDescent="0.25">
      <c r="B111" s="2"/>
      <c r="D111" s="26"/>
      <c r="H111" s="27"/>
      <c r="I111" s="12"/>
      <c r="J111" s="21"/>
      <c r="K111" s="21"/>
      <c r="L111" s="21"/>
    </row>
    <row r="112" spans="1:12" ht="16.5" customHeight="1" x14ac:dyDescent="0.25">
      <c r="B112" s="2"/>
      <c r="D112" s="26"/>
      <c r="H112" s="27"/>
      <c r="I112" s="12"/>
      <c r="J112" s="21"/>
      <c r="K112" s="21"/>
      <c r="L112" s="21"/>
    </row>
    <row r="113" spans="2:12" ht="16.5" customHeight="1" x14ac:dyDescent="0.25">
      <c r="B113" s="2"/>
      <c r="H113" s="27"/>
      <c r="I113" s="12"/>
      <c r="J113" s="21"/>
      <c r="K113" s="21"/>
      <c r="L113" s="21"/>
    </row>
    <row r="114" spans="2:12" ht="16.5" customHeight="1" x14ac:dyDescent="0.25">
      <c r="B114" s="2"/>
      <c r="G114" s="1"/>
      <c r="H114" s="27"/>
      <c r="I114" s="12"/>
      <c r="J114" s="21"/>
      <c r="K114" s="21"/>
      <c r="L114" s="21"/>
    </row>
    <row r="115" spans="2:12" ht="16.5" customHeight="1" x14ac:dyDescent="0.25">
      <c r="B115" s="2"/>
      <c r="H115" s="27"/>
      <c r="I115" s="12"/>
      <c r="J115" s="21"/>
      <c r="K115" s="21"/>
      <c r="L115" s="21"/>
    </row>
    <row r="116" spans="2:12" ht="16.5" customHeight="1" x14ac:dyDescent="0.25">
      <c r="B116" s="2"/>
      <c r="H116" s="27"/>
      <c r="I116" s="12"/>
      <c r="J116" s="21"/>
      <c r="K116" s="21"/>
      <c r="L116" s="21"/>
    </row>
    <row r="117" spans="2:12" ht="16.5" customHeight="1" x14ac:dyDescent="0.25">
      <c r="B117" s="2"/>
      <c r="H117" s="27"/>
      <c r="I117" s="12"/>
      <c r="J117" s="21"/>
      <c r="K117" s="21"/>
      <c r="L117" s="21"/>
    </row>
    <row r="118" spans="2:12" ht="16.5" customHeight="1" x14ac:dyDescent="0.25">
      <c r="B118" s="2"/>
      <c r="G118" s="1"/>
      <c r="H118" s="27"/>
      <c r="I118" s="12"/>
      <c r="J118" s="21"/>
      <c r="K118" s="21"/>
      <c r="L118" s="21"/>
    </row>
    <row r="119" spans="2:12" ht="16.5" customHeight="1" x14ac:dyDescent="0.25">
      <c r="B119" s="2"/>
      <c r="G119" s="1"/>
      <c r="H119" s="27"/>
      <c r="I119" s="12"/>
      <c r="J119" s="21"/>
      <c r="K119" s="21"/>
      <c r="L119" s="21"/>
    </row>
    <row r="120" spans="2:12" ht="16.5" customHeight="1" x14ac:dyDescent="0.25">
      <c r="B120" s="2"/>
      <c r="G120" s="1"/>
      <c r="H120" s="27"/>
      <c r="I120" s="12"/>
      <c r="J120" s="21"/>
      <c r="K120" s="21"/>
      <c r="L120" s="21"/>
    </row>
    <row r="121" spans="2:12" ht="16.5" customHeight="1" x14ac:dyDescent="0.25">
      <c r="B121" s="2"/>
      <c r="G121" s="1"/>
      <c r="H121" s="27"/>
      <c r="I121" s="12"/>
      <c r="J121" s="21"/>
      <c r="K121" s="21"/>
      <c r="L121" s="21"/>
    </row>
    <row r="122" spans="2:12" ht="16.5" customHeight="1" x14ac:dyDescent="0.25">
      <c r="B122" s="2"/>
      <c r="H122" s="27"/>
      <c r="I122" s="12"/>
      <c r="J122" s="21"/>
      <c r="K122" s="21"/>
      <c r="L122" s="21"/>
    </row>
    <row r="123" spans="2:12" ht="16.5" customHeight="1" x14ac:dyDescent="0.25">
      <c r="B123" s="2"/>
      <c r="G123" s="1"/>
      <c r="H123" s="27"/>
      <c r="I123" s="12"/>
      <c r="J123" s="21"/>
      <c r="K123" s="21"/>
      <c r="L123" s="21"/>
    </row>
    <row r="124" spans="2:12" ht="16.5" customHeight="1" x14ac:dyDescent="0.25">
      <c r="B124" s="2"/>
      <c r="G124" s="1"/>
      <c r="H124" s="27"/>
      <c r="I124" s="12"/>
      <c r="J124" s="21"/>
      <c r="K124" s="21"/>
      <c r="L124" s="21"/>
    </row>
    <row r="125" spans="2:12" ht="16.5" customHeight="1" x14ac:dyDescent="0.25">
      <c r="B125" s="2"/>
      <c r="G125" s="1"/>
      <c r="H125" s="27"/>
      <c r="I125" s="12"/>
      <c r="J125" s="21"/>
      <c r="K125" s="21"/>
      <c r="L125" s="21"/>
    </row>
    <row r="126" spans="2:12" ht="16.5" customHeight="1" x14ac:dyDescent="0.25">
      <c r="B126" s="2"/>
      <c r="G126" s="1"/>
      <c r="H126" s="27"/>
      <c r="I126" s="12"/>
      <c r="J126" s="21"/>
      <c r="K126" s="21"/>
      <c r="L126" s="21"/>
    </row>
    <row r="127" spans="2:12" ht="16.5" customHeight="1" x14ac:dyDescent="0.25">
      <c r="B127" s="2"/>
      <c r="H127" s="27"/>
      <c r="I127" s="12"/>
      <c r="J127" s="21"/>
      <c r="K127" s="21"/>
      <c r="L127" s="21"/>
    </row>
    <row r="128" spans="2:12" ht="16.5" customHeight="1" x14ac:dyDescent="0.25">
      <c r="B128" s="2"/>
      <c r="H128" s="27"/>
      <c r="I128" s="12"/>
      <c r="J128" s="21"/>
      <c r="K128" s="21"/>
      <c r="L128" s="21"/>
    </row>
    <row r="129" spans="2:12" ht="16.5" customHeight="1" x14ac:dyDescent="0.25">
      <c r="B129" s="2"/>
      <c r="G129" s="1"/>
      <c r="H129" s="27"/>
      <c r="I129" s="12"/>
      <c r="J129" s="21"/>
      <c r="K129" s="21"/>
      <c r="L129" s="21"/>
    </row>
    <row r="130" spans="2:12" ht="16.5" customHeight="1" x14ac:dyDescent="0.25">
      <c r="B130" s="2"/>
      <c r="H130" s="27"/>
      <c r="I130" s="12"/>
      <c r="J130" s="21"/>
      <c r="K130" s="21"/>
      <c r="L130" s="21"/>
    </row>
    <row r="131" spans="2:12" ht="16.5" customHeight="1" x14ac:dyDescent="0.25">
      <c r="B131" s="2"/>
      <c r="H131" s="27"/>
      <c r="I131" s="12"/>
      <c r="J131" s="21"/>
      <c r="K131" s="21"/>
      <c r="L131" s="21"/>
    </row>
    <row r="132" spans="2:12" ht="16.5" customHeight="1" x14ac:dyDescent="0.25">
      <c r="B132" s="2"/>
      <c r="H132" s="27"/>
      <c r="I132" s="12"/>
      <c r="J132" s="21"/>
      <c r="K132" s="21"/>
      <c r="L132" s="21"/>
    </row>
    <row r="133" spans="2:12" ht="16.5" customHeight="1" x14ac:dyDescent="0.25">
      <c r="B133" s="2"/>
      <c r="H133" s="27"/>
      <c r="I133" s="12"/>
      <c r="J133" s="21"/>
      <c r="K133" s="21"/>
      <c r="L133" s="21"/>
    </row>
    <row r="134" spans="2:12" ht="16.5" customHeight="1" x14ac:dyDescent="0.25">
      <c r="B134" s="2"/>
      <c r="H134" s="27"/>
      <c r="I134" s="12"/>
      <c r="J134" s="21"/>
      <c r="K134" s="21"/>
      <c r="L134" s="21"/>
    </row>
    <row r="135" spans="2:12" ht="16.5" customHeight="1" x14ac:dyDescent="0.25">
      <c r="B135" s="2"/>
      <c r="H135" s="27"/>
      <c r="I135" s="12"/>
      <c r="J135" s="21"/>
      <c r="K135" s="21"/>
      <c r="L135" s="21"/>
    </row>
    <row r="136" spans="2:12" ht="16.5" customHeight="1" x14ac:dyDescent="0.25">
      <c r="B136" s="2"/>
      <c r="H136" s="27"/>
      <c r="I136" s="12"/>
      <c r="J136" s="21"/>
      <c r="K136" s="21"/>
      <c r="L136" s="21"/>
    </row>
    <row r="137" spans="2:12" ht="16.5" customHeight="1" x14ac:dyDescent="0.25">
      <c r="B137" s="2"/>
      <c r="H137" s="27"/>
      <c r="I137" s="12"/>
      <c r="J137" s="21"/>
      <c r="K137" s="21"/>
      <c r="L137" s="21"/>
    </row>
    <row r="138" spans="2:12" ht="16.5" customHeight="1" x14ac:dyDescent="0.25">
      <c r="B138" s="2"/>
      <c r="H138" s="27"/>
      <c r="I138" s="12"/>
      <c r="J138" s="21"/>
      <c r="K138" s="21"/>
      <c r="L138" s="21"/>
    </row>
    <row r="139" spans="2:12" ht="16.5" customHeight="1" x14ac:dyDescent="0.25">
      <c r="B139" s="2"/>
      <c r="H139" s="27"/>
      <c r="I139" s="12"/>
      <c r="J139" s="21"/>
      <c r="K139" s="21"/>
      <c r="L139" s="21"/>
    </row>
    <row r="140" spans="2:12" ht="16.5" customHeight="1" x14ac:dyDescent="0.25">
      <c r="B140" s="2"/>
      <c r="H140" s="27"/>
      <c r="I140" s="12"/>
      <c r="J140" s="21"/>
      <c r="K140" s="21"/>
      <c r="L140" s="21"/>
    </row>
    <row r="141" spans="2:12" ht="16.5" customHeight="1" x14ac:dyDescent="0.25">
      <c r="B141" s="2"/>
      <c r="H141" s="27"/>
      <c r="I141" s="12"/>
      <c r="J141" s="21"/>
      <c r="K141" s="21"/>
      <c r="L141" s="21"/>
    </row>
    <row r="142" spans="2:12" ht="16.5" customHeight="1" x14ac:dyDescent="0.25">
      <c r="B142" s="2"/>
      <c r="H142" s="27"/>
      <c r="I142" s="12"/>
      <c r="J142" s="21"/>
      <c r="K142" s="21"/>
      <c r="L142" s="21"/>
    </row>
    <row r="143" spans="2:12" ht="16.5" customHeight="1" x14ac:dyDescent="0.25">
      <c r="B143" s="2"/>
      <c r="G143" s="1"/>
      <c r="H143" s="27"/>
      <c r="I143" s="12"/>
      <c r="J143" s="21"/>
      <c r="K143" s="21"/>
      <c r="L143" s="21"/>
    </row>
    <row r="144" spans="2:12" ht="16.5" customHeight="1" x14ac:dyDescent="0.25">
      <c r="B144" s="2"/>
      <c r="G144" s="1"/>
      <c r="H144" s="27"/>
      <c r="I144" s="12"/>
      <c r="J144" s="21"/>
      <c r="K144" s="21"/>
      <c r="L144" s="21"/>
    </row>
    <row r="145" spans="2:12" ht="16.5" customHeight="1" x14ac:dyDescent="0.25">
      <c r="B145" s="2"/>
      <c r="G145" s="1"/>
      <c r="H145" s="27"/>
      <c r="I145" s="12"/>
      <c r="J145" s="21"/>
      <c r="K145" s="21"/>
      <c r="L145" s="21"/>
    </row>
    <row r="146" spans="2:12" ht="16.5" customHeight="1" x14ac:dyDescent="0.25">
      <c r="B146" s="2"/>
      <c r="C146" s="1"/>
      <c r="D146" s="1"/>
      <c r="G146" s="1"/>
      <c r="H146" s="27"/>
      <c r="I146" s="12"/>
      <c r="J146" s="21"/>
      <c r="K146" s="21"/>
      <c r="L146" s="21"/>
    </row>
    <row r="147" spans="2:12" ht="16.5" customHeight="1" x14ac:dyDescent="0.25">
      <c r="B147" s="2"/>
      <c r="C147" s="1"/>
      <c r="D147" s="1"/>
      <c r="G147" s="1"/>
      <c r="H147" s="27"/>
      <c r="I147" s="12"/>
      <c r="J147" s="21"/>
      <c r="K147" s="21"/>
      <c r="L147" s="21"/>
    </row>
    <row r="148" spans="2:12" ht="16.5" customHeight="1" x14ac:dyDescent="0.25">
      <c r="B148" s="2"/>
      <c r="C148" s="1"/>
      <c r="D148" s="1"/>
      <c r="G148" s="1"/>
      <c r="H148" s="27"/>
      <c r="I148" s="12"/>
      <c r="J148" s="21"/>
      <c r="K148" s="21"/>
      <c r="L148" s="21"/>
    </row>
    <row r="149" spans="2:12" ht="16.5" customHeight="1" x14ac:dyDescent="0.25">
      <c r="B149" s="2"/>
      <c r="G149" s="1"/>
      <c r="H149" s="27"/>
      <c r="I149" s="12"/>
      <c r="J149" s="21"/>
      <c r="K149" s="21"/>
      <c r="L149" s="21"/>
    </row>
    <row r="150" spans="2:12" ht="16.5" customHeight="1" x14ac:dyDescent="0.25">
      <c r="B150" s="2"/>
      <c r="G150" s="1"/>
      <c r="H150" s="27"/>
      <c r="I150" s="12"/>
      <c r="J150" s="21"/>
      <c r="K150" s="21"/>
      <c r="L150" s="21"/>
    </row>
    <row r="151" spans="2:12" ht="16.5" customHeight="1" x14ac:dyDescent="0.25">
      <c r="B151" s="2"/>
      <c r="G151" s="1"/>
      <c r="H151" s="27"/>
      <c r="I151" s="12"/>
      <c r="J151" s="21"/>
      <c r="K151" s="21"/>
      <c r="L151" s="21"/>
    </row>
    <row r="152" spans="2:12" ht="16.5" customHeight="1" x14ac:dyDescent="0.25">
      <c r="B152" s="2"/>
      <c r="G152" s="1"/>
      <c r="H152" s="27"/>
      <c r="I152" s="12"/>
      <c r="J152" s="21"/>
      <c r="K152" s="21"/>
      <c r="L152" s="21"/>
    </row>
    <row r="153" spans="2:12" ht="16.5" customHeight="1" x14ac:dyDescent="0.25">
      <c r="B153" s="2"/>
      <c r="G153" s="1"/>
      <c r="H153" s="27"/>
      <c r="I153" s="12"/>
      <c r="J153" s="21"/>
      <c r="K153" s="21"/>
      <c r="L153" s="21"/>
    </row>
    <row r="154" spans="2:12" ht="16.5" customHeight="1" x14ac:dyDescent="0.25">
      <c r="B154" s="2"/>
      <c r="H154" s="27"/>
      <c r="I154" s="12"/>
      <c r="J154" s="21"/>
      <c r="K154" s="21"/>
      <c r="L154" s="21"/>
    </row>
    <row r="155" spans="2:12" ht="16.5" customHeight="1" x14ac:dyDescent="0.25">
      <c r="B155" s="2"/>
      <c r="H155" s="27"/>
      <c r="I155" s="12"/>
      <c r="J155" s="21"/>
      <c r="K155" s="21"/>
      <c r="L155" s="21"/>
    </row>
    <row r="156" spans="2:12" ht="16.5" customHeight="1" x14ac:dyDescent="0.25">
      <c r="B156" s="2"/>
      <c r="H156" s="27"/>
      <c r="I156" s="12"/>
      <c r="J156" s="21"/>
      <c r="K156" s="21"/>
      <c r="L156" s="21"/>
    </row>
    <row r="157" spans="2:12" ht="16.5" customHeight="1" x14ac:dyDescent="0.25">
      <c r="B157" s="2"/>
      <c r="H157" s="27"/>
      <c r="I157" s="12"/>
      <c r="J157" s="21"/>
      <c r="K157" s="21"/>
      <c r="L157" s="23"/>
    </row>
    <row r="158" spans="2:12" ht="16.5" customHeight="1" x14ac:dyDescent="0.25">
      <c r="B158" s="2"/>
      <c r="G158" s="1"/>
      <c r="H158" s="27"/>
      <c r="I158" s="12"/>
      <c r="J158" s="21"/>
      <c r="K158" s="21"/>
      <c r="L158" s="21"/>
    </row>
    <row r="159" spans="2:12" ht="16.5" customHeight="1" x14ac:dyDescent="0.25">
      <c r="B159" s="2"/>
      <c r="H159" s="27"/>
      <c r="I159" s="12"/>
      <c r="J159" s="21"/>
      <c r="K159" s="21"/>
      <c r="L159" s="21"/>
    </row>
    <row r="160" spans="2:12" ht="16.5" customHeight="1" x14ac:dyDescent="0.25">
      <c r="B160" s="2"/>
      <c r="H160" s="27"/>
      <c r="I160" s="12"/>
      <c r="J160" s="21"/>
      <c r="K160" s="21"/>
      <c r="L160" s="21"/>
    </row>
    <row r="161" spans="1:12" ht="16.5" customHeight="1" x14ac:dyDescent="0.25">
      <c r="A161" s="2"/>
      <c r="B161" s="2"/>
      <c r="H161" s="27"/>
      <c r="J161" s="21"/>
      <c r="K161" s="21"/>
      <c r="L161" s="21"/>
    </row>
    <row r="162" spans="1:12" ht="16.5" customHeight="1" x14ac:dyDescent="0.25">
      <c r="A162" s="2"/>
      <c r="B162" s="2"/>
      <c r="H162" s="27"/>
      <c r="J162" s="21"/>
      <c r="K162" s="21"/>
      <c r="L162" s="21"/>
    </row>
    <row r="163" spans="1:12" ht="16.5" customHeight="1" x14ac:dyDescent="0.25">
      <c r="H163" s="27"/>
      <c r="J163" s="21"/>
      <c r="K163" s="21"/>
      <c r="L163" s="21"/>
    </row>
    <row r="164" spans="1:12" ht="16.5" customHeight="1" x14ac:dyDescent="0.25">
      <c r="H164" s="27"/>
      <c r="J164" s="21"/>
      <c r="K164" s="21"/>
      <c r="L164" s="21"/>
    </row>
    <row r="165" spans="1:12" ht="16.5" customHeight="1" x14ac:dyDescent="0.25">
      <c r="H165" s="27"/>
      <c r="J165" s="21"/>
      <c r="K165" s="21"/>
      <c r="L165" s="21"/>
    </row>
    <row r="166" spans="1:12" ht="16.5" customHeight="1" x14ac:dyDescent="0.25">
      <c r="H166" s="27"/>
      <c r="J166" s="21"/>
      <c r="K166" s="21"/>
      <c r="L166" s="21"/>
    </row>
    <row r="167" spans="1:12" ht="16.5" customHeight="1" x14ac:dyDescent="0.25">
      <c r="J167" s="21"/>
      <c r="K167" s="21"/>
      <c r="L167" s="21"/>
    </row>
    <row r="168" spans="1:12" ht="16.5" customHeight="1" x14ac:dyDescent="0.25">
      <c r="J168" s="21"/>
      <c r="K168" s="21"/>
      <c r="L168" s="21"/>
    </row>
    <row r="169" spans="1:12" ht="16.5" customHeight="1" x14ac:dyDescent="0.25">
      <c r="J169" s="21"/>
      <c r="K169" s="21"/>
      <c r="L169" s="21"/>
    </row>
    <row r="170" spans="1:12" ht="16.5" customHeight="1" x14ac:dyDescent="0.25">
      <c r="J170" s="21"/>
      <c r="K170" s="21"/>
      <c r="L170" s="21"/>
    </row>
    <row r="171" spans="1:12" ht="16.5" customHeight="1" x14ac:dyDescent="0.25">
      <c r="J171" s="21"/>
      <c r="K171" s="21"/>
      <c r="L171" s="21"/>
    </row>
    <row r="172" spans="1:12" ht="16.5" customHeight="1" x14ac:dyDescent="0.25">
      <c r="J172" s="21"/>
      <c r="K172" s="21"/>
      <c r="L172" s="21"/>
    </row>
    <row r="173" spans="1:12" ht="16.5" customHeight="1" x14ac:dyDescent="0.25">
      <c r="J173" s="21"/>
      <c r="K173" s="21"/>
      <c r="L173" s="21"/>
    </row>
    <row r="174" spans="1:12" ht="16.5" customHeight="1" x14ac:dyDescent="0.25">
      <c r="J174" s="21"/>
      <c r="K174" s="21"/>
      <c r="L174" s="21"/>
    </row>
    <row r="175" spans="1:12" ht="16.5" customHeight="1" x14ac:dyDescent="0.25">
      <c r="J175" s="21"/>
      <c r="K175" s="21"/>
      <c r="L175" s="21"/>
    </row>
    <row r="176" spans="1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ht="16.5" customHeight="1" x14ac:dyDescent="0.25">
      <c r="J205" s="21"/>
      <c r="K205" s="21"/>
      <c r="L205" s="21"/>
    </row>
    <row r="206" spans="10:12" ht="16.5" customHeight="1" x14ac:dyDescent="0.25">
      <c r="J206" s="21"/>
      <c r="K206" s="21"/>
      <c r="L206" s="21"/>
    </row>
    <row r="207" spans="10:12" ht="16.5" customHeight="1" x14ac:dyDescent="0.25">
      <c r="J207" s="21"/>
      <c r="K207" s="21"/>
      <c r="L207" s="21"/>
    </row>
    <row r="208" spans="10:12" ht="16.5" customHeight="1" x14ac:dyDescent="0.25">
      <c r="J208" s="21"/>
      <c r="K208" s="21"/>
      <c r="L208" s="21"/>
    </row>
    <row r="209" spans="10:12" ht="16.5" customHeight="1" x14ac:dyDescent="0.25">
      <c r="J209" s="21"/>
      <c r="K209" s="21"/>
      <c r="L209" s="21"/>
    </row>
    <row r="210" spans="10:12" ht="16.5" customHeight="1" x14ac:dyDescent="0.25">
      <c r="J210" s="21"/>
      <c r="K210" s="21"/>
      <c r="L210" s="21"/>
    </row>
    <row r="211" spans="10:12" ht="16.5" customHeight="1" x14ac:dyDescent="0.25">
      <c r="J211" s="21"/>
      <c r="K211" s="21"/>
      <c r="L211" s="21"/>
    </row>
    <row r="212" spans="10:12" ht="16.5" customHeight="1" x14ac:dyDescent="0.25">
      <c r="J212" s="21"/>
      <c r="K212" s="21"/>
      <c r="L212" s="21"/>
    </row>
    <row r="213" spans="10:12" ht="16.5" customHeight="1" x14ac:dyDescent="0.25">
      <c r="J213" s="21"/>
      <c r="K213" s="21"/>
      <c r="L213" s="21"/>
    </row>
    <row r="214" spans="10:12" ht="16.5" customHeight="1" x14ac:dyDescent="0.25">
      <c r="J214" s="21"/>
      <c r="K214" s="21"/>
      <c r="L214" s="21"/>
    </row>
    <row r="215" spans="10:12" ht="16.5" customHeight="1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  <c r="L282" s="21"/>
    </row>
    <row r="283" spans="10:12" x14ac:dyDescent="0.25">
      <c r="J283" s="21"/>
      <c r="K283" s="21"/>
      <c r="L283" s="21"/>
    </row>
    <row r="284" spans="10:12" x14ac:dyDescent="0.25">
      <c r="J284" s="21"/>
      <c r="K284" s="21"/>
      <c r="L284" s="21"/>
    </row>
    <row r="285" spans="10:12" x14ac:dyDescent="0.25">
      <c r="J285" s="21"/>
      <c r="K285" s="21"/>
      <c r="L285" s="21"/>
    </row>
    <row r="286" spans="10:12" x14ac:dyDescent="0.25">
      <c r="J286" s="21"/>
      <c r="K286" s="21"/>
      <c r="L286" s="21"/>
    </row>
    <row r="287" spans="10:12" x14ac:dyDescent="0.25">
      <c r="J287" s="21"/>
      <c r="K287" s="21"/>
      <c r="L287" s="21"/>
    </row>
    <row r="288" spans="10:12" x14ac:dyDescent="0.25">
      <c r="J288" s="21"/>
      <c r="K288" s="21"/>
      <c r="L288" s="21"/>
    </row>
    <row r="289" spans="10:12" x14ac:dyDescent="0.25">
      <c r="J289" s="21"/>
      <c r="K289" s="21"/>
      <c r="L289" s="21"/>
    </row>
    <row r="290" spans="10:12" x14ac:dyDescent="0.25">
      <c r="J290" s="21"/>
      <c r="K290" s="21"/>
      <c r="L290" s="21"/>
    </row>
    <row r="291" spans="10:12" x14ac:dyDescent="0.25">
      <c r="J291" s="21"/>
      <c r="K291" s="21"/>
      <c r="L291" s="21"/>
    </row>
    <row r="292" spans="10:12" x14ac:dyDescent="0.25">
      <c r="J292" s="21"/>
      <c r="K292" s="21"/>
      <c r="L292" s="21"/>
    </row>
    <row r="293" spans="10:12" x14ac:dyDescent="0.25">
      <c r="J293" s="21"/>
      <c r="K293" s="21"/>
    </row>
    <row r="294" spans="10:12" x14ac:dyDescent="0.25">
      <c r="J294" s="21"/>
      <c r="K294" s="21"/>
    </row>
    <row r="295" spans="10:12" x14ac:dyDescent="0.25">
      <c r="J295" s="21"/>
      <c r="K295" s="21"/>
    </row>
    <row r="296" spans="10:12" x14ac:dyDescent="0.25">
      <c r="J296" s="21"/>
      <c r="K296" s="21"/>
    </row>
    <row r="297" spans="10:12" x14ac:dyDescent="0.25">
      <c r="J297" s="21"/>
      <c r="K297" s="21"/>
    </row>
  </sheetData>
  <autoFilter ref="A4:I160" xr:uid="{40A4B7A3-F207-4AF4-8579-95FFC9A7072F}"/>
  <dataConsolidate/>
  <mergeCells count="1">
    <mergeCell ref="A1:B1"/>
  </mergeCells>
  <conditionalFormatting sqref="D6:D18">
    <cfRule type="cellIs" dxfId="9" priority="171" operator="equal">
      <formula>"Fulfilled"</formula>
    </cfRule>
    <cfRule type="cellIs" dxfId="8" priority="172" operator="equal">
      <formula>"Not verified"</formula>
    </cfRule>
    <cfRule type="cellIs" dxfId="7" priority="173" operator="equal">
      <formula>"Fullfilled"</formula>
    </cfRule>
    <cfRule type="cellIs" dxfId="6" priority="174" operator="equal">
      <formula>"N/A"</formula>
    </cfRule>
    <cfRule type="cellIs" dxfId="5" priority="175" operator="equal">
      <formula>"Open"</formula>
    </cfRule>
  </conditionalFormatting>
  <conditionalFormatting sqref="J5:L292">
    <cfRule type="expression" dxfId="4" priority="1">
      <formula>($C5&lt;&gt;"")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3</xdr:col>
                    <xdr:colOff>476250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3</xdr:col>
                    <xdr:colOff>485775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F5:F162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6"/>
  <sheetViews>
    <sheetView workbookViewId="0">
      <selection activeCell="A4" sqref="A4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2</v>
      </c>
      <c r="B1" t="s">
        <v>3</v>
      </c>
      <c r="C1" t="s">
        <v>15</v>
      </c>
      <c r="D1" t="s">
        <v>20</v>
      </c>
      <c r="E1" t="s">
        <v>28</v>
      </c>
    </row>
    <row r="2" spans="1:5" x14ac:dyDescent="0.25">
      <c r="A2" t="s">
        <v>5</v>
      </c>
      <c r="B2" s="11" t="s">
        <v>6</v>
      </c>
      <c r="C2" t="s">
        <v>31</v>
      </c>
      <c r="D2" s="19" t="s">
        <v>24</v>
      </c>
      <c r="E2" s="19" t="s">
        <v>27</v>
      </c>
    </row>
    <row r="3" spans="1:5" x14ac:dyDescent="0.25">
      <c r="A3" t="s">
        <v>8</v>
      </c>
      <c r="B3" s="8" t="s">
        <v>9</v>
      </c>
      <c r="C3" t="s">
        <v>33</v>
      </c>
    </row>
    <row r="4" spans="1:5" x14ac:dyDescent="0.25">
      <c r="A4" t="s">
        <v>7</v>
      </c>
      <c r="B4" s="9" t="s">
        <v>10</v>
      </c>
      <c r="C4" t="s">
        <v>32</v>
      </c>
    </row>
    <row r="5" spans="1:5" x14ac:dyDescent="0.25">
      <c r="B5" s="10" t="s">
        <v>11</v>
      </c>
      <c r="C5" t="s">
        <v>36</v>
      </c>
    </row>
    <row r="6" spans="1:5" x14ac:dyDescent="0.25">
      <c r="C6" t="s">
        <v>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2021-11-10T07:54:34Z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