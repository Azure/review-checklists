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D0ED69D8-2F68-48F1-AB97-BC6E04879AD3}" xr6:coauthVersionLast="47" xr6:coauthVersionMax="47" xr10:uidLastSave="{00000000-0000-0000-0000-000000000000}"/>
  <bookViews>
    <workbookView xWindow="-120" yWindow="-120" windowWidth="29040" windowHeight="1572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F2" i="6" s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<sst xmlns="http://schemas.openxmlformats.org/spreadsheetml/2006/main" count="284" uniqueCount="185">
  <si>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</si>
  <si>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</si>
  <si>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</si>
  <si>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</si>
  <si>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</si>
  <si>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</si>
  <si>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</si>
  <si>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</si>
  <si>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</si>
  <si>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</si>
  <si>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</si>
  <si>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</si>
  <si>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</si>
  <si>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</si>
  <si>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</si>
  <si>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</si>
  <si>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</si>
  <si>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</si>
  <si>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</si>
  <si>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</si>
  <si>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</si>
  <si>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</si>
  <si>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</si>
  <si>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</si>
  <si>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</si>
  <si>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</si>
  <si>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</si>
  <si>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</si>
  <si>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</si>
  <si>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</si>
  <si>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</si>
  <si>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</si>
  <si>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</si>
  <si>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</si>
  <si>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</si>
  <si>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</si>
  <si>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</si>
  <si>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</si>
  <si>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</si>
  <si>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</si>
  <si>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</si>
  <si>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</si>
  <si>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</si>
  <si>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</si>
  <si>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</si>
  <si>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</si>
  <si>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</si>
  <si>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</si>
  <si>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</si>
  <si>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</si>
  <si>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</si>
  <si>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</si>
  <si>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</si>
  <si>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</si>
  <si>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</si>
  <si>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</si>
  <si>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</si>
  <si>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</si>
  <si>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</si>
  <si>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</si>
  <si>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</si>
  <si>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</si>
  <si>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</si>
  <si>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</si>
  <si>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</si>
  <si>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</si>
  <si>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</si>
  <si>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</si>
  <si>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</si>
  <si>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</si>
  <si>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</si>
  <si>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</si>
  <si>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</si>
  <si>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</si>
  <si>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</si>
  <si>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</si>
  <si>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</si>
  <si>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</si>
  <si>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</si>
  <si>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</si>
  <si>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</si>
  <si>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</si>
  <si>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</si>
  <si>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</si>
  <si>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</si>
  <si>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</si>
  <si>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</si>
  <si>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</si>
  <si>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</si>
  <si>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</si>
  <si>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</si>
  <si>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</si>
  <si>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</si>
  <si>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</si>
  <si>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</si>
  <si>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</si>
  <si>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</si>
  <si>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</si>
  <si>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</si>
  <si>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</si>
  <si>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</si>
  <si>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</si>
  <si>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</si>
  <si>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</si>
  <si>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</si>
  <si>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</si>
  <si>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</si>
  <si>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</si>
  <si>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</si>
  <si>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</si>
  <si>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</si>
  <si>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</si>
  <si>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</si>
  <si>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</si>
  <si>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</si>
  <si>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</si>
  <si>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</si>
  <si>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</si>
  <si>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</si>
  <si>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</si>
  <si>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</si>
  <si>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</si>
  <si>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</si>
  <si>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</si>
  <si>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</si>
  <si>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</si>
  <si>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</si>
  <si>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</si>
  <si>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</si>
  <si>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</si>
  <si>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</si>
  <si>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</si>
  <si>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</si>
  <si>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</si>
  <si>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</si>
  <si>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</si>
  <si>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</si>
  <si>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</si>
  <si>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</si>
  <si>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</si>
  <si>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</si>
  <si>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</si>
  <si>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</si>
  <si>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</si>
  <si>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</si>
  <si>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</si>
  <si>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</si>
  <si>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</si>
  <si>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</si>
  <si>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</si>
  <si>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</si>
  <si>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</si>
  <si>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</si>
  <si>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</si>
  <si>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</si>
  <si>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</si>
  <si>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</si>
  <si>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</si>
  <si>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</si>
  <si>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</si>
  <si>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</si>
  <si>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</si>
  <si>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</si>
  <si>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</si>
  <si>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</si>
  <si>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</si>
  <si>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</si>
  <si>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The-AKS-Checklist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</si>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</sst>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619125</xdr:rowOff>
        </xdr:from>
        <xdr:to>
          <xdr:col>12</xdr:col>
          <xdr:colOff>590550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314325</xdr:rowOff>
        </xdr:from>
        <xdr:to>
          <xdr:col>12</xdr:col>
          <xdr:colOff>590550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1</xdr:row>
          <xdr:rowOff>123825</xdr:rowOff>
        </xdr:from>
        <xdr:to>
          <xdr:col>14</xdr:col>
          <xdr:colOff>1352550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3</xdr:row>
          <xdr:rowOff>0</xdr:rowOff>
        </xdr:from>
        <xdr:to>
          <xdr:col>12</xdr:col>
          <xdr:colOff>590550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323850</xdr:rowOff>
        </xdr:from>
        <xdr:to>
          <xdr:col>14</xdr:col>
          <xdr:colOff>1133475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609600</xdr:rowOff>
        </xdr:from>
        <xdr:to>
          <xdr:col>14</xdr:col>
          <xdr:colOff>1133475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G5" sqref="G5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18.28515625" style="1" hidden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78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178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172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10</xdr:col>
                    <xdr:colOff>600075</xdr:colOff>
                    <xdr:row>1</xdr:row>
                    <xdr:rowOff>619125</xdr:rowOff>
                  </from>
                  <to>
                    <xdr:col>12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10</xdr:col>
                    <xdr:colOff>600075</xdr:colOff>
                    <xdr:row>1</xdr:row>
                    <xdr:rowOff>314325</xdr:rowOff>
                  </from>
                  <to>
                    <xdr:col>12</xdr:col>
                    <xdr:colOff>590550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12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10</xdr:col>
                    <xdr:colOff>409575</xdr:colOff>
                    <xdr:row>1</xdr:row>
                    <xdr:rowOff>123825</xdr:rowOff>
                  </from>
                  <to>
                    <xdr:col>14</xdr:col>
                    <xdr:colOff>1352550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12</xdr:col>
                    <xdr:colOff>647700</xdr:colOff>
                    <xdr:row>1</xdr:row>
                    <xdr:rowOff>323850</xdr:rowOff>
                  </from>
                  <to>
                    <xdr:col>14</xdr:col>
                    <xdr:colOff>1133475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12</xdr:col>
                    <xdr:colOff>647700</xdr:colOff>
                    <xdr:row>1</xdr:row>
                    <xdr:rowOff>609600</xdr:rowOff>
                  </from>
                  <to>
                    <xdr:col>14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Values!$R$2:$R$4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7"/>
  <sheetViews>
    <sheetView workbookViewId="0">
      <selection activeCell="S5" sqref="S5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169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173</v>
      </c>
      <c r="S1" s="12" t="s">
        <v>181</v>
      </c>
    </row>
    <row r="2" spans="1:19">
      <c r="A2" t="s">
        <v>4</v>
      </c>
      <c r="B2" s="10" t="s">
        <v>5</v>
      </c>
      <c r="D2" t="s">
        <v>179</v>
      </c>
      <c r="E2" t="s">
        <v>35</v>
      </c>
      <c r="F2" t="str" cm="1">
        <f t="array" ref="F2:H17">_xlfn._xlws.FILTER(ChecklistIndex!B1:D30,ChecklistIndex!A1:A30=Checklist!G5)</f>
        <v>ALZ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172</v>
      </c>
      <c r="S2" t="s">
        <v>182</v>
      </c>
    </row>
    <row r="3" spans="1:19">
      <c r="A3" t="s">
        <v>7</v>
      </c>
      <c r="B3" s="7" t="s">
        <v>8</v>
      </c>
      <c r="F3" t="str">
        <v>WAF</v>
      </c>
      <c r="G3" t="str">
        <v>waf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175</v>
      </c>
      <c r="S3" t="s">
        <v>183</v>
      </c>
    </row>
    <row r="4" spans="1:19">
      <c r="A4" t="s">
        <v>6</v>
      </c>
      <c r="B4" s="8" t="s">
        <v>9</v>
      </c>
      <c r="F4" t="str">
        <v>AKS</v>
      </c>
      <c r="G4" t="str">
        <v>aks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174</v>
      </c>
      <c r="S4" t="s">
        <v>160</v>
      </c>
    </row>
    <row r="5" spans="1:19">
      <c r="B5" s="8" t="s">
        <v>62</v>
      </c>
      <c r="F5" t="str">
        <v>AVD</v>
      </c>
      <c r="G5" t="str">
        <v>avd</v>
      </c>
      <c r="H5" t="str">
        <v>checklists</v>
      </c>
      <c r="I5" t="s">
        <v>33</v>
      </c>
      <c r="J5" t="s">
        <v>114</v>
      </c>
      <c r="K5" t="s">
        <v>51</v>
      </c>
      <c r="L5" t="s">
        <v>72</v>
      </c>
      <c r="S5" t="s">
        <v>80</v>
      </c>
    </row>
    <row r="6" spans="1:19">
      <c r="B6" s="9" t="s">
        <v>10</v>
      </c>
      <c r="F6" t="str">
        <v>AVS Design</v>
      </c>
      <c r="G6" t="str">
        <v>avs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</row>
    <row r="7" spans="1:19">
      <c r="F7" t="str">
        <v>AVS Implementation</v>
      </c>
      <c r="G7" t="str">
        <v>avs_implementation</v>
      </c>
      <c r="H7" t="str">
        <v>checklists</v>
      </c>
      <c r="I7" t="s">
        <v>100</v>
      </c>
      <c r="K7" t="s">
        <v>99</v>
      </c>
    </row>
    <row r="8" spans="1:19">
      <c r="F8" t="str">
        <v>Multitenancy</v>
      </c>
      <c r="G8" t="str">
        <v>multitenancy</v>
      </c>
      <c r="H8" t="str">
        <v>checklists</v>
      </c>
    </row>
    <row r="9" spans="1:19">
      <c r="F9" t="str">
        <v>Network App Delivery</v>
      </c>
      <c r="G9" t="str">
        <v>network_appdelivery</v>
      </c>
      <c r="H9" t="str">
        <v>checklists</v>
      </c>
    </row>
    <row r="10" spans="1:19">
      <c r="F10" t="str">
        <v>SAP</v>
      </c>
      <c r="G10" t="str">
        <v>sap</v>
      </c>
      <c r="H10" t="str">
        <v>checklists</v>
      </c>
    </row>
    <row r="11" spans="1:19">
      <c r="F11" t="str">
        <v>API Management</v>
      </c>
      <c r="G11" t="str">
        <v>apim</v>
      </c>
      <c r="H11" t="str">
        <v>checklists</v>
      </c>
    </row>
    <row r="12" spans="1:19">
      <c r="F12" t="str">
        <v>Cost Optimization</v>
      </c>
      <c r="G12" t="str">
        <v>cost</v>
      </c>
      <c r="H12" t="str">
        <v>checklists</v>
      </c>
    </row>
    <row r="13" spans="1:19">
      <c r="F13" t="str">
        <v>ARO</v>
      </c>
      <c r="G13" t="str">
        <v>aro</v>
      </c>
      <c r="H13" t="str">
        <v>checklists</v>
      </c>
    </row>
    <row r="14" spans="1:19">
      <c r="F14" t="str">
        <v>Spring Apps</v>
      </c>
      <c r="G14" t="str">
        <v>azurespringapps</v>
      </c>
      <c r="H14" t="str">
        <v>checklists</v>
      </c>
    </row>
    <row r="15" spans="1:19">
      <c r="F15" t="str">
        <v>Azure Devops</v>
      </c>
      <c r="G15" t="str">
        <v>ado</v>
      </c>
      <c r="H15" t="str">
        <v>checklists</v>
      </c>
    </row>
    <row r="16" spans="1:19">
      <c r="F16" t="str">
        <v>Azure Arc</v>
      </c>
      <c r="G16" t="str">
        <v>azure_arc</v>
      </c>
      <c r="H16" t="str">
        <v>checklists</v>
      </c>
    </row>
    <row r="17" spans="6:8">
      <c r="F17" t="str">
        <v>SQL Migration</v>
      </c>
      <c r="G17" t="str">
        <v>sql</v>
      </c>
      <c r="H17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19"/>
  <sheetViews>
    <sheetView workbookViewId="0">
      <selection activeCell="D1" sqref="D1"/>
    </sheetView>
  </sheetViews>
  <sheetFormatPr defaultRowHeight="15"/>
  <cols>
    <col min="1" max="1" width="20.5703125" bestFit="1" customWidth="1"/>
    <col min="2" max="2" width="20.85546875" bestFit="1" customWidth="1"/>
    <col min="3" max="3" width="9.42578125" customWidth="1"/>
    <col min="4" max="4" width="13.28515625" bestFit="1" customWidth="1"/>
  </cols>
  <sheetData>
    <row r="1" spans="1:5">
      <c r="A1" s="12" t="s">
        <v>171</v>
      </c>
      <c r="B1" s="12" t="s">
        <v>144</v>
      </c>
      <c r="C1" s="12" t="s">
        <v>184</v>
      </c>
      <c r="D1" s="12" t="s">
        <v>169</v>
      </c>
      <c r="E1" s="12" t="s">
        <v>180</v>
      </c>
    </row>
    <row r="2" spans="1:5">
      <c r="A2" t="s">
        <v>172</v>
      </c>
      <c r="B2" t="s">
        <v>78</v>
      </c>
      <c r="C2" t="s">
        <v>80</v>
      </c>
      <c r="D2" t="s">
        <v>170</v>
      </c>
      <c r="E2" t="s">
        <v>80</v>
      </c>
    </row>
    <row r="3" spans="1:5">
      <c r="A3" t="s">
        <v>172</v>
      </c>
      <c r="B3" t="s">
        <v>159</v>
      </c>
      <c r="C3" t="s">
        <v>160</v>
      </c>
      <c r="D3" t="s">
        <v>170</v>
      </c>
      <c r="E3" t="s">
        <v>160</v>
      </c>
    </row>
    <row r="4" spans="1:5">
      <c r="A4" t="s">
        <v>172</v>
      </c>
      <c r="B4" t="s">
        <v>27</v>
      </c>
      <c r="C4" t="s">
        <v>44</v>
      </c>
      <c r="D4" t="s">
        <v>170</v>
      </c>
      <c r="E4" t="s">
        <v>183</v>
      </c>
    </row>
    <row r="5" spans="1:5">
      <c r="A5" t="s">
        <v>172</v>
      </c>
      <c r="B5" t="s">
        <v>28</v>
      </c>
      <c r="C5" t="s">
        <v>45</v>
      </c>
      <c r="D5" t="s">
        <v>170</v>
      </c>
      <c r="E5" t="s">
        <v>183</v>
      </c>
    </row>
    <row r="6" spans="1:5">
      <c r="A6" t="s">
        <v>172</v>
      </c>
      <c r="B6" t="s">
        <v>94</v>
      </c>
      <c r="C6" t="s">
        <v>46</v>
      </c>
      <c r="D6" t="s">
        <v>170</v>
      </c>
      <c r="E6" t="s">
        <v>183</v>
      </c>
    </row>
    <row r="7" spans="1:5">
      <c r="A7" t="s">
        <v>172</v>
      </c>
      <c r="B7" t="s">
        <v>93</v>
      </c>
      <c r="C7" t="s">
        <v>92</v>
      </c>
      <c r="D7" t="s">
        <v>170</v>
      </c>
      <c r="E7" t="s">
        <v>183</v>
      </c>
    </row>
    <row r="8" spans="1:5">
      <c r="A8" t="s">
        <v>172</v>
      </c>
      <c r="B8" t="s">
        <v>42</v>
      </c>
      <c r="C8" t="s">
        <v>53</v>
      </c>
      <c r="D8" t="s">
        <v>170</v>
      </c>
      <c r="E8" t="s">
        <v>183</v>
      </c>
    </row>
    <row r="9" spans="1:5">
      <c r="A9" t="s">
        <v>172</v>
      </c>
      <c r="B9" t="s">
        <v>95</v>
      </c>
      <c r="C9" t="s">
        <v>96</v>
      </c>
      <c r="D9" t="s">
        <v>170</v>
      </c>
      <c r="E9" t="s">
        <v>183</v>
      </c>
    </row>
    <row r="10" spans="1:5">
      <c r="A10" t="s">
        <v>172</v>
      </c>
      <c r="B10" t="s">
        <v>67</v>
      </c>
      <c r="C10" t="s">
        <v>68</v>
      </c>
      <c r="D10" t="s">
        <v>170</v>
      </c>
      <c r="E10" t="s">
        <v>183</v>
      </c>
    </row>
    <row r="11" spans="1:5">
      <c r="A11" t="s">
        <v>172</v>
      </c>
      <c r="B11" t="s">
        <v>70</v>
      </c>
      <c r="C11" t="s">
        <v>69</v>
      </c>
      <c r="D11" t="s">
        <v>170</v>
      </c>
      <c r="E11" t="s">
        <v>183</v>
      </c>
    </row>
    <row r="12" spans="1:5">
      <c r="A12" t="s">
        <v>172</v>
      </c>
      <c r="B12" t="s">
        <v>90</v>
      </c>
      <c r="C12" t="s">
        <v>91</v>
      </c>
      <c r="D12" t="s">
        <v>170</v>
      </c>
      <c r="E12" t="s">
        <v>183</v>
      </c>
    </row>
    <row r="13" spans="1:5">
      <c r="A13" t="s">
        <v>172</v>
      </c>
      <c r="B13" t="s">
        <v>88</v>
      </c>
      <c r="C13" t="s">
        <v>89</v>
      </c>
      <c r="D13" t="s">
        <v>170</v>
      </c>
      <c r="E13" t="s">
        <v>183</v>
      </c>
    </row>
    <row r="14" spans="1:5">
      <c r="A14" t="s">
        <v>172</v>
      </c>
      <c r="B14" t="s">
        <v>97</v>
      </c>
      <c r="C14" t="s">
        <v>98</v>
      </c>
      <c r="D14" t="s">
        <v>170</v>
      </c>
      <c r="E14" t="s">
        <v>183</v>
      </c>
    </row>
    <row r="15" spans="1:5">
      <c r="A15" t="s">
        <v>172</v>
      </c>
      <c r="B15" t="s">
        <v>101</v>
      </c>
      <c r="C15" t="s">
        <v>102</v>
      </c>
      <c r="D15" t="s">
        <v>170</v>
      </c>
      <c r="E15" t="s">
        <v>183</v>
      </c>
    </row>
    <row r="16" spans="1:5">
      <c r="A16" t="s">
        <v>172</v>
      </c>
      <c r="B16" t="s">
        <v>76</v>
      </c>
      <c r="C16" t="s">
        <v>77</v>
      </c>
      <c r="D16" t="s">
        <v>170</v>
      </c>
      <c r="E16" t="s">
        <v>183</v>
      </c>
    </row>
    <row r="17" spans="1:5">
      <c r="A17" t="s">
        <v>172</v>
      </c>
      <c r="B17" t="s">
        <v>103</v>
      </c>
      <c r="C17" t="s">
        <v>104</v>
      </c>
      <c r="D17" t="s">
        <v>170</v>
      </c>
      <c r="E17" t="s">
        <v>183</v>
      </c>
    </row>
    <row r="18" spans="1:5">
      <c r="A18" t="s">
        <v>174</v>
      </c>
      <c r="B18" t="s">
        <v>167</v>
      </c>
      <c r="C18" t="s">
        <v>168</v>
      </c>
      <c r="D18" t="s">
        <v>177</v>
      </c>
      <c r="E18" t="s">
        <v>183</v>
      </c>
    </row>
    <row r="19" spans="1:5">
      <c r="A19" t="s">
        <v>175</v>
      </c>
      <c r="B19" t="s">
        <v>27</v>
      </c>
      <c r="C19" t="s">
        <v>176</v>
      </c>
      <c r="D19" t="s">
        <v>177</v>
      </c>
      <c r="E19" t="s">
        <v>160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AEB2BE-2174-4DA2-96DC-FA4D56EB43FF}">
          <x14:formula1>
            <xm:f>Values!$S$2:$S$5</xm:f>
          </x14:formula1>
          <xm:sqref>E2:E19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2024-06-28T13:17:58Z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