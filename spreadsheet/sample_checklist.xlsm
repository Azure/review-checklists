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672DD582-C683-4B00-9F7B-C339887F3CE4}"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Checklist!$A$4:$H$160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8" i="7" l="1"/>
  <c r="Q28" i="7" s="1" a="1"/>
  <c r="Q28" i="7" s="1"/>
  <c r="H13" i="7"/>
  <c r="O28" i="7" l="1" a="1"/>
  <c r="O28" i="7" s="1"/>
  <c r="P28" i="7" a="1"/>
  <c r="P28" i="7" s="1"/>
  <c r="H7" i="7"/>
  <c r="H8" i="7"/>
  <c r="H9" i="7"/>
  <c r="K9" i="7" s="1" a="1"/>
  <c r="K9" i="7" s="1"/>
  <c r="H10" i="7"/>
  <c r="H11" i="7"/>
  <c r="I11" i="7" s="1" a="1"/>
  <c r="I11" i="7" s="1"/>
  <c r="H12" i="7"/>
  <c r="H6" i="7"/>
  <c r="N21" i="7"/>
  <c r="N22" i="7"/>
  <c r="N23" i="7"/>
  <c r="N24" i="7"/>
  <c r="N25" i="7"/>
  <c r="Q25" i="7" s="1" a="1"/>
  <c r="Q25" i="7" s="1"/>
  <c r="N26" i="7"/>
  <c r="N27" i="7"/>
  <c r="P20" i="7"/>
  <c r="O20" i="7"/>
  <c r="L5" i="7"/>
  <c r="L13" i="7" s="1" a="1"/>
  <c r="L13" i="7" s="1"/>
  <c r="K5" i="7"/>
  <c r="K13" i="7" s="1" a="1"/>
  <c r="K13" i="7" s="1"/>
  <c r="J5" i="7"/>
  <c r="J13" i="7" s="1" a="1"/>
  <c r="J13" i="7" s="1"/>
  <c r="I5" i="7"/>
  <c r="I13" i="7" s="1" a="1"/>
  <c r="I13" i="7" s="1"/>
  <c r="E5" i="7"/>
  <c r="D5" i="7"/>
  <c r="C5" i="7"/>
  <c r="B5" i="7"/>
  <c r="A7" i="7"/>
  <c r="A8" i="7"/>
  <c r="A6" i="7"/>
  <c r="L12" i="7" l="1" a="1"/>
  <c r="L12" i="7" s="1"/>
  <c r="L10" i="7" a="1"/>
  <c r="L10" i="7" s="1"/>
  <c r="L6" i="7" a="1"/>
  <c r="L6" i="7" s="1"/>
  <c r="R28" i="7"/>
  <c r="S28" i="7" s="1"/>
  <c r="M13" i="7"/>
  <c r="P21" i="7" a="1"/>
  <c r="P21" i="7" s="1"/>
  <c r="P27" i="7" a="1"/>
  <c r="P27" i="7" s="1"/>
  <c r="O24" i="7" a="1"/>
  <c r="O24" i="7" s="1"/>
  <c r="E8" i="7" a="1"/>
  <c r="E8" i="7" s="1"/>
  <c r="P23" i="7" a="1"/>
  <c r="P23" i="7" s="1"/>
  <c r="K8" i="7" a="1"/>
  <c r="K8" i="7" s="1"/>
  <c r="B6" i="7" a="1"/>
  <c r="B6" i="7" s="1"/>
  <c r="E7" i="7" a="1"/>
  <c r="E7" i="7" s="1"/>
  <c r="O22" i="7" a="1"/>
  <c r="O22" i="7" s="1"/>
  <c r="L7" i="7" a="1"/>
  <c r="L7" i="7" s="1"/>
  <c r="B7" i="7" a="1"/>
  <c r="B7" i="7" s="1"/>
  <c r="C6" i="7" a="1"/>
  <c r="C6" i="7" s="1"/>
  <c r="B8" i="7" a="1"/>
  <c r="B8" i="7" s="1"/>
  <c r="C8" i="7" a="1"/>
  <c r="C8" i="7" s="1"/>
  <c r="D8" i="7" a="1"/>
  <c r="D8" i="7" s="1"/>
  <c r="C7" i="7" a="1"/>
  <c r="C7" i="7" s="1"/>
  <c r="D7" i="7" a="1"/>
  <c r="D7" i="7" s="1"/>
  <c r="D6" i="7" a="1"/>
  <c r="D6" i="7" s="1"/>
  <c r="E6" i="7" a="1"/>
  <c r="E6" i="7" s="1"/>
  <c r="J12" i="7" a="1"/>
  <c r="J12" i="7" s="1"/>
  <c r="Q24" i="7" a="1"/>
  <c r="Q24" i="7" s="1"/>
  <c r="J7" i="7" a="1"/>
  <c r="J7" i="7" s="1"/>
  <c r="K12" i="7" a="1"/>
  <c r="K12" i="7" s="1"/>
  <c r="Q27" i="7" a="1"/>
  <c r="Q27" i="7" s="1"/>
  <c r="L9" i="7" a="1"/>
  <c r="L9" i="7" s="1"/>
  <c r="I9" i="7" a="1"/>
  <c r="I9" i="7" s="1"/>
  <c r="O23" i="7" a="1"/>
  <c r="O23" i="7" s="1"/>
  <c r="Q23" i="7" a="1"/>
  <c r="Q23" i="7" s="1"/>
  <c r="I8" i="7" a="1"/>
  <c r="I8" i="7" s="1"/>
  <c r="L8" i="7" a="1"/>
  <c r="L8" i="7" s="1"/>
  <c r="Q22" i="7" a="1"/>
  <c r="Q22" i="7" s="1"/>
  <c r="I12" i="7" a="1"/>
  <c r="I12" i="7" s="1"/>
  <c r="O27" i="7" a="1"/>
  <c r="O27" i="7" s="1"/>
  <c r="Q26" i="7" a="1"/>
  <c r="Q26" i="7" s="1"/>
  <c r="O26" i="7" a="1"/>
  <c r="O26" i="7" s="1"/>
  <c r="P26" i="7" a="1"/>
  <c r="P26" i="7" s="1"/>
  <c r="J11" i="7" a="1"/>
  <c r="J11" i="7" s="1"/>
  <c r="K11" i="7" a="1"/>
  <c r="K11" i="7" s="1"/>
  <c r="L11" i="7" a="1"/>
  <c r="L11" i="7" s="1"/>
  <c r="P25" i="7" a="1"/>
  <c r="P25" i="7" s="1"/>
  <c r="J10" i="7" a="1"/>
  <c r="J10" i="7" s="1"/>
  <c r="O25" i="7" a="1"/>
  <c r="O25" i="7" s="1"/>
  <c r="K10" i="7" a="1"/>
  <c r="K10" i="7" s="1"/>
  <c r="I10" i="7" a="1"/>
  <c r="I10" i="7" s="1"/>
  <c r="P24" i="7" a="1"/>
  <c r="P24" i="7" s="1"/>
  <c r="J9" i="7" a="1"/>
  <c r="J9" i="7" s="1"/>
  <c r="J8" i="7" a="1"/>
  <c r="J8" i="7" s="1"/>
  <c r="P22" i="7" a="1"/>
  <c r="P22" i="7" s="1"/>
  <c r="K7" i="7" a="1"/>
  <c r="K7" i="7" s="1"/>
  <c r="I7" i="7" a="1"/>
  <c r="I7" i="7" s="1"/>
  <c r="J6" i="7" a="1"/>
  <c r="J6" i="7" s="1"/>
  <c r="O21" i="7" a="1"/>
  <c r="O21" i="7" s="1"/>
  <c r="I6" i="7" a="1"/>
  <c r="I6" i="7" s="1"/>
  <c r="K6" i="7" a="1"/>
  <c r="K6" i="7" s="1"/>
  <c r="Q21" i="7" a="1"/>
  <c r="Q21" i="7" s="1"/>
  <c r="O29" i="7" l="1"/>
  <c r="Q29" i="7"/>
  <c r="L14" i="7"/>
  <c r="P29" i="7"/>
  <c r="I14" i="7"/>
  <c r="K14" i="7"/>
  <c r="J14" i="7"/>
  <c r="E9" i="7"/>
  <c r="B9" i="7"/>
  <c r="F8" i="7"/>
  <c r="C9" i="7"/>
  <c r="F7" i="7"/>
  <c r="D9" i="7"/>
  <c r="F6" i="7"/>
  <c r="R24" i="7"/>
  <c r="S24" i="7" s="1"/>
  <c r="M12" i="7"/>
  <c r="R23" i="7"/>
  <c r="S23" i="7" s="1"/>
  <c r="R27" i="7"/>
  <c r="S27" i="7" s="1"/>
  <c r="M9" i="7"/>
  <c r="M8" i="7"/>
  <c r="R22" i="7"/>
  <c r="S22" i="7" s="1"/>
  <c r="R25" i="7"/>
  <c r="S25" i="7" s="1"/>
  <c r="M7" i="7"/>
  <c r="M6" i="7"/>
  <c r="M10" i="7"/>
  <c r="M11" i="7"/>
  <c r="R21" i="7"/>
  <c r="R26" i="7"/>
  <c r="S26" i="7" s="1"/>
  <c r="S21" i="7" l="1"/>
  <c r="R29" i="7"/>
  <c r="S29" i="7" s="1"/>
  <c r="D2" i="7" s="1"/>
  <c r="M14" i="7"/>
  <c r="F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<sst xmlns="http://schemas.openxmlformats.org/spreadsheetml/2006/main" count="970" uniqueCount="222">
  <si>
    <t>Main Area</t>
  </si>
  <si>
    <t>Sub Area</t>
  </si>
  <si>
    <t>Question</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</si>
  <si>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</si>
  <si>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</si>
  <si>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</si>
  <si>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</si>
  <si>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</si>
  <si>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</si>
  <si>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</si>
  <si>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</si>
  <si>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</si>
  <si>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</si>
  <si>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</si>
  <si>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</si>
  <si>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</si>
  <si>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</si>
  <si>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</si>
  <si>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</si>
  <si>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</si>
  <si>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</si>
  <si>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</si>
  <si>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https://raw.githubusercontent.com/Azure/review-checklists/main/samples/</t>
  </si>
  <si>
    <t>Identity</t>
  </si>
  <si>
    <t>Monitoring</t>
  </si>
  <si>
    <t>Security</t>
  </si>
  <si>
    <t>Graph Query Success</t>
  </si>
  <si>
    <t>Graph Query Failure</t>
  </si>
  <si>
    <t>Secrets</t>
  </si>
  <si>
    <t>GUID</t>
  </si>
  <si>
    <t>Azure Landing Zone Review</t>
  </si>
  <si>
    <t>Implement for emergency access or break-glass accounts to prevent tenant-wide account lockout</t>
  </si>
  <si>
    <t>Enforce a RBAC model for management groups, subscriptions, resource groups and resources</t>
  </si>
  <si>
    <t>Enforce Azure AD conditional-access policies for any user with rights to Azure environments</t>
  </si>
  <si>
    <t>Enforce multi-factor authentication for any user with rights to the Azure environments</t>
  </si>
  <si>
    <t>Enforce centralized and delegated responsibilities to manage resources deployed inside the landing zone based on role and security requirements</t>
  </si>
  <si>
    <t xml:space="preserve">Enforce Azure AD Privileged Identity Management (PIM) to establish zero standing access and least privilege </t>
  </si>
  <si>
    <t>Only use the authentication type Work or school account for all account types. Avoid using the Microsoft account</t>
  </si>
  <si>
    <t>Only use groups to assign permissions. Add on-premises groups to the Azure-AD-only group if a group management system is already in place.</t>
  </si>
  <si>
    <t>If the following roles roles are considered, use Azure custom roles: Azure platform owner, network management, security operations, subscription owner, application owner</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</si>
  <si>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</si>
  <si>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</si>
  <si>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</si>
  <si>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</si>
  <si>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</si>
  <si>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Subscriptions</t>
  </si>
  <si>
    <t>Enforce reasonably flat management group hierarchy with no more than three to four levels, ideally</t>
  </si>
  <si>
    <t>Enfore a sandbox management group to allow users to immediately experiment with Azure</t>
  </si>
  <si>
    <t>Enforce a platform management group under the root management group to support common platform policy and Azure role assignment</t>
  </si>
  <si>
    <t>Enforce a dedicated connectivity subscription in the Platform management group to host an Azure Virtual WAN hub, private Domain Name System (DNS), ExpressRoute circuit, and other networking resources.</t>
  </si>
  <si>
    <t>Enforce no subscriptions are placed under the root management group</t>
  </si>
  <si>
    <t>Enforce that only privileged users can operate management groups in the tenant by enabling Azure RBAC authorization in the management group hierarchy settings</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</si>
  <si>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</si>
  <si>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</si>
  <si>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</si>
  <si>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</si>
  <si>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</si>
  <si>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</si>
  <si>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</si>
  <si>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If AD on Windows Server, establish a dedicated identity subscription in the Platform management group to host Windows Server Active Directory domain controllers</t>
  </si>
  <si>
    <t>Ensure tags are used for billing and cost management</t>
  </si>
  <si>
    <t>Networking</t>
  </si>
  <si>
    <t>IP plan</t>
  </si>
  <si>
    <t>Ensure no overlapping IP address spaces across Azure regions and on-premises locations</t>
  </si>
  <si>
    <t>Ensure to use IP addresses from the address allocation for private internets (RFC 1918).</t>
  </si>
  <si>
    <t xml:space="preserve">Ensure that IP address space isn't wasted, don't create unnecessarily large virtual networks (for example /16) </t>
  </si>
  <si>
    <t>Ensure no public IP address are used inside of VNET</t>
  </si>
  <si>
    <t>Avoid using overlapping IP address ranges for production and DR sites.</t>
  </si>
  <si>
    <t>For environments where name resolution in Azure is all that's required, use Azure Private DNS for resolution. Create a delegated zone for name resolution (such as?azure.contoso.com).</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</si>
  <si>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</si>
  <si>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</si>
  <si>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</si>
  <si>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Virtual WAN</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</si>
  <si>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</si>
  <si>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</si>
  <si>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Connect Virtual WAN hubs to on-premises datacenters by using ExpressRoute</t>
  </si>
  <si>
    <t>Connect branches and remote locations to the nearest Virtual WAN hub via Site-to-Site VPN, or enable branch connectivity to Virtual WAN via an SD-WAN partner solution.</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</si>
  <si>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</si>
  <si>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</si>
  <si>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</si>
  <si>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Use Azure Monitor Insights for Virtual WAN to monitor the end-to-end topology of the Virtual WAN as well as status and key metrics.</t>
  </si>
  <si>
    <t>Hub and spoke</t>
  </si>
  <si>
    <t>Ensure that shared services, including ExpressRoute gateways, VPN gateways, and Azure Firewall or partner NVAs in the central-hub virtual network. If necessary, also deploy Active Directory domain controllers and DNS servers.</t>
  </si>
  <si>
    <t>When you're deploying partner networking technologies or NVAs, follow the partner vendor's guidance</t>
  </si>
  <si>
    <t>Don't deploy L7 inbound NVAs such as Azure Application Gateway as a shared service in the central-hub virtual network. Instead, deploy them together with the app in their respective landing zones.</t>
  </si>
  <si>
    <t xml:space="preserve">For network architectures with multiple hub-and-spoke topologies across Azure regions, use global virtual network peering to connect landing-zone virtual networks when a small number of landing zones need to communicate across regions. </t>
  </si>
  <si>
    <t>Hybrid</t>
  </si>
  <si>
    <t>Ensure that you're using the right SKU for the ExpressRoute/VPN gateways based on bandwidth and performance requirements.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</si>
  <si>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</si>
  <si>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</si>
  <si>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ExpressRoute Global Reach to connect large offices, regional headquarters, or datacenters connected to Azure via ExpressRoute.</t>
  </si>
  <si>
    <t>PaaS</t>
  </si>
  <si>
    <t>Use virtual network service endpoints when Private Link isn't available</t>
  </si>
  <si>
    <t>Internet</t>
  </si>
  <si>
    <t>Use Firewall Manager with Virtual WAN to deploy and manage Azure firewalls across Virtual WAN hubs or in hub virtual networks. Firewall Manager is now in general availability for both Virtual WAN and regular virtual networks.</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</si>
  <si>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</si>
  <si>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Configure supported partner SaaS security providers within Firewall Manager if the organization wants to use such solutions to help protect outbound connections.</t>
  </si>
  <si>
    <t>Use Azure Front Door and WAF policies to provide global protection across Azure regions for inbound HTTP/S connections to a landing zone.</t>
  </si>
  <si>
    <t>Use Azure DDoS Protection Standard protection plans to help protect all public endpoints hosted within the virtual networks.</t>
  </si>
  <si>
    <t>App delivery</t>
  </si>
  <si>
    <t>Perform app delivery within landing zones for both internal-facing and external-facing apps.</t>
  </si>
  <si>
    <t>Deploy Azure Application Gateway v2 or partner NVAs used for inbound HTTP/S connections within the landing-zone virtual network and with the apps that they're securing.</t>
  </si>
  <si>
    <t>Use Traffic Manager to deliver global apps that span protocols other than HTTP/S.</t>
  </si>
  <si>
    <t>Segmentation</t>
  </si>
  <si>
    <t xml:space="preserve">Delegate subnet creation to the landing zone owner. </t>
  </si>
  <si>
    <t>The application team should use application security groups at the subnet-level NSGs to help protect multitier VMs within the landing zone.</t>
  </si>
  <si>
    <t>Enable NSG flow logs and feed them into Traffic Analytics to gain insights into internal and external traffic flows.</t>
  </si>
  <si>
    <t>Encryption</t>
  </si>
  <si>
    <t>When you're using ExpressRoute Direct, configure MACsec in order to encrypt traffic at the layer-two level between the organization's routers and MSEE. The diagram shows this encryption in flow.</t>
  </si>
  <si>
    <t>If traffic between Azure regions must be encrypted, use global VNet peering to connect virtual networks across regions.</t>
  </si>
  <si>
    <t>Inspection</t>
  </si>
  <si>
    <t>Use Network Watcher packets to capture despite the limited capture window.</t>
  </si>
  <si>
    <t>Evaluate whether the latest version of NSG flow logs provides the level of detail that you need.</t>
  </si>
  <si>
    <t>Don't develop a custom solution to mirror traffic. Although this approach might be acceptable for small-scale scenarios, we don't encourage it at scale because of complexity and the supportability issues that might arise.</t>
  </si>
  <si>
    <t>Management</t>
  </si>
  <si>
    <t>Use a single monitor logs workspace to manage platforms centrally except where Azure role-based access control (Azure RBAC)</t>
  </si>
  <si>
    <t>Data sovereignty requirements and data retention policies mandate separate workspaces</t>
  </si>
  <si>
    <t>Export logs to Azure Storage if log retention requirements exceed two years. Use immutable storage with a write-once, read-many policy to make data non-erasable and non-modifiable for a user-specified interval.</t>
  </si>
  <si>
    <t>Use resource locks to prevent accidental deletion of critical shared services.</t>
  </si>
  <si>
    <t>Include service and resource health events as part of the overall platform monitoring solution. Tracking service and resource health from the platform perspective is an important component of resource management in Azure.</t>
  </si>
  <si>
    <t>Don't send raw log entries back to on-premises monitoring systems. Instead, adopt a principle that?data born in Azure stays in Azure. If on-premises SIEM integration is required, then?send critical alerts?instead of logs.</t>
  </si>
  <si>
    <t>Use a centralized Azure Monitor Log Analytics workspace to collect logs and metrics from IaaS and PaaS application resources and?control log access with Azure RBAC.</t>
  </si>
  <si>
    <t>When necessary, use shared storage accounts within the landing zone for Azure diagnostic extension log storage.</t>
  </si>
  <si>
    <t>Ensure to use and test native PaaS service disaster recovery capabilities.</t>
  </si>
  <si>
    <t>Use Azure-native backup capabilities. Verify that partner/customer is aware of Azure Backup and all new capabilities which greatly can simplify backup management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</si>
  <si>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</si>
  <si>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</si>
  <si>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</si>
  <si>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</si>
  <si>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</si>
  <si>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</si>
  <si>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</si>
  <si>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</si>
  <si>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</si>
  <si>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</si>
  <si>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</si>
  <si>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Governance</t>
  </si>
  <si>
    <t>Leverage Azure Policy</t>
  </si>
  <si>
    <t>Identify required Azure tags and use the append policy mode to enforce usage.</t>
  </si>
  <si>
    <t>Map regulatory and compliance requirements to Azure Policy definitions and Azure role assignments.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</si>
  <si>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</si>
  <si>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</si>
  <si>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</si>
  <si>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</si>
  <si>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</si>
  <si>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</si>
  <si>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</si>
  <si>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</si>
  <si>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</si>
  <si>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</si>
  <si>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Enable Security Center Standard for all subscriptions.</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</si>
  <si>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</si>
  <si>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</si>
  <si>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</si>
  <si>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</si>
  <si>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</si>
  <si>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</si>
  <si>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When connecting spoke VNets to a hub VNet, consider VNet peering limits and the maximum number of prefixes that can be advertised via ExpressRoute</t>
  </si>
  <si>
    <t>Consider ExpressRoute as primary connection to Azure instead of VPN</t>
  </si>
  <si>
    <t>When you use multiple ExpressRoute circuits, optimize ExpressRoute routing via BGP local preference and AS path prepending.</t>
  </si>
  <si>
    <t>Deploy zone-redundant ExpressRoute/VPN gateways, if supported in your Azure regions.</t>
  </si>
  <si>
    <t>When traffic isolation or dedicated bandwidth is required, such as for separating production and nonproduction environments, use different ExpressRoute circuits.</t>
  </si>
  <si>
    <t>Proactively monitor ExpressRoute circuit metrics.</t>
  </si>
  <si>
    <t>Consider using redundant ExpressRoute circuits from different peering locations.</t>
  </si>
  <si>
    <t>Deploy Azure services inside of VNets (VNet injection) if supported.</t>
  </si>
  <si>
    <t>Ensure VNet-injected Azure services can still reach their management plane</t>
  </si>
  <si>
    <t>Use Private Link for access to non-VNet-injected Azure PaaS services, where supported.</t>
  </si>
  <si>
    <t>Access private endpoints to Azure PaaS services from on-premises via ExpressRoute private peering.</t>
  </si>
  <si>
    <t>Only enable virtual network service endpoints on subnets that require it.</t>
  </si>
  <si>
    <t>Don't use virtual network service endpoints when there are data exfiltration concerns, unless you can filter URLs in an NVA.</t>
  </si>
  <si>
    <t>Don't implement forced tunneling to enable communication from Azure to Azure resources.</t>
  </si>
  <si>
    <t>If using private and Microsoft peerings, configure your onprem device to not act as transit between both peerings</t>
  </si>
  <si>
    <t>Use Azure Firewall or an NVA to govern Azure outbound traffic to the internet, non-HTTP/S inbound connections and East/West traffic filtering (if the organization requires it)</t>
  </si>
  <si>
    <t>Configure your spoke route tables to not propagate Gateway routes, so that the hub's NVA is not bypassed for onprem traffic</t>
  </si>
  <si>
    <t>When you're using Azure Front Door to protect HTTP/S apps, use WAF policies in Azure Front Door. Lock down backend to receive traffic only from Azure Front Door.</t>
  </si>
  <si>
    <t>If partner NVAs are required for inbound HTTP/S connections, deploy them within a landing zone virtual network (spoke) and together with the apps that they're protecting and exposing to the internet.</t>
  </si>
  <si>
    <t>Use WAF within a landing zone virtual network (spoke) for protecting inbound HTTP/S traffic from the internet.</t>
  </si>
  <si>
    <t>For regional secure delivery of HTTP/S apps, use a WAF such as Application Gateway v2 with WAF.</t>
  </si>
  <si>
    <t>Use NSGs to help protect traffic between subnets inside of a VNet, as well as traffic between landing zones (VNets).</t>
  </si>
  <si>
    <t>Use NSGs and application security groups to micro-segment traffic within the landing zone and avoid using a central NVA to filter those traffic flows.</t>
  </si>
  <si>
    <t>Document the design and implementation of the landing zone</t>
  </si>
  <si>
    <t>Use deny policies to supplement Azure role assignments. The combination of deny policies and Azure role assignments ensures the appropriate guardrails are in place to enforce who can deploy and configure resources and what resources they can deploy and configure.</t>
  </si>
  <si>
    <t>Use Azure Monitor Logs for insights and reporting.</t>
  </si>
  <si>
    <t>Use Azure Monitor alerts for the generation of operational alerts.</t>
  </si>
  <si>
    <t>Employ Azure Site Recovery for Azure-to-Azure Virtual Machines disaster recovery scenarios.</t>
  </si>
  <si>
    <t>Store secrets, encryption keys and dital certificates in Azure Key Vault</t>
  </si>
  <si>
    <t>https://docs.microsoft.com/azure/key-vault/general/basic-concepts</t>
  </si>
  <si>
    <t>https://docs.microsoft.com/azure/governance/policy/overview</t>
  </si>
  <si>
    <t>Enable firewall and virtual network service endpoint to restrict access to Azure Key Vault.</t>
  </si>
  <si>
    <t xml:space="preserve">Use Update Management in Azure Automation as a long-term patching mechanism for both Windows and Linux VMs. </t>
  </si>
  <si>
    <t xml:space="preserve">For hybrid scenarios where MACsec isn't an option (not using ExpressRoute Direct), use a VPN gateway to establish IPsec tunnels over ExpressRoute private or Microsoft peering. </t>
  </si>
  <si>
    <t>Monitor in-guest virtual machine (VM) configuration drift using Azure Policy.</t>
  </si>
  <si>
    <t>https://docs.microsoft.com/azure/network-watcher/connection-monitor-overview</t>
  </si>
  <si>
    <t>Use Connection Monitor to proactively monitor specific traffic flows</t>
  </si>
  <si>
    <t>https://docs.microsoft.com/azure/automation/update-management/overview</t>
  </si>
  <si>
    <t>https://docs.microsoft.com/azure/governance/policy/concepts/guest-configuration</t>
  </si>
  <si>
    <t>https://docs.microsoft.com/azure/azure-monitor/essentials/diagnostic-settings?tabs=CMD#destinations</t>
  </si>
  <si>
    <t>Use Azure Firewall Premium partner solutions for scenarios that require deep packet inspection.</t>
  </si>
  <si>
    <t>For Virtual WAN or Hub-and-Spoke topologies, route traffic across landing zones via Azure Firewall if the organization requires filtering and logging capabilities for traffic flowing across landing zones.</t>
  </si>
  <si>
    <t>Use Azure Monitor Network Insights to monitor the end-to-end state of the networks on Azure.</t>
  </si>
  <si>
    <t>https://docs.microsoft.com/azure/azure-monitor/insights/network-insights-overview</t>
  </si>
  <si>
    <t>https://docs.microsoft.com/azure/expressroute/expressroute-optimize-routing</t>
  </si>
  <si>
    <t>where type=='microsoft.network/virtualnetworkgateways' | where tolower(properties.sku.name) contains 'az' | distinct name,resourceGroup</t>
  </si>
  <si>
    <t>where type=='microsoft.network/virtualnetworkgateways' | where not (tolower(properties.sku.name) contains 'az') | distinct name,resourceGroup</t>
  </si>
  <si>
    <t>where type=='microsoft.network/routetables' | where properties.disableBgpRoutePropagation==true | distinct name,resourceGroup</t>
  </si>
  <si>
    <t>where type=='microsoft.network/routetables' | where properties.disableBgpRoutePropagation==false | distinct name,resourceGroup</t>
  </si>
  <si>
    <t>Consider whether deploying Virtual WAN or a traditional Hub-and-Spoke VNet design</t>
  </si>
  <si>
    <t>Ensure that the network architecture is within the Azure Virtual WAN limits.</t>
  </si>
  <si>
    <t>https://docs.microsoft.com/azure/virtual-wan/azure-monitor-insights</t>
  </si>
  <si>
    <t>https://docs.microsoft.com/azure/azure-resource-manager/management/azure-subscription-service-limits#virtual-wan-limits</t>
  </si>
  <si>
    <t>Do not use custom routing if using Secured Virtual Hub</t>
  </si>
  <si>
    <t>https://docs.microsoft.com/azure/azure-resource-manager/management/azure-subscription-service-limits#expressroute-limits</t>
  </si>
  <si>
    <t>Consider active/active VPN Gateways for quicker redundancy and Azure Route Server support</t>
  </si>
  <si>
    <t>https://docs.microsoft.com/azure/vpn-gateway/active-active-portal</t>
  </si>
  <si>
    <t>Do not use Basic VPN Gateways</t>
  </si>
  <si>
    <t>https://docs.microsoft.com/azure/vpn-gateway/vpn-gateway-about-vpngateways#gwsku</t>
  </si>
  <si>
    <t>where type=='microsoft.network/virtualnetworkgateways' | where tolower(properties.sku.name) contains 'basic' | distinct name,resourceGroup</t>
  </si>
  <si>
    <t>where type=='microsoft.network/virtualnetworkgateways' | where properties.gatewayType=='Vpn' and not (tolower(properties.sku.name) contains 'basic') | distinct name,resourceGroup</t>
  </si>
  <si>
    <t>Use BGP instead of static routes with S2S tunnels for easier configuration in dynamic environments</t>
  </si>
  <si>
    <t>https://docs.microsoft.com/azure/vpn-gateway/bgp-howto</t>
  </si>
  <si>
    <t>where type=='microsoft.network/virtualnetworkgateways' | where tolower(properties.gatewayType) == 'vpn' | project  name,resourceGroup,ipcount=array_length(properties.ipConfigurations) | where ipcount==1</t>
  </si>
  <si>
    <t>where type=='microsoft.network/virtualnetworkgateways' | where tolower(properties.gatewayType) == 'vpn' | project  name,resourceGroup,ipcount=array_length(properties.ipConfigurations) | where ipcount==2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</si>
</sst>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theme="1"/>
      <name val="Consolas"/>
      <family val="3"/>
    </font>
    <font>
      <sz val="11"/>
      <color rgb="FF000000"/>
      <name val="Calibri"/>
      <family val="2"/>
    </font>
    <font>
      <sz val="16"/>
      <color theme="0" tint="-0.499984740745262"/>
      <name val="Segoe UI Semibold"/>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6">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9" fillId="0" borderId="0" xfId="0" applyFont="1" applyAlignment="1">
      <alignment horizontal="left" vertical="center" wrapText="1" indent="10"/>
    </xf>
    <xf numFmtId="0" fontId="8" fillId="0" borderId="0" xfId="0" applyFont="1"/>
    <xf numFmtId="0" fontId="13" fillId="0" borderId="0" xfId="0" applyFont="1"/>
    <xf numFmtId="9" fontId="0" fillId="0" borderId="0" xfId="3" applyFont="1"/>
    <xf numFmtId="9" fontId="11" fillId="0" borderId="0" xfId="3" applyFont="1"/>
    <xf numFmtId="9" fontId="12" fillId="0" borderId="0" xfId="0" applyNumberFormat="1" applyFont="1"/>
    <xf numFmtId="0" fontId="1" fillId="0" borderId="0" xfId="1" applyFill="1" applyBorder="1" applyAlignment="1">
      <alignment vertical="center"/>
    </xf>
    <xf numFmtId="0" fontId="0" fillId="0" borderId="0" xfId="0" applyFill="1"/>
    <xf numFmtId="0" fontId="15" fillId="0" borderId="0" xfId="2" applyFont="1" applyFill="1" applyBorder="1" applyAlignment="1">
      <alignment horizontal="left" vertical="center"/>
    </xf>
    <xf numFmtId="0" fontId="16" fillId="0" borderId="0" xfId="0" applyFont="1" applyAlignment="1">
      <alignment horizontal="left" vertical="top"/>
    </xf>
    <xf numFmtId="0" fontId="18" fillId="5" borderId="0" xfId="0" applyFont="1" applyFill="1" applyAlignment="1">
      <alignment horizontal="left" vertical="top"/>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10">
    <dxf>
      <fill>
        <patternFill>
          <bgColor rgb="FFFF0000"/>
        </patternFill>
      </fill>
    </dxf>
    <dxf>
      <fill>
        <patternFill>
          <bgColor theme="2"/>
        </patternFill>
      </fill>
    </dxf>
    <dxf>
      <fill>
        <patternFill>
          <bgColor rgb="FFFFC000"/>
        </patternFill>
      </fill>
    </dxf>
    <dxf>
      <fill>
        <patternFill>
          <bgColor rgb="FF00B050"/>
        </patternFill>
      </fill>
    </dxf>
    <dxf>
      <font>
        <color theme="0" tint="-0.34998626667073579"/>
      </font>
      <fill>
        <patternFill>
          <bgColor theme="2"/>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15</c:v>
                </c:pt>
                <c:pt idx="1">
                  <c:v>133</c:v>
                </c:pt>
                <c:pt idx="2">
                  <c:v>7</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155</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15</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15</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133</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7</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Dashboard!$H$6:$H$13</c:f>
              <c:strCache>
                <c:ptCount val="5"/>
                <c:pt idx="0">
                  <c:v>Identity</c:v>
                </c:pt>
                <c:pt idx="1">
                  <c:v>Networking</c:v>
                </c:pt>
                <c:pt idx="2">
                  <c:v>Security</c:v>
                </c:pt>
                <c:pt idx="3">
                  <c:v>Management</c:v>
                </c:pt>
                <c:pt idx="4">
                  <c:v>Subscriptions</c:v>
                </c:pt>
              </c:strCache>
            </c:strRef>
          </c:cat>
          <c:val>
            <c:numRef>
              <c:f>Dashboard!$M$6:$M$13</c:f>
              <c:numCache>
                <c:formatCode>General</c:formatCode>
                <c:ptCount val="8"/>
                <c:pt idx="0">
                  <c:v>14</c:v>
                </c:pt>
                <c:pt idx="1">
                  <c:v>75</c:v>
                </c:pt>
                <c:pt idx="2">
                  <c:v>33</c:v>
                </c:pt>
                <c:pt idx="3">
                  <c:v>18</c:v>
                </c:pt>
                <c:pt idx="4">
                  <c:v>15</c:v>
                </c:pt>
                <c:pt idx="5">
                  <c:v>0</c:v>
                </c:pt>
                <c:pt idx="6">
                  <c:v>0</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Dashboard!$I$6:$I$13</c:f>
              <c:numCache>
                <c:formatCode>General</c:formatCode>
                <c:ptCount val="8"/>
                <c:pt idx="0">
                  <c:v>14</c:v>
                </c:pt>
                <c:pt idx="1">
                  <c:v>75</c:v>
                </c:pt>
                <c:pt idx="2">
                  <c:v>33</c:v>
                </c:pt>
                <c:pt idx="3">
                  <c:v>18</c:v>
                </c:pt>
                <c:pt idx="4">
                  <c:v>15</c:v>
                </c:pt>
                <c:pt idx="5">
                  <c:v>0</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Dashboard!$J$6:$J$13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Dashboard!$H$6:$H$13</c:f>
              <c:strCache>
                <c:ptCount val="5"/>
                <c:pt idx="0">
                  <c:v>Identity</c:v>
                </c:pt>
                <c:pt idx="1">
                  <c:v>Networking</c:v>
                </c:pt>
                <c:pt idx="2">
                  <c:v>Security</c:v>
                </c:pt>
                <c:pt idx="3">
                  <c:v>Management</c:v>
                </c:pt>
                <c:pt idx="4">
                  <c:v>Subscriptions</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Dashboard!$S$20</c:f>
              <c:strCache>
                <c:ptCount val="1"/>
                <c:pt idx="0">
                  <c:v>Progress</c:v>
                </c:pt>
              </c:strCache>
            </c:strRef>
          </c:tx>
          <c:spPr>
            <a:solidFill>
              <a:schemeClr val="accent1"/>
            </a:solidFill>
            <a:ln>
              <a:solidFill>
                <a:schemeClr val="accent2"/>
              </a:solidFill>
            </a:ln>
            <a:effectLst/>
          </c:spPr>
          <c:cat>
            <c:strRef>
              <c:f>Dashboard!$N$21:$N$28</c:f>
              <c:strCache>
                <c:ptCount val="5"/>
                <c:pt idx="0">
                  <c:v>Identity</c:v>
                </c:pt>
                <c:pt idx="1">
                  <c:v>Networking</c:v>
                </c:pt>
                <c:pt idx="2">
                  <c:v>Security</c:v>
                </c:pt>
                <c:pt idx="3">
                  <c:v>Management</c:v>
                </c:pt>
                <c:pt idx="4">
                  <c:v>Subscriptions</c:v>
                </c:pt>
              </c:strCache>
            </c:strRef>
          </c:cat>
          <c:val>
            <c:numRef>
              <c:f>Dashboard!$S$21:$S$28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31</xdr:row>
      <xdr:rowOff>180974</xdr:rowOff>
    </xdr:from>
    <xdr:to>
      <xdr:col>11</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17</xdr:row>
      <xdr:rowOff>57150</xdr:rowOff>
    </xdr:from>
    <xdr:to>
      <xdr:col>25</xdr:col>
      <xdr:colOff>447675</xdr:colOff>
      <xdr:row>25</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31</xdr:row>
      <xdr:rowOff>180975</xdr:rowOff>
    </xdr:from>
    <xdr:to>
      <xdr:col>6</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15</xdr:row>
      <xdr:rowOff>28574</xdr:rowOff>
    </xdr:from>
    <xdr:to>
      <xdr:col>11</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576263</xdr:colOff>
      <xdr:row>29</xdr:row>
      <xdr:rowOff>150019</xdr:rowOff>
    </xdr:from>
    <xdr:to>
      <xdr:col>20</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4763</xdr:rowOff>
    </xdr:from>
    <xdr:to>
      <xdr:col>2</xdr:col>
      <xdr:colOff>171822</xdr:colOff>
      <xdr:row>1</xdr:row>
      <xdr:rowOff>103046</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763"/>
          <a:ext cx="3140289" cy="1644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0</xdr:colOff>
          <xdr:row>0</xdr:row>
          <xdr:rowOff>628650</xdr:rowOff>
        </xdr:from>
        <xdr:to>
          <xdr:col>5</xdr:col>
          <xdr:colOff>228600</xdr:colOff>
          <xdr:row>0</xdr:row>
          <xdr:rowOff>876300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295275</xdr:rowOff>
        </xdr:from>
        <xdr:to>
          <xdr:col>5</xdr:col>
          <xdr:colOff>228600</xdr:colOff>
          <xdr:row>0</xdr:row>
          <xdr:rowOff>571500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5786437</xdr:colOff>
          <xdr:row>0</xdr:row>
          <xdr:rowOff>266700</xdr:rowOff>
        </xdr:from>
        <xdr:to>
          <xdr:col>2</xdr:col>
          <xdr:colOff>6691312</xdr:colOff>
          <xdr:row>0</xdr:row>
          <xdr:rowOff>500062</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Import latest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8181975</xdr:colOff>
          <xdr:row>0</xdr:row>
          <xdr:rowOff>142875</xdr:rowOff>
        </xdr:from>
        <xdr:to>
          <xdr:col>5</xdr:col>
          <xdr:colOff>647700</xdr:colOff>
          <xdr:row>0</xdr:row>
          <xdr:rowOff>1276350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5572125</xdr:colOff>
          <xdr:row>0</xdr:row>
          <xdr:rowOff>142875</xdr:rowOff>
        </xdr:from>
        <xdr:to>
          <xdr:col>2</xdr:col>
          <xdr:colOff>7965281</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6991349</xdr:colOff>
          <xdr:row>0</xdr:row>
          <xdr:rowOff>250031</xdr:rowOff>
        </xdr:from>
        <xdr:to>
          <xdr:col>2</xdr:col>
          <xdr:colOff>7893842</xdr:colOff>
          <xdr:row>0</xdr:row>
          <xdr:rowOff>1257300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7008021</xdr:colOff>
          <xdr:row>0</xdr:row>
          <xdr:rowOff>323853</xdr:rowOff>
        </xdr:from>
        <xdr:to>
          <xdr:col>2</xdr:col>
          <xdr:colOff>7398546</xdr:colOff>
          <xdr:row>0</xdr:row>
          <xdr:rowOff>552453</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7017546</xdr:colOff>
          <xdr:row>0</xdr:row>
          <xdr:rowOff>514352</xdr:rowOff>
        </xdr:from>
        <xdr:to>
          <xdr:col>2</xdr:col>
          <xdr:colOff>7739064</xdr:colOff>
          <xdr:row>0</xdr:row>
          <xdr:rowOff>666752</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Japanese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5772150</xdr:colOff>
          <xdr:row>0</xdr:row>
          <xdr:rowOff>628650</xdr:rowOff>
        </xdr:from>
        <xdr:to>
          <xdr:col>2</xdr:col>
          <xdr:colOff>6677025</xdr:colOff>
          <xdr:row>0</xdr:row>
          <xdr:rowOff>1238250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Technology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695325</xdr:rowOff>
        </xdr:from>
        <xdr:to>
          <xdr:col>2</xdr:col>
          <xdr:colOff>6781800</xdr:colOff>
          <xdr:row>0</xdr:row>
          <xdr:rowOff>914400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5819775</xdr:colOff>
          <xdr:row>0</xdr:row>
          <xdr:rowOff>857250</xdr:rowOff>
        </xdr:from>
        <xdr:to>
          <xdr:col>2</xdr:col>
          <xdr:colOff>6791325</xdr:colOff>
          <xdr:row>0</xdr:row>
          <xdr:rowOff>1076325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7008021</xdr:colOff>
          <xdr:row>0</xdr:row>
          <xdr:rowOff>642940</xdr:rowOff>
        </xdr:from>
        <xdr:to>
          <xdr:col>2</xdr:col>
          <xdr:colOff>7412833</xdr:colOff>
          <xdr:row>0</xdr:row>
          <xdr:rowOff>852490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Korean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5829300</xdr:colOff>
          <xdr:row>0</xdr:row>
          <xdr:rowOff>1038225</xdr:rowOff>
        </xdr:from>
        <xdr:to>
          <xdr:col>2</xdr:col>
          <xdr:colOff>6877050</xdr:colOff>
          <xdr:row>0</xdr:row>
          <xdr:rowOff>1238250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AVD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952500</xdr:rowOff>
        </xdr:from>
        <xdr:to>
          <xdr:col>5</xdr:col>
          <xdr:colOff>238125</xdr:colOff>
          <xdr:row>0</xdr:row>
          <xdr:rowOff>1190625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Import Graph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7017547</xdr:colOff>
          <xdr:row>0</xdr:row>
          <xdr:rowOff>773906</xdr:rowOff>
        </xdr:from>
        <xdr:to>
          <xdr:col>2</xdr:col>
          <xdr:colOff>7679530</xdr:colOff>
          <xdr:row>0</xdr:row>
          <xdr:rowOff>1035844</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60940868-C66A-4500-884E-45992AE652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Portuguese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7012786</xdr:colOff>
          <xdr:row>0</xdr:row>
          <xdr:rowOff>950118</xdr:rowOff>
        </xdr:from>
        <xdr:to>
          <xdr:col>2</xdr:col>
          <xdr:colOff>7412836</xdr:colOff>
          <xdr:row>0</xdr:row>
          <xdr:rowOff>1159668</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B82D9095-7707-4A33-8A15-8B1243546DC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Spanish</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key-vault/general/best-practices" TargetMode="External"/><Relationship Id="rId21" Type="http://schemas.openxmlformats.org/officeDocument/2006/relationships/hyperlink" Target="https://docs.microsoft.com/azure/governance/management-groups/overview" TargetMode="External"/><Relationship Id="rId42" Type="http://schemas.openxmlformats.org/officeDocument/2006/relationships/hyperlink" Target="https://docs.microsoft.com/azure/virtual-wan/virtual-wan-about" TargetMode="External"/><Relationship Id="rId63" Type="http://schemas.openxmlformats.org/officeDocument/2006/relationships/hyperlink" Target="https://docs.microsoft.com/azure/app-service/networking-features" TargetMode="External"/><Relationship Id="rId84" Type="http://schemas.openxmlformats.org/officeDocument/2006/relationships/hyperlink" Target="https://docs.microsoft.com/azure/cloud-adoption-framework/ready/azure-setup-guide/organize-resources?tabs=AzureManagementGroupsAndHierarchy" TargetMode="External"/><Relationship Id="rId138" Type="http://schemas.openxmlformats.org/officeDocument/2006/relationships/hyperlink" Target="https://docs.microsoft.com/azure/key-vault/general/basic-concepts" TargetMode="External"/><Relationship Id="rId159" Type="http://schemas.openxmlformats.org/officeDocument/2006/relationships/ctrlProp" Target="../ctrlProps/ctrlProp5.xml"/><Relationship Id="rId170" Type="http://schemas.openxmlformats.org/officeDocument/2006/relationships/ctrlProp" Target="../ctrlProps/ctrlProp16.xml"/><Relationship Id="rId107" Type="http://schemas.openxmlformats.org/officeDocument/2006/relationships/hyperlink" Target="https://docs.microsoft.com/azure/backup/backup-center-overview" TargetMode="External"/><Relationship Id="rId11" Type="http://schemas.openxmlformats.org/officeDocument/2006/relationships/hyperlink" Target="https://docs.microsoft.com/azure/active-directory-domain-services/overview" TargetMode="External"/><Relationship Id="rId32" Type="http://schemas.openxmlformats.org/officeDocument/2006/relationships/hyperlink" Target="https://docs.microsoft.com/azure/cloud-adoption-framework/ready/azure-best-practices/plan-for-ip-addressing" TargetMode="External"/><Relationship Id="rId53" Type="http://schemas.openxmlformats.org/officeDocument/2006/relationships/hyperlink" Target="https://docs.microsoft.com/azure/networking/" TargetMode="External"/><Relationship Id="rId74" Type="http://schemas.openxmlformats.org/officeDocument/2006/relationships/hyperlink" Target="https://docs.microsoft.com/azure/web-application-firewall/ag/ag-overview" TargetMode="External"/><Relationship Id="rId128" Type="http://schemas.openxmlformats.org/officeDocument/2006/relationships/hyperlink" Target="https://docs.microsoft.com/azure/governance/policy/overview" TargetMode="External"/><Relationship Id="rId149" Type="http://schemas.openxmlformats.org/officeDocument/2006/relationships/hyperlink" Target="https://docs.microsoft.com/azure/vpn-gateway/active-active-portal" TargetMode="External"/><Relationship Id="rId5" Type="http://schemas.openxmlformats.org/officeDocument/2006/relationships/hyperlink" Target="https://docs.microsoft.com/azure/role-based-access-control/overview" TargetMode="External"/><Relationship Id="rId95" Type="http://schemas.openxmlformats.org/officeDocument/2006/relationships/hyperlink" Target="https://docs.microsoft.com/azure/private-link/inspect-traffic-with-azure-firewall" TargetMode="External"/><Relationship Id="rId160" Type="http://schemas.openxmlformats.org/officeDocument/2006/relationships/ctrlProp" Target="../ctrlProps/ctrlProp6.xml"/><Relationship Id="rId22" Type="http://schemas.openxmlformats.org/officeDocument/2006/relationships/hyperlink" Target="https://docs.microsoft.com/azure/governance/management-groups/overview" TargetMode="External"/><Relationship Id="rId43" Type="http://schemas.openxmlformats.org/officeDocument/2006/relationships/hyperlink" Target="https://docs.microsoft.com/azure/virtual-wan/virtual-wan-about" TargetMode="External"/><Relationship Id="rId64" Type="http://schemas.openxmlformats.org/officeDocument/2006/relationships/hyperlink" Target="https://docs.microsoft.com/azure/app-service/networking-features" TargetMode="External"/><Relationship Id="rId118" Type="http://schemas.openxmlformats.org/officeDocument/2006/relationships/hyperlink" Target="https://docs.microsoft.com/azure/key-vault/general/best-practices" TargetMode="External"/><Relationship Id="rId139" Type="http://schemas.openxmlformats.org/officeDocument/2006/relationships/hyperlink" Target="https://docs.microsoft.com/azure/governance/policy/overview" TargetMode="External"/><Relationship Id="rId85" Type="http://schemas.openxmlformats.org/officeDocument/2006/relationships/hyperlink" Target="https://docs.microsoft.com/azure/virtual-network/network-security-group-how-it-works" TargetMode="External"/><Relationship Id="rId150" Type="http://schemas.openxmlformats.org/officeDocument/2006/relationships/hyperlink" Target="https://docs.microsoft.com/azure/vpn-gateway/vpn-gateway-about-vpngateways" TargetMode="Externa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azure/key-vault/general/best-practices" TargetMode="External"/><Relationship Id="rId129" Type="http://schemas.openxmlformats.org/officeDocument/2006/relationships/hyperlink" Target="https://docs.microsoft.com/azure/governance/policy/overview" TargetMode="External"/><Relationship Id="rId54" Type="http://schemas.openxmlformats.org/officeDocument/2006/relationships/hyperlink" Target="https://docs.microsoft.com/azure/expressroute/expressroute-routing" TargetMode="External"/><Relationship Id="rId70" Type="http://schemas.openxmlformats.org/officeDocument/2006/relationships/hyperlink" Target="https://docs.microsoft.com/azure/firewall/" TargetMode="External"/><Relationship Id="rId75" Type="http://schemas.openxmlformats.org/officeDocument/2006/relationships/hyperlink" Target="https://docs.microsoft.com/azure/web-application-firewall/ag/ag-overview" TargetMode="External"/><Relationship Id="rId91" Type="http://schemas.openxmlformats.org/officeDocument/2006/relationships/hyperlink" Target="https://docs.microsoft.com/azure/virtual-network/virtual-network-peering-overview" TargetMode="External"/><Relationship Id="rId96" Type="http://schemas.openxmlformats.org/officeDocument/2006/relationships/hyperlink" Target="https://docs.microsoft.com/azure/automation/update-management/overview" TargetMode="External"/><Relationship Id="rId140" Type="http://schemas.openxmlformats.org/officeDocument/2006/relationships/hyperlink" Target="https://docs.microsoft.com/azure/network-watcher/connection-monitor-overview" TargetMode="External"/><Relationship Id="rId145" Type="http://schemas.openxmlformats.org/officeDocument/2006/relationships/hyperlink" Target="https://docs.microsoft.com/azure/expressroute/expressroute-optimize-routing" TargetMode="External"/><Relationship Id="rId161" Type="http://schemas.openxmlformats.org/officeDocument/2006/relationships/ctrlProp" Target="../ctrlProps/ctrlProp7.xml"/><Relationship Id="rId166" Type="http://schemas.openxmlformats.org/officeDocument/2006/relationships/ctrlProp" Target="../ctrlProps/ctrlProp12.xml"/><Relationship Id="rId1" Type="http://schemas.openxmlformats.org/officeDocument/2006/relationships/hyperlink" Target="https://docs.microsoft.com/azure/active-directory/roles/security-emergency-access" TargetMode="External"/><Relationship Id="rId6" Type="http://schemas.openxmlformats.org/officeDocument/2006/relationships/hyperlink" Target="https://docs.microsoft.com/azure/active-directory/privileged-identity-management/pim-configure" TargetMode="External"/><Relationship Id="rId23" Type="http://schemas.openxmlformats.org/officeDocument/2006/relationships/hyperlink" Target="https://docs.microsoft.com/azure/azure-resource-manager/management/azure-subscription-service-limits" TargetMode="External"/><Relationship Id="rId28" Type="http://schemas.openxmlformats.org/officeDocument/2006/relationships/hyperlink" Target="https://docs.microsoft.com/azure/governance/management-groups/overview" TargetMode="External"/><Relationship Id="rId49" Type="http://schemas.openxmlformats.org/officeDocument/2006/relationships/hyperlink" Target="https://docs.microsoft.com/azure/expressroute/expressroute-faqs" TargetMode="External"/><Relationship Id="rId114" Type="http://schemas.openxmlformats.org/officeDocument/2006/relationships/hyperlink" Target="https://docs.microsoft.com/azure/key-vault/general/best-practices" TargetMode="External"/><Relationship Id="rId119" Type="http://schemas.openxmlformats.org/officeDocument/2006/relationships/hyperlink" Target="https://docs.microsoft.com/azure/key-vault/general/best-practices" TargetMode="External"/><Relationship Id="rId44" Type="http://schemas.openxmlformats.org/officeDocument/2006/relationships/hyperlink" Target="https://docs.microsoft.com/azure/virtual-wan/virtual-wan-about" TargetMode="External"/><Relationship Id="rId60" Type="http://schemas.openxmlformats.org/officeDocument/2006/relationships/hyperlink" Target="https://docs.microsoft.com/azure/app-service/networking-features" TargetMode="External"/><Relationship Id="rId65" Type="http://schemas.openxmlformats.org/officeDocument/2006/relationships/hyperlink" Target="https://docs.microsoft.com/azure/cloud-adoption-framework/ready/enterprise-scale/network-topology-and-connectivity" TargetMode="External"/><Relationship Id="rId81" Type="http://schemas.openxmlformats.org/officeDocument/2006/relationships/hyperlink" Target="https://docs.microsoft.com/azure/web-application-firewall/ag/ag-overview" TargetMode="External"/><Relationship Id="rId86" Type="http://schemas.openxmlformats.org/officeDocument/2006/relationships/hyperlink" Target="https://docs.microsoft.com/azure/virtual-network/network-security-group-how-it-works" TargetMode="External"/><Relationship Id="rId130" Type="http://schemas.openxmlformats.org/officeDocument/2006/relationships/hyperlink" Target="https://docs.microsoft.com/azure/governance/policy/overview" TargetMode="External"/><Relationship Id="rId135" Type="http://schemas.openxmlformats.org/officeDocument/2006/relationships/hyperlink" Target="https://docs.microsoft.com/azure/azure-monitor/logs/design-logs-deployment" TargetMode="External"/><Relationship Id="rId151" Type="http://schemas.openxmlformats.org/officeDocument/2006/relationships/hyperlink" Target="https://docs.microsoft.com/azure/vpn-gateway/bgp-howto" TargetMode="External"/><Relationship Id="rId156" Type="http://schemas.openxmlformats.org/officeDocument/2006/relationships/ctrlProp" Target="../ctrlProps/ctrlProp2.xml"/><Relationship Id="rId13" Type="http://schemas.openxmlformats.org/officeDocument/2006/relationships/hyperlink" Target="https://docs.microsoft.com/azure/architecture/reference-architectures/identity/adds-extend-domain" TargetMode="External"/><Relationship Id="rId18" Type="http://schemas.openxmlformats.org/officeDocument/2006/relationships/hyperlink" Target="https://docs.microsoft.com/azure/governance/management-groups/overview" TargetMode="External"/><Relationship Id="rId39" Type="http://schemas.openxmlformats.org/officeDocument/2006/relationships/hyperlink" Target="https://docs.microsoft.com/azure/virtual-wan/virtual-wan-about" TargetMode="External"/><Relationship Id="rId109" Type="http://schemas.openxmlformats.org/officeDocument/2006/relationships/hyperlink" Target="https://docs.microsoft.com/azure/key-vault/general/best-practices" TargetMode="External"/><Relationship Id="rId34" Type="http://schemas.openxmlformats.org/officeDocument/2006/relationships/hyperlink" Target="https://docs.microsoft.com/azure/virtual-network/virtual-networks-name-resolution-for-vms-and-role-instances" TargetMode="External"/><Relationship Id="rId50" Type="http://schemas.openxmlformats.org/officeDocument/2006/relationships/hyperlink" Target="https://docs.microsoft.com/azure/architecture/reference-architectures/hybrid-networking/hub-spoke?tabs=cli" TargetMode="External"/><Relationship Id="rId55" Type="http://schemas.openxmlformats.org/officeDocument/2006/relationships/hyperlink" Target="https://docs.microsoft.com/azure/networking/" TargetMode="External"/><Relationship Id="rId76" Type="http://schemas.openxmlformats.org/officeDocument/2006/relationships/hyperlink" Target="https://docs.microsoft.com/azure/web-application-firewall/ag/ag-overview" TargetMode="External"/><Relationship Id="rId97" Type="http://schemas.openxmlformats.org/officeDocument/2006/relationships/hyperlink" Target="https://docs.microsoft.com/azure/network-watcher/network-watcher-monitoring-overview" TargetMode="External"/><Relationship Id="rId104" Type="http://schemas.openxmlformats.org/officeDocument/2006/relationships/hyperlink" Target="https://docs.microsoft.com/azure/azure-monitor/agents/diagnostics-extension-overview" TargetMode="External"/><Relationship Id="rId120" Type="http://schemas.openxmlformats.org/officeDocument/2006/relationships/hyperlink" Target="https://docs.microsoft.com/azure/governance/policy/overview" TargetMode="External"/><Relationship Id="rId125" Type="http://schemas.openxmlformats.org/officeDocument/2006/relationships/hyperlink" Target="https://docs.microsoft.com/azure/governance/policy/overview" TargetMode="External"/><Relationship Id="rId141" Type="http://schemas.openxmlformats.org/officeDocument/2006/relationships/hyperlink" Target="https://docs.microsoft.com/azure/automation/update-management/overview" TargetMode="External"/><Relationship Id="rId146" Type="http://schemas.openxmlformats.org/officeDocument/2006/relationships/hyperlink" Target="https://docs.microsoft.com/azure/virtual-wan/azure-monitor-insights" TargetMode="External"/><Relationship Id="rId167" Type="http://schemas.openxmlformats.org/officeDocument/2006/relationships/ctrlProp" Target="../ctrlProps/ctrlProp13.xml"/><Relationship Id="rId7" Type="http://schemas.openxmlformats.org/officeDocument/2006/relationships/hyperlink" Target="https://docs.microsoft.com/azure/active-directory-b2c/user-overview" TargetMode="External"/><Relationship Id="rId71" Type="http://schemas.openxmlformats.org/officeDocument/2006/relationships/hyperlink" Target="https://docs.microsoft.com/azure/firewall/" TargetMode="External"/><Relationship Id="rId92" Type="http://schemas.openxmlformats.org/officeDocument/2006/relationships/hyperlink" Target="https://docs.microsoft.com/azure/virtual-wan/virtual-wan-about" TargetMode="External"/><Relationship Id="rId162" Type="http://schemas.openxmlformats.org/officeDocument/2006/relationships/ctrlProp" Target="../ctrlProps/ctrlProp8.xm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cloud-adoption-framework/decision-guides/resource-tagging/?toc=/azure/azure-resource-manager/management/toc.json" TargetMode="External"/><Relationship Id="rId24" Type="http://schemas.openxmlformats.org/officeDocument/2006/relationships/hyperlink" Target="https://docs.microsoft.com/azure/cost-management-billing/reservations/save-compute-costs-reservations" TargetMode="External"/><Relationship Id="rId40" Type="http://schemas.openxmlformats.org/officeDocument/2006/relationships/hyperlink" Target="https://docs.microsoft.com/azure/virtual-wan/virtual-wan-about"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learn/paths/implement-resource-mgmt-security/" TargetMode="External"/><Relationship Id="rId87" Type="http://schemas.openxmlformats.org/officeDocument/2006/relationships/hyperlink" Target="https://docs.microsoft.com/azure/virtual-network/network-security-group-how-it-works" TargetMode="External"/><Relationship Id="rId110" Type="http://schemas.openxmlformats.org/officeDocument/2006/relationships/hyperlink" Target="https://docs.microsoft.com/azure/key-vault/general/best-practices" TargetMode="External"/><Relationship Id="rId115" Type="http://schemas.openxmlformats.org/officeDocument/2006/relationships/hyperlink" Target="https://docs.microsoft.com/azure/key-vault/general/best-practices" TargetMode="External"/><Relationship Id="rId131" Type="http://schemas.openxmlformats.org/officeDocument/2006/relationships/hyperlink" Target="https://docs.microsoft.com/azure/active-directory/reports-monitoring/overview-reports" TargetMode="External"/><Relationship Id="rId136" Type="http://schemas.openxmlformats.org/officeDocument/2006/relationships/hyperlink" Target="https://docs.microsoft.com/security/benchmark/azure/security-control-incident-response" TargetMode="External"/><Relationship Id="rId157" Type="http://schemas.openxmlformats.org/officeDocument/2006/relationships/ctrlProp" Target="../ctrlProps/ctrlProp3.xml"/><Relationship Id="rId61" Type="http://schemas.openxmlformats.org/officeDocument/2006/relationships/hyperlink" Target="https://docs.microsoft.com/azure/app-service/networking-features" TargetMode="External"/><Relationship Id="rId82" Type="http://schemas.openxmlformats.org/officeDocument/2006/relationships/hyperlink" Target="https://docs.microsoft.com/azure/web-application-firewall/ag/ag-overview" TargetMode="External"/><Relationship Id="rId152" Type="http://schemas.openxmlformats.org/officeDocument/2006/relationships/printerSettings" Target="../printerSettings/printerSettings2.bin"/><Relationship Id="rId19" Type="http://schemas.openxmlformats.org/officeDocument/2006/relationships/hyperlink" Target="https://docs.microsoft.com/azure/governance/management-groups/overview" TargetMode="External"/><Relationship Id="rId14" Type="http://schemas.openxmlformats.org/officeDocument/2006/relationships/hyperlink" Target="https://docs.microsoft.com/azure/active-directory/app-proxy/application-proxy" TargetMode="External"/><Relationship Id="rId30" Type="http://schemas.openxmlformats.org/officeDocument/2006/relationships/hyperlink" Target="https://docs.microsoft.com/azure/cloud-adoption-framework/ready/azure-best-practices/plan-for-ip-addressing" TargetMode="External"/><Relationship Id="rId35" Type="http://schemas.openxmlformats.org/officeDocument/2006/relationships/hyperlink" Target="https://docs.microsoft.com/azure/virtual-network/virtual-networks-name-resolution-for-vms-and-role-instances" TargetMode="External"/><Relationship Id="rId56" Type="http://schemas.openxmlformats.org/officeDocument/2006/relationships/hyperlink" Target="https://docs.microsoft.com/azure/networking/" TargetMode="External"/><Relationship Id="rId77" Type="http://schemas.openxmlformats.org/officeDocument/2006/relationships/hyperlink" Target="https://azure.microsoft.com/solutions/network-appliances/" TargetMode="External"/><Relationship Id="rId100" Type="http://schemas.openxmlformats.org/officeDocument/2006/relationships/hyperlink" Target="https://docs.microsoft.com/azure/?product=featured" TargetMode="External"/><Relationship Id="rId105" Type="http://schemas.openxmlformats.org/officeDocument/2006/relationships/hyperlink" Target="https://docs.microsoft.com/azure/azure-monitor/alerts/alerts-overview" TargetMode="External"/><Relationship Id="rId126" Type="http://schemas.openxmlformats.org/officeDocument/2006/relationships/hyperlink" Target="https://docs.microsoft.com/azure/governance/policy/overview" TargetMode="External"/><Relationship Id="rId147" Type="http://schemas.openxmlformats.org/officeDocument/2006/relationships/hyperlink" Target="https://docs.microsoft.com/azure/azure-resource-manager/management/azure-subscription-service-limits" TargetMode="External"/><Relationship Id="rId168" Type="http://schemas.openxmlformats.org/officeDocument/2006/relationships/ctrlProp" Target="../ctrlProps/ctrlProp14.xml"/><Relationship Id="rId8" Type="http://schemas.openxmlformats.org/officeDocument/2006/relationships/hyperlink" Target="https://docs.microsoft.com/azure/active-directory/fundamentals/active-directory-groups-create-azure-portal" TargetMode="External"/><Relationship Id="rId51" Type="http://schemas.openxmlformats.org/officeDocument/2006/relationships/hyperlink" Target="https://docs.microsoft.com/azure/expressroute/expressroute-routing" TargetMode="External"/><Relationship Id="rId72" Type="http://schemas.openxmlformats.org/officeDocument/2006/relationships/hyperlink" Target="https://docs.microsoft.com/azure/firewall/" TargetMode="External"/><Relationship Id="rId93" Type="http://schemas.openxmlformats.org/officeDocument/2006/relationships/hyperlink" Target="https://docs.microsoft.com/azure/network-watcher/network-watcher-monitoring-overview" TargetMode="External"/><Relationship Id="rId98" Type="http://schemas.openxmlformats.org/officeDocument/2006/relationships/hyperlink" Target="https://docs.microsoft.com/azure/azure-resource-manager/management/lock-resources?tabs=json" TargetMode="External"/><Relationship Id="rId121" Type="http://schemas.openxmlformats.org/officeDocument/2006/relationships/hyperlink" Target="https://docs.microsoft.com/azure/cloud-adoption-framework/decision-guides/resource-tagging/?toc=/azure/azure-resource-manager/management/toc.json" TargetMode="External"/><Relationship Id="rId142" Type="http://schemas.openxmlformats.org/officeDocument/2006/relationships/hyperlink" Target="https://docs.microsoft.com/azure/governance/policy/concepts/guest-configuration" TargetMode="External"/><Relationship Id="rId163" Type="http://schemas.openxmlformats.org/officeDocument/2006/relationships/ctrlProp" Target="../ctrlProps/ctrlProp9.xml"/><Relationship Id="rId3" Type="http://schemas.openxmlformats.org/officeDocument/2006/relationships/hyperlink" Target="https://docs.microsoft.com/azure/active-directory/conditional-access/overview" TargetMode="External"/><Relationship Id="rId25" Type="http://schemas.openxmlformats.org/officeDocument/2006/relationships/hyperlink" Target="https://docs.microsoft.com/azure/architecture/framework/scalability/design-capacity" TargetMode="External"/><Relationship Id="rId46" Type="http://schemas.openxmlformats.org/officeDocument/2006/relationships/hyperlink" Target="https://docs.microsoft.com/azure/architecture/reference-architectures/hybrid-networking/expressroute" TargetMode="External"/><Relationship Id="rId67" Type="http://schemas.openxmlformats.org/officeDocument/2006/relationships/hyperlink" Target="https://docs.microsoft.com/azure/app-service/networking-features" TargetMode="External"/><Relationship Id="rId116" Type="http://schemas.openxmlformats.org/officeDocument/2006/relationships/hyperlink" Target="https://docs.microsoft.com/azure/key-vault/general/best-practices" TargetMode="External"/><Relationship Id="rId137" Type="http://schemas.openxmlformats.org/officeDocument/2006/relationships/hyperlink" Target="https://www.microsoft.com/itshowcase/implementing-a-zero-trust-security-model-at-microsoft" TargetMode="External"/><Relationship Id="rId158" Type="http://schemas.openxmlformats.org/officeDocument/2006/relationships/ctrlProp" Target="../ctrlProps/ctrlProp4.xml"/><Relationship Id="rId20" Type="http://schemas.openxmlformats.org/officeDocument/2006/relationships/hyperlink" Target="https://docs.microsoft.com/azure/governance/management-groups/overview" TargetMode="External"/><Relationship Id="rId41" Type="http://schemas.openxmlformats.org/officeDocument/2006/relationships/hyperlink" Target="https://docs.microsoft.com/azure/virtual-wan/virtual-wan-about" TargetMode="External"/><Relationship Id="rId62" Type="http://schemas.openxmlformats.org/officeDocument/2006/relationships/hyperlink" Target="https://docs.microsoft.com/azure/app-service/networking-features" TargetMode="External"/><Relationship Id="rId83" Type="http://schemas.openxmlformats.org/officeDocument/2006/relationships/hyperlink" Target="https://docs.microsoft.com/azure/web-application-firewall/ag/ag-overview" TargetMode="External"/><Relationship Id="rId88" Type="http://schemas.openxmlformats.org/officeDocument/2006/relationships/hyperlink" Target="https://docs.microsoft.com/azure/virtual-network/network-security-group-how-it-works" TargetMode="External"/><Relationship Id="rId111" Type="http://schemas.openxmlformats.org/officeDocument/2006/relationships/hyperlink" Target="https://docs.microsoft.com/azure/key-vault/general/best-practices" TargetMode="External"/><Relationship Id="rId132" Type="http://schemas.openxmlformats.org/officeDocument/2006/relationships/hyperlink" Target="https://docs.microsoft.com/azure/azure-monitor/logs/logs-data-export?tabs=portal" TargetMode="External"/><Relationship Id="rId153" Type="http://schemas.openxmlformats.org/officeDocument/2006/relationships/drawing" Target="../drawings/drawing2.xml"/><Relationship Id="rId15" Type="http://schemas.openxmlformats.org/officeDocument/2006/relationships/hyperlink" Target="https://docs.microsoft.com/azure/governance/management-groups/overview" TargetMode="External"/><Relationship Id="rId36" Type="http://schemas.openxmlformats.org/officeDocument/2006/relationships/hyperlink" Target="https://docs.microsoft.com/azure/virtual-network/virtual-networks-name-resolution-for-vms-and-role-instances" TargetMode="External"/><Relationship Id="rId57" Type="http://schemas.openxmlformats.org/officeDocument/2006/relationships/hyperlink" Target="https://docs.microsoft.com/azure/networking/" TargetMode="External"/><Relationship Id="rId106" Type="http://schemas.openxmlformats.org/officeDocument/2006/relationships/hyperlink" Target="https://docs.microsoft.com/azure/backup/backup-center-overview" TargetMode="External"/><Relationship Id="rId127" Type="http://schemas.openxmlformats.org/officeDocument/2006/relationships/hyperlink" Target="https://docs.microsoft.com/azure/governance/policy/overview"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plan-for-ip-addressing" TargetMode="External"/><Relationship Id="rId52" Type="http://schemas.openxmlformats.org/officeDocument/2006/relationships/hyperlink" Target="https://docs.microsoft.com/azure/expressroute/expressroute-about-virtual-network-gateways" TargetMode="External"/><Relationship Id="rId73" Type="http://schemas.openxmlformats.org/officeDocument/2006/relationships/hyperlink" Target="https://docs.microsoft.com/azure/firewall/" TargetMode="External"/><Relationship Id="rId78" Type="http://schemas.openxmlformats.org/officeDocument/2006/relationships/hyperlink" Target="https://azure.microsoft.com/solutions/network-appliances/" TargetMode="External"/><Relationship Id="rId94" Type="http://schemas.openxmlformats.org/officeDocument/2006/relationships/hyperlink" Target="https://docs.microsoft.com/azure/virtual-network/network-security-group-how-it-works" TargetMode="External"/><Relationship Id="rId99" Type="http://schemas.openxmlformats.org/officeDocument/2006/relationships/hyperlink" Target="https://docs.microsoft.com/azure/governance/policy/overview" TargetMode="External"/><Relationship Id="rId101" Type="http://schemas.openxmlformats.org/officeDocument/2006/relationships/hyperlink" Target="https://docs.microsoft.com/azure/sentinel/quickstart-onboard" TargetMode="External"/><Relationship Id="rId122" Type="http://schemas.openxmlformats.org/officeDocument/2006/relationships/hyperlink" Target="https://docs.microsoft.com/azure/governance/policy/overview" TargetMode="External"/><Relationship Id="rId143" Type="http://schemas.openxmlformats.org/officeDocument/2006/relationships/hyperlink" Target="https://docs.microsoft.com/azure/azure-monitor/essentials/diagnostic-settings?tabs=CMD" TargetMode="External"/><Relationship Id="rId148" Type="http://schemas.openxmlformats.org/officeDocument/2006/relationships/hyperlink" Target="https://docs.microsoft.com/azure/azure-resource-manager/management/azure-subscription-service-limits" TargetMode="External"/><Relationship Id="rId164" Type="http://schemas.openxmlformats.org/officeDocument/2006/relationships/ctrlProp" Target="../ctrlProps/ctrlProp10.xml"/><Relationship Id="rId169" Type="http://schemas.openxmlformats.org/officeDocument/2006/relationships/ctrlProp" Target="../ctrlProps/ctrlProp15.xml"/><Relationship Id="rId4" Type="http://schemas.openxmlformats.org/officeDocument/2006/relationships/hyperlink" Target="https://docs.microsoft.com/azure/active-directory/authentication/concept-mfa-howitworks" TargetMode="External"/><Relationship Id="rId9" Type="http://schemas.openxmlformats.org/officeDocument/2006/relationships/hyperlink" Target="https://docs.microsoft.com/azure/role-based-access-control/custom-roles" TargetMode="External"/><Relationship Id="rId26" Type="http://schemas.openxmlformats.org/officeDocument/2006/relationships/hyperlink" Target="https://azure.microsoft.com/global-infrastructure/services/" TargetMode="External"/><Relationship Id="rId47" Type="http://schemas.openxmlformats.org/officeDocument/2006/relationships/hyperlink" Target="https://docs.microsoft.com/azure/cloud-adoption-framework/ready/enterprise-scale/network-topology-and-connectivity" TargetMode="External"/><Relationship Id="rId68" Type="http://schemas.openxmlformats.org/officeDocument/2006/relationships/hyperlink" Target="https://docs.microsoft.com/azure/app-service/networking-features" TargetMode="External"/><Relationship Id="rId89" Type="http://schemas.openxmlformats.org/officeDocument/2006/relationships/hyperlink" Target="https://docs.microsoft.com/azure/firewall/" TargetMode="External"/><Relationship Id="rId112" Type="http://schemas.openxmlformats.org/officeDocument/2006/relationships/hyperlink" Target="https://docs.microsoft.com/azure/key-vault/general/best-practices" TargetMode="External"/><Relationship Id="rId133" Type="http://schemas.openxmlformats.org/officeDocument/2006/relationships/hyperlink" Target="https://docs.microsoft.com/azure/security-center/" TargetMode="External"/><Relationship Id="rId154" Type="http://schemas.openxmlformats.org/officeDocument/2006/relationships/vmlDrawing" Target="../drawings/vmlDrawing1.vml"/><Relationship Id="rId16" Type="http://schemas.openxmlformats.org/officeDocument/2006/relationships/hyperlink" Target="https://docs.microsoft.com/azure/governance/management-groups/overview" TargetMode="Externa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networking/" TargetMode="External"/><Relationship Id="rId79" Type="http://schemas.openxmlformats.org/officeDocument/2006/relationships/hyperlink" Target="https://docs.microsoft.com/azure/ddos-protection/ddos-protection-overview" TargetMode="External"/><Relationship Id="rId102" Type="http://schemas.openxmlformats.org/officeDocument/2006/relationships/hyperlink" Target="https://docs.microsoft.com/azure/azure-monitor/logs/design-logs-deployment" TargetMode="External"/><Relationship Id="rId123" Type="http://schemas.openxmlformats.org/officeDocument/2006/relationships/hyperlink" Target="https://docs.microsoft.com/azure/governance/policy/overview" TargetMode="External"/><Relationship Id="rId144" Type="http://schemas.openxmlformats.org/officeDocument/2006/relationships/hyperlink" Target="https://docs.microsoft.com/azure/azure-monitor/insights/network-insights-overview" TargetMode="External"/><Relationship Id="rId90" Type="http://schemas.openxmlformats.org/officeDocument/2006/relationships/hyperlink" Target="https://docs.microsoft.com/azure/expressroute/expressroute-erdirect-about" TargetMode="External"/><Relationship Id="rId165" Type="http://schemas.openxmlformats.org/officeDocument/2006/relationships/ctrlProp" Target="../ctrlProps/ctrlProp11.xml"/><Relationship Id="rId27" Type="http://schemas.openxmlformats.org/officeDocument/2006/relationships/hyperlink" Target="https://docs.microsoft.com/azure/cost-management-billing/cost-management-billing-overview" TargetMode="External"/><Relationship Id="rId48" Type="http://schemas.openxmlformats.org/officeDocument/2006/relationships/hyperlink" Target="https://azure.microsoft.com/solutions/network-appliances/" TargetMode="External"/><Relationship Id="rId69" Type="http://schemas.openxmlformats.org/officeDocument/2006/relationships/hyperlink" Target="https://docs.microsoft.com/azure/app-service/networking-features" TargetMode="External"/><Relationship Id="rId113" Type="http://schemas.openxmlformats.org/officeDocument/2006/relationships/hyperlink" Target="https://docs.microsoft.com/azure/key-vault/general/best-practices" TargetMode="External"/><Relationship Id="rId134" Type="http://schemas.openxmlformats.org/officeDocument/2006/relationships/hyperlink" Target="https://docs.microsoft.com/azure/security-center/" TargetMode="External"/><Relationship Id="rId80" Type="http://schemas.openxmlformats.org/officeDocument/2006/relationships/hyperlink" Target="https://docs.microsoft.com/azure/web-application-firewall/ag/ag-overview" TargetMode="External"/><Relationship Id="rId155" Type="http://schemas.openxmlformats.org/officeDocument/2006/relationships/ctrlProp" Target="../ctrlProps/ctrlProp1.xml"/><Relationship Id="rId17"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virtual-wan/virtual-wan-about" TargetMode="External"/><Relationship Id="rId59" Type="http://schemas.openxmlformats.org/officeDocument/2006/relationships/hyperlink" Target="https://docs.microsoft.com/azure/networking/" TargetMode="External"/><Relationship Id="rId103" Type="http://schemas.openxmlformats.org/officeDocument/2006/relationships/hyperlink" Target="https://docs.microsoft.com/azure/cloud-adoption-framework/ready/azure-setup-guide/monitoring-reporting?tabs=AzureMonitor" TargetMode="External"/><Relationship Id="rId124" Type="http://schemas.openxmlformats.org/officeDocument/2006/relationships/hyperlink" Target="https://docs.microsoft.com/azure/governance/policy/overview"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9"/>
  <sheetViews>
    <sheetView topLeftCell="A4" zoomScale="80" zoomScaleNormal="80" workbookViewId="0">
      <selection activeCell="M34" sqref="M34"/>
    </sheetView>
  </sheetViews>
  <sheetFormatPr defaultRowHeight="15" x14ac:dyDescent="0.25"/>
  <cols>
    <col min="1" max="1" width="28.28515625" customWidth="1"/>
  </cols>
  <sheetData>
    <row r="2" spans="1:13" ht="31.5" x14ac:dyDescent="0.5">
      <c r="A2" s="16" t="s">
        <v>15</v>
      </c>
      <c r="D2" s="19">
        <f>S29</f>
        <v>0</v>
      </c>
    </row>
    <row r="5" spans="1:13" x14ac:dyDescent="0.25">
      <c r="B5" s="15" t="str">
        <f>Values!$B$2</f>
        <v>Not verified</v>
      </c>
      <c r="C5" s="15" t="str">
        <f>Values!$B$3</f>
        <v>Open</v>
      </c>
      <c r="D5" s="15" t="str">
        <f>Values!$B$4</f>
        <v>Fulfilled</v>
      </c>
      <c r="E5" s="15" t="str">
        <f>Values!$B$5</f>
        <v>N/A</v>
      </c>
      <c r="I5" s="15" t="str">
        <f>Values!$B$2</f>
        <v>Not verified</v>
      </c>
      <c r="J5" s="15" t="str">
        <f>Values!$B$3</f>
        <v>Open</v>
      </c>
      <c r="K5" s="15" t="str">
        <f>Values!$B$4</f>
        <v>Fulfilled</v>
      </c>
      <c r="L5" s="15" t="str">
        <f>Values!$B$5</f>
        <v>N/A</v>
      </c>
      <c r="M5" s="15" t="s">
        <v>17</v>
      </c>
    </row>
    <row r="6" spans="1:13" x14ac:dyDescent="0.25">
      <c r="A6" s="15" t="str">
        <f>Values!A2</f>
        <v>High</v>
      </c>
      <c r="B6" cm="1">
        <f t="array" ref="B6">SUMPRODUCT(--(Checklist!$D$5:$G$494=$A6)*--(Checklist!$E$5:$E$494=B$5))</f>
        <v>15</v>
      </c>
      <c r="C6" cm="1">
        <f t="array" ref="C6">SUMPRODUCT(--(Checklist!$D$5:$G$494=$A6)*--(Checklist!$E$5:$E$494=C$5))</f>
        <v>0</v>
      </c>
      <c r="D6" cm="1">
        <f t="array" ref="D6">SUMPRODUCT(--(Checklist!$D$5:$G$494=$A6)*--(Checklist!$E$5:$E$494=D$5))</f>
        <v>0</v>
      </c>
      <c r="E6" cm="1">
        <f t="array" ref="E6">SUMPRODUCT(--(Checklist!$D$5:$G$494=$A6)*--(Checklist!$E$5:$E$494=E$5))</f>
        <v>0</v>
      </c>
      <c r="F6">
        <f>SUM(B6:E6)</f>
        <v>15</v>
      </c>
      <c r="H6" s="15" t="str">
        <f>IF(Values!$C2="","",Values!$C2)</f>
        <v>Identity</v>
      </c>
      <c r="I6" cm="1">
        <f t="array" ref="I6">IF($H6="","",SUMPRODUCT(--(Checklist!$A$5:$A$494=$H6)*--(Checklist!$E$5:$E$494=I$5)))</f>
        <v>14</v>
      </c>
      <c r="J6" cm="1">
        <f t="array" ref="J6">IF($H6="","",SUMPRODUCT(--(Checklist!$A$5:$A$494=$H6)*--(Checklist!$E$5:$E$494=J$5)))</f>
        <v>0</v>
      </c>
      <c r="K6" cm="1">
        <f t="array" ref="K6">IF($H6="","",SUMPRODUCT(--(Checklist!$A$5:$A$494=$H6)*--(Checklist!$E$5:$E$494=K$5)))</f>
        <v>0</v>
      </c>
      <c r="L6" cm="1">
        <f t="array" ref="L6">IF($H6="","",SUMPRODUCT(--(Checklist!$A$5:$A$494=$H6)*--(Checklist!$E$5:$E$494=L$5)))</f>
        <v>0</v>
      </c>
      <c r="M6">
        <f>IF($H6="","",SUM(I6:L6))</f>
        <v>14</v>
      </c>
    </row>
    <row r="7" spans="1:13" x14ac:dyDescent="0.25">
      <c r="A7" s="15" t="str">
        <f>Values!A3</f>
        <v>Medium</v>
      </c>
      <c r="B7" cm="1">
        <f t="array" ref="B7">SUMPRODUCT(--(Checklist!$D$5:$G$494=$A7)*--(Checklist!$E$5:$E$494=B$5))</f>
        <v>133</v>
      </c>
      <c r="C7" cm="1">
        <f t="array" ref="C7">SUMPRODUCT(--(Checklist!$D$5:$G$494=$A7)*--(Checklist!$E$5:$E$494=C$5))</f>
        <v>0</v>
      </c>
      <c r="D7" cm="1">
        <f t="array" ref="D7">SUMPRODUCT(--(Checklist!$D$5:$G$494=$A7)*--(Checklist!$E$5:$E$494=D$5))</f>
        <v>0</v>
      </c>
      <c r="E7" cm="1">
        <f t="array" ref="E7">SUMPRODUCT(--(Checklist!$D$5:$G$494=$A7)*--(Checklist!$E$5:$E$494=E$5))</f>
        <v>0</v>
      </c>
      <c r="F7">
        <f>SUM(B7:E7)</f>
        <v>133</v>
      </c>
      <c r="H7" s="15" t="str">
        <f>IF(Values!$C3="","",Values!$C3)</f>
        <v>Networking</v>
      </c>
      <c r="I7" cm="1">
        <f t="array" ref="I7">IF($H7="","",SUMPRODUCT(--(Checklist!$A$5:$A$494=$H7)*--(Checklist!$E$5:$E$494=I$5)))</f>
        <v>75</v>
      </c>
      <c r="J7" cm="1">
        <f t="array" ref="J7">IF($H7="","",SUMPRODUCT(--(Checklist!$A$5:$A$494=$H7)*--(Checklist!$E$5:$E$494=J$5)))</f>
        <v>0</v>
      </c>
      <c r="K7" cm="1">
        <f t="array" ref="K7">IF($H7="","",SUMPRODUCT(--(Checklist!$A$5:$A$494=$H7)*--(Checklist!$E$5:$E$494=K$5)))</f>
        <v>0</v>
      </c>
      <c r="L7" cm="1">
        <f t="array" ref="L7">IF($H7="","",SUMPRODUCT(--(Checklist!$A$5:$A$494=$H7)*--(Checklist!$E$5:$E$494=L$5)))</f>
        <v>0</v>
      </c>
      <c r="M7">
        <f t="shared" ref="M7:M12" si="0">IF($H7="","",SUM(I7:L7))</f>
        <v>75</v>
      </c>
    </row>
    <row r="8" spans="1:13" x14ac:dyDescent="0.25">
      <c r="A8" s="15" t="str">
        <f>Values!A4</f>
        <v>Low</v>
      </c>
      <c r="B8" cm="1">
        <f t="array" ref="B8">SUMPRODUCT(--(Checklist!$D$5:$G$494=$A8)*--(Checklist!$E$5:$E$494=B$5))</f>
        <v>7</v>
      </c>
      <c r="C8" cm="1">
        <f t="array" ref="C8">SUMPRODUCT(--(Checklist!$D$5:$G$494=$A8)*--(Checklist!$E$5:$E$494=C$5))</f>
        <v>0</v>
      </c>
      <c r="D8" cm="1">
        <f t="array" ref="D8">SUMPRODUCT(--(Checklist!$D$5:$G$494=$A8)*--(Checklist!$E$5:$E$494=D$5))</f>
        <v>0</v>
      </c>
      <c r="E8" cm="1">
        <f t="array" ref="E8">SUMPRODUCT(--(Checklist!$D$5:$G$494=$A8)*--(Checklist!$E$5:$E$494=E$5))</f>
        <v>0</v>
      </c>
      <c r="F8">
        <f>SUM(B8:E8)</f>
        <v>7</v>
      </c>
      <c r="H8" s="15" t="str">
        <f>IF(Values!$C4="","",Values!$C4)</f>
        <v>Security</v>
      </c>
      <c r="I8" cm="1">
        <f t="array" ref="I8">IF($H8="","",SUMPRODUCT(--(Checklist!$A$5:$A$494=$H8)*--(Checklist!$E$5:$E$494=I$5)))</f>
        <v>33</v>
      </c>
      <c r="J8" cm="1">
        <f t="array" ref="J8">IF($H8="","",SUMPRODUCT(--(Checklist!$A$5:$A$494=$H8)*--(Checklist!$E$5:$E$494=J$5)))</f>
        <v>0</v>
      </c>
      <c r="K8" cm="1">
        <f t="array" ref="K8">IF($H8="","",SUMPRODUCT(--(Checklist!$A$5:$A$494=$H8)*--(Checklist!$E$5:$E$494=K$5)))</f>
        <v>0</v>
      </c>
      <c r="L8" cm="1">
        <f t="array" ref="L8">IF($H8="","",SUMPRODUCT(--(Checklist!$A$5:$A$494=$H8)*--(Checklist!$E$5:$E$494=L$5)))</f>
        <v>0</v>
      </c>
      <c r="M8">
        <f t="shared" si="0"/>
        <v>33</v>
      </c>
    </row>
    <row r="9" spans="1:13" x14ac:dyDescent="0.25">
      <c r="B9">
        <f>SUM(B6:B8)</f>
        <v>155</v>
      </c>
      <c r="C9">
        <f>SUM(C6:C8)</f>
        <v>0</v>
      </c>
      <c r="D9">
        <f>SUM(D6:D8)</f>
        <v>0</v>
      </c>
      <c r="E9">
        <f>SUM(E6:E8)</f>
        <v>0</v>
      </c>
      <c r="F9" s="15">
        <f>SUM(F6:F8)</f>
        <v>155</v>
      </c>
      <c r="H9" s="15" t="str">
        <f>IF(Values!$C5="","",Values!$C5)</f>
        <v>Management</v>
      </c>
      <c r="I9" cm="1">
        <f t="array" ref="I9">IF($H9="","",SUMPRODUCT(--(Checklist!$A$5:$A$494=$H9)*--(Checklist!$E$5:$E$494=I$5)))</f>
        <v>18</v>
      </c>
      <c r="J9" cm="1">
        <f t="array" ref="J9">IF($H9="","",SUMPRODUCT(--(Checklist!$A$5:$A$494=$H9)*--(Checklist!$E$5:$E$494=J$5)))</f>
        <v>0</v>
      </c>
      <c r="K9" cm="1">
        <f t="array" ref="K9">IF($H9="","",SUMPRODUCT(--(Checklist!$A$5:$A$494=$H9)*--(Checklist!$E$5:$E$494=K$5)))</f>
        <v>0</v>
      </c>
      <c r="L9" cm="1">
        <f t="array" ref="L9">IF($H9="","",SUMPRODUCT(--(Checklist!$A$5:$A$494=$H9)*--(Checklist!$E$5:$E$494=L$5)))</f>
        <v>0</v>
      </c>
      <c r="M9">
        <f t="shared" si="0"/>
        <v>18</v>
      </c>
    </row>
    <row r="10" spans="1:13" x14ac:dyDescent="0.25">
      <c r="H10" s="15" t="str">
        <f>IF(Values!$C6="","",Values!$C6)</f>
        <v>Subscriptions</v>
      </c>
      <c r="I10" cm="1">
        <f t="array" ref="I10">IF($H10="","",SUMPRODUCT(--(Checklist!$A$5:$A$494=$H10)*--(Checklist!$E$5:$E$494=I$5)))</f>
        <v>15</v>
      </c>
      <c r="J10" cm="1">
        <f t="array" ref="J10">IF($H10="","",SUMPRODUCT(--(Checklist!$A$5:$A$494=$H10)*--(Checklist!$E$5:$E$494=J$5)))</f>
        <v>0</v>
      </c>
      <c r="K10" cm="1">
        <f t="array" ref="K10">IF($H10="","",SUMPRODUCT(--(Checklist!$A$5:$A$494=$H10)*--(Checklist!$E$5:$E$494=K$5)))</f>
        <v>0</v>
      </c>
      <c r="L10" cm="1">
        <f t="array" ref="L10">IF($H10="","",SUMPRODUCT(--(Checklist!$A$5:$A$494=$H10)*--(Checklist!$E$5:$E$494=L$5)))</f>
        <v>0</v>
      </c>
      <c r="M10">
        <f t="shared" si="0"/>
        <v>15</v>
      </c>
    </row>
    <row r="11" spans="1:13" x14ac:dyDescent="0.25">
      <c r="H11" s="15" t="str">
        <f>IF(Values!$C7="","",Values!$C7)</f>
        <v/>
      </c>
      <c r="I11" t="str" cm="1">
        <f t="array" ref="I11">IF($H11="","",SUMPRODUCT(--(Checklist!$A$5:$A$494=$H11)*--(Checklist!$E$5:$E$494=I$5)))</f>
        <v/>
      </c>
      <c r="J11" t="str" cm="1">
        <f t="array" ref="J11">IF($H11="","",SUMPRODUCT(--(Checklist!$A$5:$A$494=$H11)*--(Checklist!$E$5:$E$494=J$5)))</f>
        <v/>
      </c>
      <c r="K11" t="str" cm="1">
        <f t="array" ref="K11">IF($H11="","",SUMPRODUCT(--(Checklist!$A$5:$A$494=$H11)*--(Checklist!$E$5:$E$494=K$5)))</f>
        <v/>
      </c>
      <c r="L11" t="str" cm="1">
        <f t="array" ref="L11">IF($H11="","",SUMPRODUCT(--(Checklist!$A$5:$A$494=$H11)*--(Checklist!$E$5:$E$494=L$5)))</f>
        <v/>
      </c>
      <c r="M11" t="str">
        <f t="shared" si="0"/>
        <v/>
      </c>
    </row>
    <row r="12" spans="1:13" x14ac:dyDescent="0.25">
      <c r="H12" s="15" t="str">
        <f>IF(Values!$C8="","",Values!$C8)</f>
        <v/>
      </c>
      <c r="I12" t="str" cm="1">
        <f t="array" ref="I12">IF($H12="","",SUMPRODUCT(--(Checklist!$A$5:$A$494=$H12)*--(Checklist!$E$5:$E$494=I$5)))</f>
        <v/>
      </c>
      <c r="J12" t="str" cm="1">
        <f t="array" ref="J12">IF($H12="","",SUMPRODUCT(--(Checklist!$A$5:$A$494=$H12)*--(Checklist!$E$5:$E$494=J$5)))</f>
        <v/>
      </c>
      <c r="K12" t="str" cm="1">
        <f t="array" ref="K12">IF($H12="","",SUMPRODUCT(--(Checklist!$A$5:$A$494=$H12)*--(Checklist!$E$5:$E$494=K$5)))</f>
        <v/>
      </c>
      <c r="L12" t="str" cm="1">
        <f t="array" ref="L12">IF($H12="","",SUMPRODUCT(--(Checklist!$A$5:$A$494=$H12)*--(Checklist!$E$5:$E$494=L$5)))</f>
        <v/>
      </c>
      <c r="M12" t="str">
        <f t="shared" si="0"/>
        <v/>
      </c>
    </row>
    <row r="13" spans="1:13" x14ac:dyDescent="0.25">
      <c r="H13" s="15" t="str">
        <f>IF(Values!$C9="","",Values!$C9)</f>
        <v/>
      </c>
      <c r="I13" t="str" cm="1">
        <f t="array" ref="I13">IF($H13="","",SUMPRODUCT(--(Checklist!$A$5:$A$494=$H13)*--(Checklist!$E$5:$E$494=I$5)))</f>
        <v/>
      </c>
      <c r="J13" t="str" cm="1">
        <f t="array" ref="J13">IF($H13="","",SUMPRODUCT(--(Checklist!$A$5:$A$494=$H13)*--(Checklist!$E$5:$E$494=J$5)))</f>
        <v/>
      </c>
      <c r="K13" t="str" cm="1">
        <f t="array" ref="K13">IF($H13="","",SUMPRODUCT(--(Checklist!$A$5:$A$494=$H13)*--(Checklist!$E$5:$E$494=K$5)))</f>
        <v/>
      </c>
      <c r="L13" t="str" cm="1">
        <f t="array" ref="L13">IF($H13="","",SUMPRODUCT(--(Checklist!$A$5:$A$494=$H13)*--(Checklist!$E$5:$E$494=L$5)))</f>
        <v/>
      </c>
      <c r="M13" t="str">
        <f>IF($H13="","",SUM(I13:L13))</f>
        <v/>
      </c>
    </row>
    <row r="14" spans="1:13" x14ac:dyDescent="0.25">
      <c r="I14">
        <f>SUM(I6:I13)</f>
        <v>155</v>
      </c>
      <c r="J14">
        <f>SUM(J6:J13)</f>
        <v>0</v>
      </c>
      <c r="K14">
        <f>SUM(K6:K13)</f>
        <v>0</v>
      </c>
      <c r="L14">
        <f>SUM(L6:L13)</f>
        <v>0</v>
      </c>
      <c r="M14" s="15">
        <f>SUM(M6:M13)</f>
        <v>155</v>
      </c>
    </row>
    <row r="20" spans="14:19" x14ac:dyDescent="0.25">
      <c r="N20" s="15" t="s">
        <v>16</v>
      </c>
      <c r="O20" s="15" t="str">
        <f>Values!$B$2</f>
        <v>Not verified</v>
      </c>
      <c r="P20" s="15" t="str">
        <f>Values!$B$3</f>
        <v>Open</v>
      </c>
      <c r="Q20" s="15" t="s">
        <v>19</v>
      </c>
      <c r="R20" s="15" t="s">
        <v>17</v>
      </c>
      <c r="S20" s="15" t="s">
        <v>18</v>
      </c>
    </row>
    <row r="21" spans="14:19" x14ac:dyDescent="0.25">
      <c r="N21" s="15" t="str">
        <f>IF(Values!$C2="","",Values!$C2)</f>
        <v>Identity</v>
      </c>
      <c r="O21" cm="1">
        <f t="array" ref="O21">IF($N21="","",SUMPRODUCT(--(Checklist!$A$5:$A$494=$N21)*--(Checklist!$E$5:$E$494=O$20)))</f>
        <v>14</v>
      </c>
      <c r="P21" cm="1">
        <f t="array" ref="P21">IF($N21="","",SUMPRODUCT(--(Checklist!$A$5:$A$494=$N21)*--(Checklist!$E$5:$E$494=P$20)))</f>
        <v>0</v>
      </c>
      <c r="Q21" cm="1">
        <f t="array" ref="Q21">IF($N21="","",SUMPRODUCT(--(Checklist!$A$5:$A$494=$N21)*(--(Checklist!$E$5:$E$494=Values!$B$4)+--(Checklist!$E$5:$E$494=Values!$B$5))))</f>
        <v>0</v>
      </c>
      <c r="R21">
        <f>IF($N21="","",SUM(O21:Q21))</f>
        <v>14</v>
      </c>
      <c r="S21" s="17">
        <f>IF($N21="","",Q21/R21)</f>
        <v>0</v>
      </c>
    </row>
    <row r="22" spans="14:19" x14ac:dyDescent="0.25">
      <c r="N22" s="15" t="str">
        <f>IF(Values!$C3="","",Values!$C3)</f>
        <v>Networking</v>
      </c>
      <c r="O22" cm="1">
        <f t="array" ref="O22">IF($N22="","",SUMPRODUCT(--(Checklist!$A$5:$A$494=$N22)*--(Checklist!$E$5:$E$494=O$20)))</f>
        <v>75</v>
      </c>
      <c r="P22" cm="1">
        <f t="array" ref="P22">IF($N22="","",SUMPRODUCT(--(Checklist!$A$5:$A$494=$N22)*--(Checklist!$E$5:$E$494=P$20)))</f>
        <v>0</v>
      </c>
      <c r="Q22" cm="1">
        <f t="array" ref="Q22">IF($N22="","",SUMPRODUCT(--(Checklist!$A$5:$A$494=$N22)*(--(Checklist!$E$5:$E$494=Values!$B$4)+--(Checklist!$E$5:$E$494=Values!$B$5))))</f>
        <v>0</v>
      </c>
      <c r="R22">
        <f t="shared" ref="R22:R27" si="1">IF($N22="","",SUM(O22:Q22))</f>
        <v>75</v>
      </c>
      <c r="S22" s="17">
        <f t="shared" ref="S22:S27" si="2">IF($N22="","",Q22/R22)</f>
        <v>0</v>
      </c>
    </row>
    <row r="23" spans="14:19" x14ac:dyDescent="0.25">
      <c r="N23" s="15" t="str">
        <f>IF(Values!$C4="","",Values!$C4)</f>
        <v>Security</v>
      </c>
      <c r="O23" cm="1">
        <f t="array" ref="O23">IF($N23="","",SUMPRODUCT(--(Checklist!$A$5:$A$494=$N23)*--(Checklist!$E$5:$E$494=O$20)))</f>
        <v>33</v>
      </c>
      <c r="P23" cm="1">
        <f t="array" ref="P23">IF($N23="","",SUMPRODUCT(--(Checklist!$A$5:$A$494=$N23)*--(Checklist!$E$5:$E$494=P$20)))</f>
        <v>0</v>
      </c>
      <c r="Q23" cm="1">
        <f t="array" ref="Q23">IF($N23="","",SUMPRODUCT(--(Checklist!$A$5:$A$494=$N23)*(--(Checklist!$E$5:$E$494=Values!$B$4)+--(Checklist!$E$5:$E$494=Values!$B$5))))</f>
        <v>0</v>
      </c>
      <c r="R23">
        <f t="shared" si="1"/>
        <v>33</v>
      </c>
      <c r="S23" s="17">
        <f t="shared" si="2"/>
        <v>0</v>
      </c>
    </row>
    <row r="24" spans="14:19" x14ac:dyDescent="0.25">
      <c r="N24" s="15" t="str">
        <f>IF(Values!$C5="","",Values!$C5)</f>
        <v>Management</v>
      </c>
      <c r="O24" cm="1">
        <f t="array" ref="O24">IF($N24="","",SUMPRODUCT(--(Checklist!$A$5:$A$494=$N24)*--(Checklist!$E$5:$E$494=O$20)))</f>
        <v>18</v>
      </c>
      <c r="P24" cm="1">
        <f t="array" ref="P24">IF($N24="","",SUMPRODUCT(--(Checklist!$A$5:$A$494=$N24)*--(Checklist!$E$5:$E$494=P$20)))</f>
        <v>0</v>
      </c>
      <c r="Q24" cm="1">
        <f t="array" ref="Q24">IF($N24="","",SUMPRODUCT(--(Checklist!$A$5:$A$494=$N24)*(--(Checklist!$E$5:$E$494=Values!$B$4)+--(Checklist!$E$5:$E$494=Values!$B$5))))</f>
        <v>0</v>
      </c>
      <c r="R24">
        <f t="shared" si="1"/>
        <v>18</v>
      </c>
      <c r="S24" s="17">
        <f t="shared" si="2"/>
        <v>0</v>
      </c>
    </row>
    <row r="25" spans="14:19" x14ac:dyDescent="0.25">
      <c r="N25" s="15" t="str">
        <f>IF(Values!$C6="","",Values!$C6)</f>
        <v>Subscriptions</v>
      </c>
      <c r="O25" cm="1">
        <f t="array" ref="O25">IF($N25="","",SUMPRODUCT(--(Checklist!$A$5:$A$494=$N25)*--(Checklist!$E$5:$E$494=O$20)))</f>
        <v>15</v>
      </c>
      <c r="P25" cm="1">
        <f t="array" ref="P25">IF($N25="","",SUMPRODUCT(--(Checklist!$A$5:$A$494=$N25)*--(Checklist!$E$5:$E$494=P$20)))</f>
        <v>0</v>
      </c>
      <c r="Q25" cm="1">
        <f t="array" ref="Q25">IF($N25="","",SUMPRODUCT(--(Checklist!$A$5:$A$494=$N25)*(--(Checklist!$E$5:$E$494=Values!$B$4)+--(Checklist!$E$5:$E$494=Values!$B$5))))</f>
        <v>0</v>
      </c>
      <c r="R25">
        <f t="shared" si="1"/>
        <v>15</v>
      </c>
      <c r="S25" s="17">
        <f t="shared" si="2"/>
        <v>0</v>
      </c>
    </row>
    <row r="26" spans="14:19" x14ac:dyDescent="0.25">
      <c r="N26" s="15" t="str">
        <f>IF(Values!$C7="","",Values!$C7)</f>
        <v/>
      </c>
      <c r="O26" t="str" cm="1">
        <f t="array" ref="O26">IF($N26="","",SUMPRODUCT(--(Checklist!$A$5:$A$494=$N26)*--(Checklist!$E$5:$E$494=O$20)))</f>
        <v/>
      </c>
      <c r="P26" t="str" cm="1">
        <f t="array" ref="P26">IF($N26="","",SUMPRODUCT(--(Checklist!$A$5:$A$494=$N26)*--(Checklist!$E$5:$E$494=P$20)))</f>
        <v/>
      </c>
      <c r="Q26" t="str" cm="1">
        <f t="array" ref="Q26">IF($N26="","",SUMPRODUCT(--(Checklist!$A$5:$A$494=$N26)*(--(Checklist!$E$5:$E$494=Values!$B$4)+--(Checklist!$E$5:$E$494=Values!$B$5))))</f>
        <v/>
      </c>
      <c r="R26" t="str">
        <f t="shared" si="1"/>
        <v/>
      </c>
      <c r="S26" s="17" t="str">
        <f t="shared" si="2"/>
        <v/>
      </c>
    </row>
    <row r="27" spans="14:19" x14ac:dyDescent="0.25">
      <c r="N27" s="15" t="str">
        <f>IF(Values!$C8="","",Values!$C8)</f>
        <v/>
      </c>
      <c r="O27" t="str" cm="1">
        <f t="array" ref="O27">IF($N27="","",SUMPRODUCT(--(Checklist!$A$5:$A$494=$N27)*--(Checklist!$E$5:$E$494=O$20)))</f>
        <v/>
      </c>
      <c r="P27" t="str" cm="1">
        <f t="array" ref="P27">IF($N27="","",SUMPRODUCT(--(Checklist!$A$5:$A$494=$N27)*--(Checklist!$E$5:$E$494=P$20)))</f>
        <v/>
      </c>
      <c r="Q27" t="str" cm="1">
        <f t="array" ref="Q27">IF($N27="","",SUMPRODUCT(--(Checklist!$A$5:$A$494=$N27)*(--(Checklist!$E$5:$E$494=Values!$B$4)+--(Checklist!$E$5:$E$494=Values!$B$5))))</f>
        <v/>
      </c>
      <c r="R27" t="str">
        <f t="shared" si="1"/>
        <v/>
      </c>
      <c r="S27" s="17" t="str">
        <f t="shared" si="2"/>
        <v/>
      </c>
    </row>
    <row r="28" spans="14:19" x14ac:dyDescent="0.25">
      <c r="N28" s="15" t="str">
        <f>IF(Values!$C9="","",Values!$C9)</f>
        <v/>
      </c>
      <c r="O28" t="str" cm="1">
        <f t="array" ref="O28">IF($N28="","",SUMPRODUCT(--(Checklist!$A$5:$A$494=$N28)*--(Checklist!$E$5:$E$494=O$20)))</f>
        <v/>
      </c>
      <c r="P28" t="str" cm="1">
        <f t="array" ref="P28">IF($N28="","",SUMPRODUCT(--(Checklist!$A$5:$A$494=$N28)*--(Checklist!$E$5:$E$494=P$20)))</f>
        <v/>
      </c>
      <c r="Q28" t="str" cm="1">
        <f t="array" ref="Q28">IF($N28="","",SUMPRODUCT(--(Checklist!$A$5:$A$494=$N28)*(--(Checklist!$E$5:$E$494=Values!$B$4)+--(Checklist!$E$5:$E$494=Values!$B$5))))</f>
        <v/>
      </c>
      <c r="R28" t="str">
        <f>IF($N28="","",SUM(O28:Q28))</f>
        <v/>
      </c>
      <c r="S28" s="17" t="str">
        <f>IF($N28="","",Q28/R28)</f>
        <v/>
      </c>
    </row>
    <row r="29" spans="14:19" x14ac:dyDescent="0.25">
      <c r="O29">
        <f>SUM(O21:O28)</f>
        <v>155</v>
      </c>
      <c r="P29">
        <f>SUM(P21:P28)</f>
        <v>0</v>
      </c>
      <c r="Q29">
        <f>SUM(Q21:Q28)</f>
        <v>0</v>
      </c>
      <c r="R29" s="15">
        <f>SUM(R21:R28)</f>
        <v>155</v>
      </c>
      <c r="S29" s="18">
        <f>Q29/R29</f>
        <v>0</v>
      </c>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K297"/>
  <sheetViews>
    <sheetView showGridLines="0" tabSelected="1" zoomScale="80" zoomScaleNormal="80" workbookViewId="0">
      <selection activeCell="A6" sqref="A6"/>
    </sheetView>
  </sheetViews>
  <sheetFormatPr defaultColWidth="9" defaultRowHeight="16.5" x14ac:dyDescent="0.25"/>
  <cols>
    <col min="1" max="1" width="19" style="1" customWidth="1"/>
    <col min="2" max="2" width="22.28515625" style="1" customWidth="1"/>
    <col min="3" max="3" width="126.7109375" style="2" customWidth="1"/>
    <col min="4" max="4" width="16.140625" style="2" customWidth="1"/>
    <col min="5" max="5" width="15.140625" style="2" customWidth="1"/>
    <col min="6" max="6" width="49.5703125" style="2" customWidth="1"/>
    <col min="7" max="7" width="18.42578125" style="2" customWidth="1"/>
    <col min="8" max="8" width="14.5703125" style="2" customWidth="1"/>
    <col min="9" max="10" width="9" style="2"/>
    <col min="11" max="11" width="41.28515625" style="2" customWidth="1"/>
    <col min="12" max="16384" width="9" style="2"/>
  </cols>
  <sheetData>
    <row r="1" spans="1:11" ht="121.9" customHeight="1" x14ac:dyDescent="0.3">
      <c r="A1" s="25"/>
      <c r="B1" s="25"/>
      <c r="C1" s="14" t="s">
        <v>13</v>
      </c>
    </row>
    <row r="2" spans="1:11" s="6" customFormat="1" ht="24.6" customHeight="1" x14ac:dyDescent="0.25">
      <c r="A2" s="22" t="s">
        <v>30</v>
      </c>
      <c r="B2" s="5"/>
      <c r="C2" s="5"/>
      <c r="D2" s="5"/>
      <c r="E2" s="5"/>
      <c r="F2" s="5"/>
      <c r="G2" s="5"/>
    </row>
    <row r="3" spans="1:11" x14ac:dyDescent="0.25">
      <c r="A3" s="4"/>
      <c r="B3" s="4"/>
      <c r="C3" s="8"/>
      <c r="D3" s="4"/>
      <c r="E3" s="4"/>
      <c r="F3" s="4"/>
      <c r="G3" s="4"/>
    </row>
    <row r="4" spans="1:11" s="7" customFormat="1" ht="25.5" x14ac:dyDescent="0.25">
      <c r="A4" s="7" t="s">
        <v>0</v>
      </c>
      <c r="B4" s="7" t="s">
        <v>1</v>
      </c>
      <c r="C4" s="7" t="s">
        <v>2</v>
      </c>
      <c r="D4" s="7" t="s">
        <v>3</v>
      </c>
      <c r="E4" s="7" t="s">
        <v>4</v>
      </c>
      <c r="F4" s="7" t="s">
        <v>5</v>
      </c>
      <c r="G4" s="7" t="s">
        <v>14</v>
      </c>
      <c r="H4" s="7" t="s">
        <v>20</v>
      </c>
      <c r="I4" s="24" t="s">
        <v>26</v>
      </c>
      <c r="J4" s="24" t="s">
        <v>27</v>
      </c>
      <c r="K4" s="24" t="s">
        <v>29</v>
      </c>
    </row>
    <row r="5" spans="1:11" ht="16.5" customHeight="1" x14ac:dyDescent="0.25">
      <c r="A5" s="2" t="s">
        <v>23</v>
      </c>
      <c r="B5" s="2" t="s">
        <v>23</v>
      </c>
      <c r="C5" s="2" t="s">
        <v>31</v>
      </c>
      <c r="D5" s="2" t="s">
        <v>6</v>
      </c>
      <c r="E5" s="2" t="s">
        <v>7</v>
      </c>
      <c r="G5" s="20" t="s">
        <v>14</v>
      </c>
      <c r="H5" s="13"/>
      <c r="I5" s="23"/>
      <c r="J5" s="23"/>
      <c r="K5" s="23"/>
    </row>
    <row r="6" spans="1:11" ht="16.5" customHeight="1" x14ac:dyDescent="0.25">
      <c r="A6" s="2" t="s">
        <v>23</v>
      </c>
      <c r="B6" s="2" t="s">
        <v>23</v>
      </c>
      <c r="C6" s="2" t="s">
        <v>32</v>
      </c>
      <c r="D6" s="2" t="s">
        <v>6</v>
      </c>
      <c r="E6" s="2" t="s">
        <v>7</v>
      </c>
      <c r="G6" s="20" t="s">
        <v>14</v>
      </c>
      <c r="H6" s="13"/>
      <c r="I6" s="23"/>
      <c r="J6" s="23"/>
      <c r="K6" s="23"/>
    </row>
    <row r="7" spans="1:11" ht="16.5" customHeight="1" x14ac:dyDescent="0.25">
      <c r="A7" s="2" t="s">
        <v>23</v>
      </c>
      <c r="B7" s="2" t="s">
        <v>23</v>
      </c>
      <c r="C7" s="2" t="s">
        <v>33</v>
      </c>
      <c r="D7" s="2" t="s">
        <v>8</v>
      </c>
      <c r="E7" s="2" t="s">
        <v>7</v>
      </c>
      <c r="G7" s="20" t="s">
        <v>14</v>
      </c>
      <c r="H7" s="13"/>
      <c r="I7" s="23"/>
      <c r="J7" s="23"/>
      <c r="K7" s="23"/>
    </row>
    <row r="8" spans="1:11" ht="16.5" customHeight="1" x14ac:dyDescent="0.25">
      <c r="A8" s="2" t="s">
        <v>23</v>
      </c>
      <c r="B8" s="2" t="s">
        <v>23</v>
      </c>
      <c r="C8" s="2" t="s">
        <v>34</v>
      </c>
      <c r="D8" s="2" t="s">
        <v>6</v>
      </c>
      <c r="E8" s="2" t="s">
        <v>7</v>
      </c>
      <c r="F8" s="1"/>
      <c r="G8" s="20" t="s">
        <v>14</v>
      </c>
      <c r="H8" s="13"/>
      <c r="I8" s="23"/>
      <c r="J8" s="23"/>
      <c r="K8" s="23"/>
    </row>
    <row r="9" spans="1:11" ht="16.5" customHeight="1" x14ac:dyDescent="0.25">
      <c r="A9" s="2" t="s">
        <v>23</v>
      </c>
      <c r="B9" s="2" t="s">
        <v>23</v>
      </c>
      <c r="C9" s="2" t="s">
        <v>35</v>
      </c>
      <c r="D9" s="2" t="s">
        <v>9</v>
      </c>
      <c r="E9" s="2" t="s">
        <v>7</v>
      </c>
      <c r="G9" s="20" t="s">
        <v>14</v>
      </c>
      <c r="H9" s="13"/>
      <c r="I9" s="23"/>
      <c r="J9" s="23"/>
      <c r="K9" s="23"/>
    </row>
    <row r="10" spans="1:11" ht="16.5" customHeight="1" x14ac:dyDescent="0.25">
      <c r="A10" s="2" t="s">
        <v>23</v>
      </c>
      <c r="B10" s="2" t="s">
        <v>23</v>
      </c>
      <c r="C10" s="2" t="s">
        <v>36</v>
      </c>
      <c r="D10" s="2" t="s">
        <v>9</v>
      </c>
      <c r="E10" s="2" t="s">
        <v>7</v>
      </c>
      <c r="F10" s="1"/>
      <c r="G10" s="20" t="s">
        <v>14</v>
      </c>
      <c r="H10" s="13"/>
      <c r="I10" s="23"/>
      <c r="J10" s="23"/>
      <c r="K10" s="23"/>
    </row>
    <row r="11" spans="1:11" ht="16.5" customHeight="1" x14ac:dyDescent="0.25">
      <c r="A11" s="2" t="s">
        <v>23</v>
      </c>
      <c r="B11" s="2" t="s">
        <v>23</v>
      </c>
      <c r="C11" s="2" t="s">
        <v>37</v>
      </c>
      <c r="D11" s="2" t="s">
        <v>6</v>
      </c>
      <c r="E11" s="2" t="s">
        <v>7</v>
      </c>
      <c r="G11" s="20" t="s">
        <v>14</v>
      </c>
      <c r="H11" s="13"/>
      <c r="I11" s="23"/>
      <c r="J11" s="23"/>
      <c r="K11" s="23"/>
    </row>
    <row r="12" spans="1:11" ht="16.5" customHeight="1" x14ac:dyDescent="0.25">
      <c r="A12" s="2" t="s">
        <v>23</v>
      </c>
      <c r="B12" s="2" t="s">
        <v>23</v>
      </c>
      <c r="C12" s="2" t="s">
        <v>38</v>
      </c>
      <c r="D12" s="2" t="s">
        <v>9</v>
      </c>
      <c r="E12" s="2" t="s">
        <v>7</v>
      </c>
      <c r="G12" s="20" t="s">
        <v>14</v>
      </c>
      <c r="H12" s="13"/>
      <c r="I12" s="23"/>
      <c r="J12" s="23"/>
      <c r="K12" s="23"/>
    </row>
    <row r="13" spans="1:11" ht="16.5" customHeight="1" x14ac:dyDescent="0.25">
      <c r="A13" s="2" t="s">
        <v>23</v>
      </c>
      <c r="B13" s="2" t="s">
        <v>23</v>
      </c>
      <c r="C13" s="1" t="s">
        <v>39</v>
      </c>
      <c r="D13" s="2" t="s">
        <v>9</v>
      </c>
      <c r="E13" s="2" t="s">
        <v>7</v>
      </c>
      <c r="G13" s="20" t="s">
        <v>14</v>
      </c>
      <c r="H13" s="13"/>
      <c r="I13" s="23"/>
      <c r="J13" s="23"/>
      <c r="K13" s="23"/>
    </row>
    <row r="14" spans="1:11" ht="16.5" customHeight="1" x14ac:dyDescent="0.25">
      <c r="A14" s="2" t="s">
        <v>23</v>
      </c>
      <c r="B14" s="2" t="s">
        <v>23</v>
      </c>
      <c r="C14" s="2" t="s">
        <v>40</v>
      </c>
      <c r="D14" s="2" t="s">
        <v>9</v>
      </c>
      <c r="E14" s="2" t="s">
        <v>7</v>
      </c>
      <c r="G14" s="20" t="s">
        <v>14</v>
      </c>
      <c r="H14" s="13"/>
      <c r="I14" s="23"/>
      <c r="J14" s="23"/>
      <c r="K14" s="23"/>
    </row>
    <row r="15" spans="1:11" ht="16.5" customHeight="1" x14ac:dyDescent="0.25">
      <c r="A15" s="2" t="s">
        <v>23</v>
      </c>
      <c r="B15" s="2" t="s">
        <v>23</v>
      </c>
      <c r="C15" s="2" t="s">
        <v>41</v>
      </c>
      <c r="D15" s="2" t="s">
        <v>9</v>
      </c>
      <c r="E15" s="2" t="s">
        <v>7</v>
      </c>
      <c r="G15" s="20" t="s">
        <v>14</v>
      </c>
      <c r="H15" s="13"/>
      <c r="I15" s="23"/>
      <c r="J15" s="23"/>
      <c r="K15" s="23"/>
    </row>
    <row r="16" spans="1:11" ht="16.5" customHeight="1" x14ac:dyDescent="0.25">
      <c r="A16" s="2" t="s">
        <v>23</v>
      </c>
      <c r="B16" s="2" t="s">
        <v>23</v>
      </c>
      <c r="C16" s="2" t="s">
        <v>42</v>
      </c>
      <c r="D16" s="2" t="s">
        <v>9</v>
      </c>
      <c r="E16" s="2" t="s">
        <v>7</v>
      </c>
      <c r="G16" s="20" t="s">
        <v>14</v>
      </c>
      <c r="H16" s="13"/>
      <c r="I16" s="23"/>
      <c r="J16" s="23"/>
      <c r="K16" s="23"/>
    </row>
    <row r="17" spans="1:11" ht="16.5" customHeight="1" x14ac:dyDescent="0.25">
      <c r="A17" s="2" t="s">
        <v>23</v>
      </c>
      <c r="B17" s="2" t="s">
        <v>23</v>
      </c>
      <c r="C17" s="2" t="s">
        <v>43</v>
      </c>
      <c r="D17" s="2" t="s">
        <v>9</v>
      </c>
      <c r="E17" s="2" t="s">
        <v>7</v>
      </c>
      <c r="G17" s="20" t="s">
        <v>14</v>
      </c>
      <c r="H17" s="13"/>
      <c r="I17" s="23"/>
      <c r="J17" s="23"/>
      <c r="K17" s="23"/>
    </row>
    <row r="18" spans="1:11" ht="16.5" customHeight="1" x14ac:dyDescent="0.25">
      <c r="A18" s="2" t="s">
        <v>23</v>
      </c>
      <c r="B18" s="2" t="s">
        <v>23</v>
      </c>
      <c r="C18" s="2" t="s">
        <v>44</v>
      </c>
      <c r="D18" s="2" t="s">
        <v>9</v>
      </c>
      <c r="E18" s="2" t="s">
        <v>7</v>
      </c>
      <c r="G18" s="20" t="s">
        <v>14</v>
      </c>
      <c r="H18" s="13"/>
      <c r="I18" s="23"/>
      <c r="J18" s="23"/>
      <c r="K18" s="23"/>
    </row>
    <row r="19" spans="1:11" ht="16.5" customHeight="1" x14ac:dyDescent="0.25">
      <c r="A19" s="2" t="s">
        <v>45</v>
      </c>
      <c r="B19" s="2" t="s">
        <v>45</v>
      </c>
      <c r="C19" s="2" t="s">
        <v>46</v>
      </c>
      <c r="D19" s="2" t="s">
        <v>9</v>
      </c>
      <c r="E19" s="2" t="s">
        <v>7</v>
      </c>
      <c r="G19" s="20" t="s">
        <v>14</v>
      </c>
      <c r="H19" s="13"/>
      <c r="I19" s="23"/>
      <c r="J19" s="23"/>
      <c r="K19" s="23"/>
    </row>
    <row r="20" spans="1:11" ht="16.5" customHeight="1" x14ac:dyDescent="0.25">
      <c r="A20" s="2" t="s">
        <v>45</v>
      </c>
      <c r="B20" s="2" t="s">
        <v>45</v>
      </c>
      <c r="C20" s="2" t="s">
        <v>47</v>
      </c>
      <c r="D20" s="2" t="s">
        <v>9</v>
      </c>
      <c r="E20" s="2" t="s">
        <v>7</v>
      </c>
      <c r="G20" s="20" t="s">
        <v>14</v>
      </c>
      <c r="H20" s="13"/>
      <c r="I20" s="23"/>
      <c r="J20" s="23"/>
      <c r="K20" s="23"/>
    </row>
    <row r="21" spans="1:11" ht="16.5" customHeight="1" x14ac:dyDescent="0.25">
      <c r="A21" s="2" t="s">
        <v>45</v>
      </c>
      <c r="B21" s="2" t="s">
        <v>45</v>
      </c>
      <c r="C21" s="2" t="s">
        <v>48</v>
      </c>
      <c r="D21" s="2" t="s">
        <v>9</v>
      </c>
      <c r="E21" s="2" t="s">
        <v>7</v>
      </c>
      <c r="G21" s="20" t="s">
        <v>14</v>
      </c>
      <c r="H21" s="13"/>
      <c r="I21" s="23"/>
      <c r="J21" s="23"/>
      <c r="K21" s="23"/>
    </row>
    <row r="22" spans="1:11" ht="16.5" customHeight="1" x14ac:dyDescent="0.25">
      <c r="A22" s="2" t="s">
        <v>45</v>
      </c>
      <c r="B22" s="2" t="s">
        <v>45</v>
      </c>
      <c r="C22" s="2" t="s">
        <v>49</v>
      </c>
      <c r="D22" s="2" t="s">
        <v>9</v>
      </c>
      <c r="E22" s="2" t="s">
        <v>7</v>
      </c>
      <c r="G22" s="20" t="s">
        <v>14</v>
      </c>
      <c r="H22" s="13"/>
      <c r="I22" s="23"/>
      <c r="J22" s="23"/>
      <c r="K22" s="23"/>
    </row>
    <row r="23" spans="1:11" ht="16.5" customHeight="1" x14ac:dyDescent="0.25">
      <c r="A23" s="2" t="s">
        <v>45</v>
      </c>
      <c r="B23" s="2" t="s">
        <v>45</v>
      </c>
      <c r="C23" s="2" t="s">
        <v>50</v>
      </c>
      <c r="D23" s="2" t="s">
        <v>9</v>
      </c>
      <c r="E23" s="2" t="s">
        <v>7</v>
      </c>
      <c r="G23" s="20" t="s">
        <v>14</v>
      </c>
      <c r="H23" s="13"/>
      <c r="I23" s="23"/>
      <c r="J23" s="23"/>
      <c r="K23" s="23"/>
    </row>
    <row r="24" spans="1:11" ht="16.5" customHeight="1" x14ac:dyDescent="0.25">
      <c r="A24" s="2" t="s">
        <v>45</v>
      </c>
      <c r="B24" s="2" t="s">
        <v>45</v>
      </c>
      <c r="C24" s="2" t="s">
        <v>51</v>
      </c>
      <c r="D24" s="2" t="s">
        <v>9</v>
      </c>
      <c r="E24" s="2" t="s">
        <v>7</v>
      </c>
      <c r="G24" s="20" t="s">
        <v>14</v>
      </c>
      <c r="H24" s="13"/>
      <c r="I24" s="23"/>
      <c r="J24" s="23"/>
      <c r="K24" s="23"/>
    </row>
    <row r="25" spans="1:11" ht="16.5" customHeight="1" x14ac:dyDescent="0.25">
      <c r="A25" s="2" t="s">
        <v>45</v>
      </c>
      <c r="B25" s="2" t="s">
        <v>45</v>
      </c>
      <c r="C25" s="2" t="s">
        <v>52</v>
      </c>
      <c r="D25" s="2" t="s">
        <v>9</v>
      </c>
      <c r="E25" s="2" t="s">
        <v>7</v>
      </c>
      <c r="G25" s="20" t="s">
        <v>14</v>
      </c>
      <c r="H25" s="13"/>
      <c r="I25" s="23"/>
      <c r="J25" s="23"/>
      <c r="K25" s="23"/>
    </row>
    <row r="26" spans="1:11" ht="16.5" customHeight="1" x14ac:dyDescent="0.25">
      <c r="A26" s="2" t="s">
        <v>45</v>
      </c>
      <c r="B26" s="2" t="s">
        <v>45</v>
      </c>
      <c r="C26" s="2" t="s">
        <v>53</v>
      </c>
      <c r="D26" s="2" t="s">
        <v>6</v>
      </c>
      <c r="E26" s="2" t="s">
        <v>7</v>
      </c>
      <c r="G26" s="20" t="s">
        <v>14</v>
      </c>
      <c r="H26" s="13"/>
      <c r="I26" s="23"/>
      <c r="J26" s="23"/>
      <c r="K26" s="23"/>
    </row>
    <row r="27" spans="1:11" ht="16.5" customHeight="1" x14ac:dyDescent="0.25">
      <c r="A27" s="2" t="s">
        <v>45</v>
      </c>
      <c r="B27" s="2" t="s">
        <v>45</v>
      </c>
      <c r="C27" s="2" t="s">
        <v>54</v>
      </c>
      <c r="D27" s="2" t="s">
        <v>9</v>
      </c>
      <c r="E27" s="2" t="s">
        <v>7</v>
      </c>
      <c r="G27" s="20" t="s">
        <v>14</v>
      </c>
      <c r="H27" s="13"/>
      <c r="I27" s="23"/>
      <c r="J27" s="23"/>
      <c r="K27" s="23"/>
    </row>
    <row r="28" spans="1:11" ht="16.5" customHeight="1" x14ac:dyDescent="0.25">
      <c r="A28" s="2" t="s">
        <v>45</v>
      </c>
      <c r="B28" s="2" t="s">
        <v>45</v>
      </c>
      <c r="C28" s="2" t="s">
        <v>55</v>
      </c>
      <c r="D28" s="2" t="s">
        <v>6</v>
      </c>
      <c r="E28" s="2" t="s">
        <v>7</v>
      </c>
      <c r="G28" s="20" t="s">
        <v>14</v>
      </c>
      <c r="H28" s="13"/>
      <c r="I28" s="23"/>
      <c r="J28" s="23"/>
      <c r="K28" s="23"/>
    </row>
    <row r="29" spans="1:11" ht="16.5" customHeight="1" x14ac:dyDescent="0.25">
      <c r="A29" s="2" t="s">
        <v>45</v>
      </c>
      <c r="B29" s="2" t="s">
        <v>45</v>
      </c>
      <c r="C29" s="2" t="s">
        <v>56</v>
      </c>
      <c r="D29" s="2" t="s">
        <v>6</v>
      </c>
      <c r="E29" s="2" t="s">
        <v>7</v>
      </c>
      <c r="F29" s="1"/>
      <c r="G29" s="20" t="s">
        <v>14</v>
      </c>
      <c r="H29" s="13"/>
      <c r="I29" s="23"/>
      <c r="J29" s="23"/>
      <c r="K29" s="23"/>
    </row>
    <row r="30" spans="1:11" ht="16.5" customHeight="1" x14ac:dyDescent="0.25">
      <c r="A30" s="2" t="s">
        <v>45</v>
      </c>
      <c r="B30" s="2" t="s">
        <v>45</v>
      </c>
      <c r="C30" s="2" t="s">
        <v>57</v>
      </c>
      <c r="D30" s="2" t="s">
        <v>9</v>
      </c>
      <c r="E30" s="2" t="s">
        <v>7</v>
      </c>
      <c r="G30" s="20" t="s">
        <v>14</v>
      </c>
      <c r="H30" s="13"/>
      <c r="I30" s="23"/>
      <c r="J30" s="23"/>
      <c r="K30" s="23"/>
    </row>
    <row r="31" spans="1:11" ht="16.5" customHeight="1" x14ac:dyDescent="0.25">
      <c r="A31" s="2" t="s">
        <v>45</v>
      </c>
      <c r="B31" s="2" t="s">
        <v>45</v>
      </c>
      <c r="C31" s="2" t="s">
        <v>58</v>
      </c>
      <c r="D31" s="2" t="s">
        <v>6</v>
      </c>
      <c r="E31" s="2" t="s">
        <v>7</v>
      </c>
      <c r="G31" s="20" t="s">
        <v>14</v>
      </c>
      <c r="H31" s="13"/>
      <c r="I31" s="23"/>
      <c r="J31" s="23"/>
      <c r="K31" s="23"/>
    </row>
    <row r="32" spans="1:11" ht="16.5" customHeight="1" x14ac:dyDescent="0.25">
      <c r="A32" s="2" t="s">
        <v>45</v>
      </c>
      <c r="B32" s="2" t="s">
        <v>45</v>
      </c>
      <c r="C32" s="2" t="s">
        <v>59</v>
      </c>
      <c r="D32" s="2" t="s">
        <v>9</v>
      </c>
      <c r="E32" s="2" t="s">
        <v>7</v>
      </c>
      <c r="G32" s="20" t="s">
        <v>14</v>
      </c>
      <c r="H32" s="13"/>
      <c r="I32" s="23"/>
      <c r="J32" s="23"/>
      <c r="K32" s="23"/>
    </row>
    <row r="33" spans="1:11" ht="16.5" customHeight="1" x14ac:dyDescent="0.25">
      <c r="A33" s="2" t="s">
        <v>45</v>
      </c>
      <c r="B33" s="2" t="s">
        <v>45</v>
      </c>
      <c r="C33" s="2" t="s">
        <v>60</v>
      </c>
      <c r="D33" s="2" t="s">
        <v>9</v>
      </c>
      <c r="E33" s="2" t="s">
        <v>7</v>
      </c>
      <c r="F33" s="1"/>
      <c r="G33" s="20" t="s">
        <v>14</v>
      </c>
      <c r="H33" s="13" t="s">
        <v>20</v>
      </c>
      <c r="I33" s="23"/>
      <c r="J33" s="23"/>
      <c r="K33" s="23"/>
    </row>
    <row r="34" spans="1:11" ht="16.5" customHeight="1" x14ac:dyDescent="0.25">
      <c r="A34" s="2" t="s">
        <v>61</v>
      </c>
      <c r="B34" s="2" t="s">
        <v>62</v>
      </c>
      <c r="C34" s="2" t="s">
        <v>63</v>
      </c>
      <c r="D34" s="2" t="s">
        <v>9</v>
      </c>
      <c r="E34" s="2" t="s">
        <v>7</v>
      </c>
      <c r="G34" s="20" t="s">
        <v>14</v>
      </c>
      <c r="H34" s="13"/>
      <c r="I34" s="23"/>
      <c r="J34" s="23"/>
      <c r="K34" s="23"/>
    </row>
    <row r="35" spans="1:11" ht="16.5" customHeight="1" x14ac:dyDescent="0.25">
      <c r="A35" s="2" t="s">
        <v>61</v>
      </c>
      <c r="B35" s="2" t="s">
        <v>62</v>
      </c>
      <c r="C35" s="2" t="s">
        <v>64</v>
      </c>
      <c r="D35" s="2" t="s">
        <v>9</v>
      </c>
      <c r="E35" s="2" t="s">
        <v>7</v>
      </c>
      <c r="G35" s="20" t="s">
        <v>14</v>
      </c>
      <c r="H35" s="13"/>
      <c r="I35" s="23"/>
      <c r="J35" s="23"/>
      <c r="K35" s="23"/>
    </row>
    <row r="36" spans="1:11" ht="16.5" customHeight="1" x14ac:dyDescent="0.25">
      <c r="A36" s="2" t="s">
        <v>61</v>
      </c>
      <c r="B36" s="2" t="s">
        <v>62</v>
      </c>
      <c r="C36" s="2" t="s">
        <v>65</v>
      </c>
      <c r="D36" s="2" t="s">
        <v>9</v>
      </c>
      <c r="E36" s="2" t="s">
        <v>7</v>
      </c>
      <c r="G36" s="20" t="s">
        <v>14</v>
      </c>
      <c r="H36" s="13"/>
      <c r="I36" s="23"/>
      <c r="J36" s="23"/>
      <c r="K36" s="23"/>
    </row>
    <row r="37" spans="1:11" ht="16.5" customHeight="1" x14ac:dyDescent="0.25">
      <c r="A37" s="2" t="s">
        <v>61</v>
      </c>
      <c r="B37" s="2" t="s">
        <v>62</v>
      </c>
      <c r="C37" s="2" t="s">
        <v>66</v>
      </c>
      <c r="D37" s="2" t="s">
        <v>8</v>
      </c>
      <c r="E37" s="2" t="s">
        <v>7</v>
      </c>
      <c r="G37" s="20" t="s">
        <v>14</v>
      </c>
      <c r="H37" s="13"/>
      <c r="I37" s="23"/>
      <c r="J37" s="23"/>
      <c r="K37" s="23"/>
    </row>
    <row r="38" spans="1:11" ht="16.5" customHeight="1" x14ac:dyDescent="0.25">
      <c r="A38" s="2" t="s">
        <v>61</v>
      </c>
      <c r="B38" s="2" t="s">
        <v>62</v>
      </c>
      <c r="C38" s="2" t="s">
        <v>67</v>
      </c>
      <c r="D38" s="2" t="s">
        <v>9</v>
      </c>
      <c r="E38" s="2" t="s">
        <v>7</v>
      </c>
      <c r="G38" s="20" t="s">
        <v>14</v>
      </c>
      <c r="H38" s="13"/>
      <c r="I38" s="23"/>
      <c r="J38" s="23"/>
      <c r="K38" s="23"/>
    </row>
    <row r="39" spans="1:11" ht="16.5" customHeight="1" x14ac:dyDescent="0.25">
      <c r="A39" s="2" t="s">
        <v>61</v>
      </c>
      <c r="B39" s="2" t="s">
        <v>62</v>
      </c>
      <c r="C39" s="2" t="s">
        <v>68</v>
      </c>
      <c r="D39" s="2" t="s">
        <v>9</v>
      </c>
      <c r="E39" s="2" t="s">
        <v>7</v>
      </c>
      <c r="G39" s="20" t="s">
        <v>14</v>
      </c>
      <c r="H39" s="13"/>
      <c r="I39" s="23"/>
      <c r="J39" s="23"/>
      <c r="K39" s="23"/>
    </row>
    <row r="40" spans="1:11" ht="16.5" customHeight="1" x14ac:dyDescent="0.25">
      <c r="A40" s="2" t="s">
        <v>61</v>
      </c>
      <c r="B40" s="2" t="s">
        <v>62</v>
      </c>
      <c r="C40" s="1" t="s">
        <v>69</v>
      </c>
      <c r="D40" s="2" t="s">
        <v>9</v>
      </c>
      <c r="E40" s="2" t="s">
        <v>7</v>
      </c>
      <c r="G40" s="20" t="s">
        <v>14</v>
      </c>
      <c r="H40" s="13"/>
      <c r="I40" s="23"/>
      <c r="J40" s="23"/>
      <c r="K40" s="23"/>
    </row>
    <row r="41" spans="1:11" ht="16.5" customHeight="1" x14ac:dyDescent="0.25">
      <c r="A41" s="2" t="s">
        <v>61</v>
      </c>
      <c r="B41" s="2" t="s">
        <v>62</v>
      </c>
      <c r="C41" s="2" t="s">
        <v>70</v>
      </c>
      <c r="D41" s="2" t="s">
        <v>9</v>
      </c>
      <c r="E41" s="2" t="s">
        <v>7</v>
      </c>
      <c r="G41" s="20" t="s">
        <v>14</v>
      </c>
      <c r="H41" s="13"/>
      <c r="I41" s="23"/>
      <c r="J41" s="23"/>
      <c r="K41" s="23"/>
    </row>
    <row r="42" spans="1:11" ht="16.5" customHeight="1" x14ac:dyDescent="0.25">
      <c r="A42" s="2" t="s">
        <v>61</v>
      </c>
      <c r="B42" s="2" t="s">
        <v>62</v>
      </c>
      <c r="C42" s="2" t="s">
        <v>71</v>
      </c>
      <c r="D42" s="2" t="s">
        <v>9</v>
      </c>
      <c r="E42" s="2" t="s">
        <v>7</v>
      </c>
      <c r="G42" s="20"/>
      <c r="H42" s="13"/>
      <c r="I42" s="23"/>
      <c r="J42" s="23"/>
      <c r="K42" s="23"/>
    </row>
    <row r="43" spans="1:11" ht="16.5" customHeight="1" x14ac:dyDescent="0.25">
      <c r="A43" s="2" t="s">
        <v>61</v>
      </c>
      <c r="B43" s="2" t="s">
        <v>72</v>
      </c>
      <c r="C43" s="2" t="s">
        <v>73</v>
      </c>
      <c r="D43" s="2" t="s">
        <v>9</v>
      </c>
      <c r="E43" s="2" t="s">
        <v>7</v>
      </c>
      <c r="G43" s="20" t="s">
        <v>14</v>
      </c>
      <c r="H43" s="13"/>
      <c r="I43" s="23"/>
      <c r="J43" s="23"/>
      <c r="K43" s="23"/>
    </row>
    <row r="44" spans="1:11" ht="16.5" customHeight="1" x14ac:dyDescent="0.25">
      <c r="A44" s="2" t="s">
        <v>61</v>
      </c>
      <c r="B44" s="2" t="s">
        <v>72</v>
      </c>
      <c r="C44" s="2" t="s">
        <v>74</v>
      </c>
      <c r="D44" s="2" t="s">
        <v>8</v>
      </c>
      <c r="E44" s="2" t="s">
        <v>7</v>
      </c>
      <c r="G44" s="20" t="s">
        <v>14</v>
      </c>
      <c r="H44" s="13"/>
      <c r="I44" s="23"/>
      <c r="J44" s="23"/>
      <c r="K44" s="23"/>
    </row>
    <row r="45" spans="1:11" ht="16.5" customHeight="1" x14ac:dyDescent="0.25">
      <c r="A45" s="2" t="s">
        <v>61</v>
      </c>
      <c r="B45" s="2" t="s">
        <v>72</v>
      </c>
      <c r="C45" s="2" t="s">
        <v>210</v>
      </c>
      <c r="D45" s="2" t="s">
        <v>6</v>
      </c>
      <c r="E45" s="2" t="s">
        <v>7</v>
      </c>
      <c r="G45" s="20" t="s">
        <v>14</v>
      </c>
      <c r="H45" s="13"/>
      <c r="I45" s="23"/>
      <c r="J45" s="23"/>
      <c r="K45" s="23"/>
    </row>
    <row r="46" spans="1:11" ht="16.5" customHeight="1" x14ac:dyDescent="0.25">
      <c r="A46" s="2" t="s">
        <v>61</v>
      </c>
      <c r="B46" s="2" t="s">
        <v>72</v>
      </c>
      <c r="C46" s="2" t="s">
        <v>75</v>
      </c>
      <c r="D46" s="2" t="s">
        <v>9</v>
      </c>
      <c r="E46" s="2" t="s">
        <v>7</v>
      </c>
      <c r="G46" s="20" t="s">
        <v>14</v>
      </c>
      <c r="H46" s="13"/>
      <c r="I46" s="23"/>
      <c r="J46" s="23"/>
      <c r="K46" s="23"/>
    </row>
    <row r="47" spans="1:11" ht="16.5" customHeight="1" x14ac:dyDescent="0.25">
      <c r="A47" s="2" t="s">
        <v>61</v>
      </c>
      <c r="B47" s="2" t="s">
        <v>72</v>
      </c>
      <c r="C47" s="2" t="s">
        <v>76</v>
      </c>
      <c r="D47" s="2" t="s">
        <v>8</v>
      </c>
      <c r="E47" s="2" t="s">
        <v>7</v>
      </c>
      <c r="G47" s="20" t="s">
        <v>14</v>
      </c>
      <c r="H47" s="13"/>
      <c r="I47" s="23"/>
      <c r="J47" s="23"/>
      <c r="K47" s="23"/>
    </row>
    <row r="48" spans="1:11" ht="16.5" customHeight="1" x14ac:dyDescent="0.25">
      <c r="A48" s="2" t="s">
        <v>61</v>
      </c>
      <c r="B48" s="2" t="s">
        <v>72</v>
      </c>
      <c r="C48" s="2" t="s">
        <v>77</v>
      </c>
      <c r="D48" s="2" t="s">
        <v>9</v>
      </c>
      <c r="E48" s="2" t="s">
        <v>7</v>
      </c>
      <c r="G48" s="20" t="s">
        <v>14</v>
      </c>
      <c r="H48" s="13"/>
      <c r="I48" s="23"/>
      <c r="J48" s="23"/>
      <c r="K48" s="23"/>
    </row>
    <row r="49" spans="1:11" ht="16.5" customHeight="1" x14ac:dyDescent="0.25">
      <c r="A49" s="2" t="s">
        <v>61</v>
      </c>
      <c r="B49" s="2" t="s">
        <v>72</v>
      </c>
      <c r="C49" s="2" t="s">
        <v>78</v>
      </c>
      <c r="D49" s="2" t="s">
        <v>9</v>
      </c>
      <c r="E49" s="2" t="s">
        <v>7</v>
      </c>
      <c r="G49" s="20" t="s">
        <v>14</v>
      </c>
      <c r="H49" s="13"/>
      <c r="I49" s="23"/>
      <c r="J49" s="23"/>
      <c r="K49" s="23"/>
    </row>
    <row r="50" spans="1:11" ht="16.5" customHeight="1" x14ac:dyDescent="0.25">
      <c r="A50" s="2" t="s">
        <v>61</v>
      </c>
      <c r="B50" s="2" t="s">
        <v>72</v>
      </c>
      <c r="C50" s="2" t="s">
        <v>79</v>
      </c>
      <c r="D50" s="2" t="s">
        <v>9</v>
      </c>
      <c r="E50" s="2" t="s">
        <v>7</v>
      </c>
      <c r="G50" s="20" t="s">
        <v>14</v>
      </c>
      <c r="H50" s="13"/>
      <c r="I50" s="23"/>
      <c r="J50" s="23"/>
      <c r="K50" s="23"/>
    </row>
    <row r="51" spans="1:11" ht="16.5" customHeight="1" x14ac:dyDescent="0.25">
      <c r="A51" s="2" t="s">
        <v>61</v>
      </c>
      <c r="B51" s="2" t="s">
        <v>72</v>
      </c>
      <c r="C51" s="2" t="s">
        <v>207</v>
      </c>
      <c r="D51" s="2" t="s">
        <v>9</v>
      </c>
      <c r="E51" s="2" t="s">
        <v>7</v>
      </c>
      <c r="G51" s="20" t="s">
        <v>209</v>
      </c>
      <c r="H51" s="13"/>
      <c r="I51" s="23"/>
      <c r="J51" s="23"/>
      <c r="K51" s="23"/>
    </row>
    <row r="52" spans="1:11" ht="16.5" customHeight="1" x14ac:dyDescent="0.25">
      <c r="A52" s="2" t="s">
        <v>61</v>
      </c>
      <c r="B52" s="2" t="s">
        <v>72</v>
      </c>
      <c r="C52" s="2" t="s">
        <v>80</v>
      </c>
      <c r="D52" s="2" t="s">
        <v>9</v>
      </c>
      <c r="E52" s="2" t="s">
        <v>7</v>
      </c>
      <c r="G52" s="20" t="s">
        <v>208</v>
      </c>
      <c r="H52" s="13"/>
      <c r="I52" s="23"/>
      <c r="J52" s="23"/>
      <c r="K52" s="23"/>
    </row>
    <row r="53" spans="1:11" ht="16.5" customHeight="1" x14ac:dyDescent="0.25">
      <c r="A53" s="2" t="s">
        <v>61</v>
      </c>
      <c r="B53" s="2" t="s">
        <v>81</v>
      </c>
      <c r="C53" s="2" t="s">
        <v>206</v>
      </c>
      <c r="D53" s="2" t="s">
        <v>9</v>
      </c>
      <c r="E53" s="2" t="s">
        <v>7</v>
      </c>
      <c r="G53" s="20" t="s">
        <v>14</v>
      </c>
      <c r="H53" s="13"/>
      <c r="I53" s="23"/>
      <c r="J53" s="23"/>
      <c r="K53" s="23"/>
    </row>
    <row r="54" spans="1:11" ht="16.5" customHeight="1" x14ac:dyDescent="0.25">
      <c r="A54" s="2" t="s">
        <v>61</v>
      </c>
      <c r="B54" s="2" t="s">
        <v>81</v>
      </c>
      <c r="C54" s="1" t="s">
        <v>82</v>
      </c>
      <c r="D54" s="2" t="s">
        <v>9</v>
      </c>
      <c r="E54" s="2" t="s">
        <v>7</v>
      </c>
      <c r="G54" s="20" t="s">
        <v>14</v>
      </c>
      <c r="H54" s="13"/>
      <c r="I54" s="23"/>
      <c r="J54" s="23"/>
      <c r="K54" s="23"/>
    </row>
    <row r="55" spans="1:11" ht="16.5" customHeight="1" x14ac:dyDescent="0.25">
      <c r="A55" s="2" t="s">
        <v>61</v>
      </c>
      <c r="B55" s="2" t="s">
        <v>81</v>
      </c>
      <c r="C55" s="1" t="s">
        <v>83</v>
      </c>
      <c r="D55" s="2" t="s">
        <v>9</v>
      </c>
      <c r="E55" s="2" t="s">
        <v>7</v>
      </c>
      <c r="G55" s="20" t="s">
        <v>14</v>
      </c>
      <c r="H55" s="13"/>
      <c r="I55" s="23"/>
      <c r="J55" s="23"/>
      <c r="K55" s="23"/>
    </row>
    <row r="56" spans="1:11" ht="16.5" customHeight="1" x14ac:dyDescent="0.25">
      <c r="A56" s="2" t="s">
        <v>61</v>
      </c>
      <c r="B56" s="2" t="s">
        <v>81</v>
      </c>
      <c r="C56" s="2" t="s">
        <v>84</v>
      </c>
      <c r="D56" s="2" t="s">
        <v>9</v>
      </c>
      <c r="E56" s="2" t="s">
        <v>7</v>
      </c>
      <c r="G56" s="20" t="s">
        <v>14</v>
      </c>
      <c r="H56" s="13"/>
      <c r="I56" s="23"/>
      <c r="J56" s="23"/>
      <c r="K56" s="23"/>
    </row>
    <row r="57" spans="1:11" ht="16.5" customHeight="1" x14ac:dyDescent="0.25">
      <c r="A57" s="2" t="s">
        <v>61</v>
      </c>
      <c r="B57" s="2" t="s">
        <v>81</v>
      </c>
      <c r="C57" s="2" t="s">
        <v>85</v>
      </c>
      <c r="D57" s="2" t="s">
        <v>9</v>
      </c>
      <c r="E57" s="2" t="s">
        <v>7</v>
      </c>
      <c r="G57" s="20" t="s">
        <v>14</v>
      </c>
      <c r="H57" s="13"/>
      <c r="I57" s="23"/>
      <c r="J57" s="23"/>
      <c r="K57" s="23"/>
    </row>
    <row r="58" spans="1:11" ht="16.5" customHeight="1" x14ac:dyDescent="0.25">
      <c r="A58" s="2" t="s">
        <v>61</v>
      </c>
      <c r="B58" s="2" t="s">
        <v>81</v>
      </c>
      <c r="C58" s="2" t="s">
        <v>199</v>
      </c>
      <c r="D58" s="2" t="s">
        <v>9</v>
      </c>
      <c r="E58" s="2" t="s">
        <v>7</v>
      </c>
      <c r="G58" s="20" t="s">
        <v>200</v>
      </c>
      <c r="H58" s="13"/>
      <c r="I58" s="23"/>
      <c r="J58" s="23"/>
      <c r="K58" s="23"/>
    </row>
    <row r="59" spans="1:11" ht="16.5" customHeight="1" x14ac:dyDescent="0.25">
      <c r="A59" s="2" t="s">
        <v>61</v>
      </c>
      <c r="B59" s="2" t="s">
        <v>81</v>
      </c>
      <c r="C59" s="2" t="s">
        <v>157</v>
      </c>
      <c r="D59" s="2" t="s">
        <v>9</v>
      </c>
      <c r="E59" s="2" t="s">
        <v>7</v>
      </c>
      <c r="G59" s="20" t="s">
        <v>211</v>
      </c>
      <c r="H59" s="13"/>
      <c r="I59" s="23"/>
      <c r="J59" s="23"/>
      <c r="K59" s="23"/>
    </row>
    <row r="60" spans="1:11" ht="16.5" customHeight="1" x14ac:dyDescent="0.25">
      <c r="A60" s="2" t="s">
        <v>61</v>
      </c>
      <c r="B60" s="2" t="s">
        <v>81</v>
      </c>
      <c r="C60" s="2" t="s">
        <v>173</v>
      </c>
      <c r="D60" s="2" t="s">
        <v>6</v>
      </c>
      <c r="E60" s="2" t="s">
        <v>7</v>
      </c>
      <c r="G60" s="20"/>
      <c r="H60" s="13"/>
      <c r="I60" s="23" t="s">
        <v>204</v>
      </c>
      <c r="J60" s="23" t="s">
        <v>205</v>
      </c>
      <c r="K60" s="23"/>
    </row>
    <row r="61" spans="1:11" ht="16.5" customHeight="1" x14ac:dyDescent="0.25">
      <c r="A61" s="2" t="s">
        <v>61</v>
      </c>
      <c r="B61" s="2" t="s">
        <v>86</v>
      </c>
      <c r="C61" s="2" t="s">
        <v>158</v>
      </c>
      <c r="D61" s="2" t="s">
        <v>9</v>
      </c>
      <c r="E61" s="2" t="s">
        <v>7</v>
      </c>
      <c r="F61" s="1"/>
      <c r="G61" s="20" t="s">
        <v>14</v>
      </c>
      <c r="H61" s="13"/>
      <c r="I61" s="23"/>
      <c r="J61" s="23"/>
      <c r="K61" s="23"/>
    </row>
    <row r="62" spans="1:11" ht="16.5" customHeight="1" x14ac:dyDescent="0.25">
      <c r="A62" s="2" t="s">
        <v>61</v>
      </c>
      <c r="B62" s="2" t="s">
        <v>86</v>
      </c>
      <c r="C62" s="1" t="s">
        <v>159</v>
      </c>
      <c r="D62" s="2" t="s">
        <v>9</v>
      </c>
      <c r="E62" s="2" t="s">
        <v>7</v>
      </c>
      <c r="G62" s="20" t="s">
        <v>201</v>
      </c>
      <c r="H62" s="13"/>
      <c r="I62" s="23"/>
      <c r="J62" s="23"/>
      <c r="K62" s="23"/>
    </row>
    <row r="63" spans="1:11" ht="16.5" customHeight="1" x14ac:dyDescent="0.25">
      <c r="A63" s="2" t="s">
        <v>61</v>
      </c>
      <c r="B63" s="2" t="s">
        <v>86</v>
      </c>
      <c r="C63" s="2" t="s">
        <v>87</v>
      </c>
      <c r="D63" s="2" t="s">
        <v>9</v>
      </c>
      <c r="E63" s="2" t="s">
        <v>7</v>
      </c>
      <c r="G63" s="20" t="s">
        <v>14</v>
      </c>
      <c r="H63" s="13"/>
      <c r="I63" s="23"/>
      <c r="J63" s="23"/>
      <c r="K63" s="23"/>
    </row>
    <row r="64" spans="1:11" ht="16.5" customHeight="1" x14ac:dyDescent="0.25">
      <c r="A64" s="2" t="s">
        <v>61</v>
      </c>
      <c r="B64" s="2" t="s">
        <v>86</v>
      </c>
      <c r="C64" s="2" t="s">
        <v>160</v>
      </c>
      <c r="D64" s="2" t="s">
        <v>9</v>
      </c>
      <c r="E64" s="2" t="s">
        <v>7</v>
      </c>
      <c r="G64" s="20" t="s">
        <v>14</v>
      </c>
      <c r="H64" s="13"/>
      <c r="I64" s="23" t="s">
        <v>202</v>
      </c>
      <c r="J64" s="23" t="s">
        <v>203</v>
      </c>
      <c r="K64" s="23"/>
    </row>
    <row r="65" spans="1:11" ht="16.5" customHeight="1" x14ac:dyDescent="0.25">
      <c r="A65" s="2" t="s">
        <v>61</v>
      </c>
      <c r="B65" s="2" t="s">
        <v>86</v>
      </c>
      <c r="C65" s="2" t="s">
        <v>88</v>
      </c>
      <c r="D65" s="2" t="s">
        <v>9</v>
      </c>
      <c r="E65" s="2" t="s">
        <v>7</v>
      </c>
      <c r="G65" s="20" t="s">
        <v>14</v>
      </c>
      <c r="H65" s="13"/>
      <c r="I65" s="23"/>
      <c r="J65" s="23"/>
      <c r="K65" s="23"/>
    </row>
    <row r="66" spans="1:11" ht="16.5" customHeight="1" x14ac:dyDescent="0.25">
      <c r="A66" s="2" t="s">
        <v>61</v>
      </c>
      <c r="B66" s="2" t="s">
        <v>86</v>
      </c>
      <c r="C66" s="2" t="s">
        <v>89</v>
      </c>
      <c r="D66" s="2" t="s">
        <v>9</v>
      </c>
      <c r="E66" s="2" t="s">
        <v>7</v>
      </c>
      <c r="G66" s="20" t="s">
        <v>14</v>
      </c>
      <c r="H66" s="13"/>
      <c r="I66" s="23"/>
      <c r="J66" s="23"/>
      <c r="K66" s="23"/>
    </row>
    <row r="67" spans="1:11" ht="16.5" customHeight="1" x14ac:dyDescent="0.25">
      <c r="A67" s="2" t="s">
        <v>61</v>
      </c>
      <c r="B67" s="2" t="s">
        <v>86</v>
      </c>
      <c r="C67" s="2" t="s">
        <v>90</v>
      </c>
      <c r="D67" s="2" t="s">
        <v>9</v>
      </c>
      <c r="E67" s="2" t="s">
        <v>7</v>
      </c>
      <c r="G67" s="20" t="s">
        <v>14</v>
      </c>
      <c r="H67" s="13"/>
      <c r="I67" s="23"/>
      <c r="J67" s="23"/>
      <c r="K67" s="23"/>
    </row>
    <row r="68" spans="1:11" ht="16.5" customHeight="1" x14ac:dyDescent="0.25">
      <c r="A68" s="2" t="s">
        <v>61</v>
      </c>
      <c r="B68" s="2" t="s">
        <v>86</v>
      </c>
      <c r="C68" s="2" t="s">
        <v>161</v>
      </c>
      <c r="D68" s="2" t="s">
        <v>9</v>
      </c>
      <c r="E68" s="2" t="s">
        <v>7</v>
      </c>
      <c r="G68" s="20" t="s">
        <v>14</v>
      </c>
      <c r="H68" s="13"/>
      <c r="I68" s="23"/>
      <c r="J68" s="23"/>
      <c r="K68" s="23"/>
    </row>
    <row r="69" spans="1:11" ht="16.5" customHeight="1" x14ac:dyDescent="0.25">
      <c r="A69" s="2" t="s">
        <v>61</v>
      </c>
      <c r="B69" s="2" t="s">
        <v>86</v>
      </c>
      <c r="C69" s="2" t="s">
        <v>162</v>
      </c>
      <c r="D69" s="2" t="s">
        <v>9</v>
      </c>
      <c r="E69" s="2" t="s">
        <v>7</v>
      </c>
      <c r="G69" s="20" t="s">
        <v>14</v>
      </c>
      <c r="H69" s="13"/>
      <c r="I69" s="23"/>
      <c r="J69" s="23"/>
      <c r="K69" s="23"/>
    </row>
    <row r="70" spans="1:11" ht="16.5" customHeight="1" x14ac:dyDescent="0.25">
      <c r="A70" s="2" t="s">
        <v>61</v>
      </c>
      <c r="B70" s="2" t="s">
        <v>86</v>
      </c>
      <c r="C70" s="2" t="s">
        <v>163</v>
      </c>
      <c r="D70" s="2" t="s">
        <v>9</v>
      </c>
      <c r="E70" s="2" t="s">
        <v>7</v>
      </c>
      <c r="G70" s="20" t="s">
        <v>14</v>
      </c>
      <c r="H70" s="13"/>
      <c r="I70" s="23"/>
      <c r="J70" s="23"/>
      <c r="K70" s="23"/>
    </row>
    <row r="71" spans="1:11" ht="16.5" customHeight="1" x14ac:dyDescent="0.25">
      <c r="A71" s="2" t="s">
        <v>61</v>
      </c>
      <c r="B71" s="2" t="s">
        <v>86</v>
      </c>
      <c r="C71" s="2" t="s">
        <v>171</v>
      </c>
      <c r="D71" s="2" t="s">
        <v>6</v>
      </c>
      <c r="E71" s="2" t="s">
        <v>7</v>
      </c>
      <c r="G71" s="20"/>
      <c r="H71" s="13"/>
      <c r="I71" s="23"/>
      <c r="J71" s="23"/>
      <c r="K71" s="23"/>
    </row>
    <row r="72" spans="1:11" ht="16.5" customHeight="1" x14ac:dyDescent="0.25">
      <c r="A72" s="2" t="s">
        <v>61</v>
      </c>
      <c r="B72" s="2" t="s">
        <v>86</v>
      </c>
      <c r="C72" s="2" t="s">
        <v>212</v>
      </c>
      <c r="D72" s="2" t="s">
        <v>9</v>
      </c>
      <c r="E72" s="2" t="s">
        <v>7</v>
      </c>
      <c r="G72" s="20" t="s">
        <v>213</v>
      </c>
      <c r="H72" s="13"/>
      <c r="I72" s="23" t="s">
        <v>221</v>
      </c>
      <c r="J72" s="23" t="s">
        <v>220</v>
      </c>
      <c r="K72" s="23"/>
    </row>
    <row r="73" spans="1:11" ht="16.5" customHeight="1" x14ac:dyDescent="0.25">
      <c r="A73" s="2" t="s">
        <v>61</v>
      </c>
      <c r="B73" s="2" t="s">
        <v>86</v>
      </c>
      <c r="C73" s="2" t="s">
        <v>214</v>
      </c>
      <c r="D73" s="2" t="s">
        <v>6</v>
      </c>
      <c r="E73" s="2" t="s">
        <v>7</v>
      </c>
      <c r="G73" s="20" t="s">
        <v>215</v>
      </c>
      <c r="H73" s="13"/>
      <c r="I73" s="23" t="s">
        <v>217</v>
      </c>
      <c r="J73" s="23" t="s">
        <v>216</v>
      </c>
      <c r="K73" s="23"/>
    </row>
    <row r="74" spans="1:11" ht="16.5" customHeight="1" x14ac:dyDescent="0.25">
      <c r="A74" s="2" t="s">
        <v>61</v>
      </c>
      <c r="B74" s="2" t="s">
        <v>86</v>
      </c>
      <c r="C74" s="2" t="s">
        <v>218</v>
      </c>
      <c r="D74" s="2" t="s">
        <v>8</v>
      </c>
      <c r="E74" s="2" t="s">
        <v>7</v>
      </c>
      <c r="G74" s="20" t="s">
        <v>219</v>
      </c>
      <c r="H74" s="13"/>
      <c r="I74" s="23"/>
      <c r="J74" s="23"/>
      <c r="K74" s="23"/>
    </row>
    <row r="75" spans="1:11" ht="16.5" customHeight="1" x14ac:dyDescent="0.25">
      <c r="A75" s="2" t="s">
        <v>61</v>
      </c>
      <c r="B75" s="2" t="s">
        <v>91</v>
      </c>
      <c r="C75" s="2" t="s">
        <v>164</v>
      </c>
      <c r="D75" s="2" t="s">
        <v>8</v>
      </c>
      <c r="E75" s="2" t="s">
        <v>7</v>
      </c>
      <c r="F75" s="1"/>
      <c r="G75" s="20" t="s">
        <v>14</v>
      </c>
      <c r="H75" s="13"/>
      <c r="I75" s="23"/>
      <c r="J75" s="23"/>
      <c r="K75" s="23"/>
    </row>
    <row r="76" spans="1:11" ht="16.5" customHeight="1" x14ac:dyDescent="0.25">
      <c r="A76" s="2" t="s">
        <v>61</v>
      </c>
      <c r="B76" s="2" t="s">
        <v>91</v>
      </c>
      <c r="C76" s="2" t="s">
        <v>165</v>
      </c>
      <c r="D76" s="2" t="s">
        <v>9</v>
      </c>
      <c r="E76" s="2" t="s">
        <v>7</v>
      </c>
      <c r="G76" s="20" t="s">
        <v>14</v>
      </c>
      <c r="H76" s="13"/>
      <c r="I76" s="23"/>
      <c r="J76" s="23"/>
      <c r="K76" s="23"/>
    </row>
    <row r="77" spans="1:11" ht="16.5" customHeight="1" x14ac:dyDescent="0.25">
      <c r="A77" s="2" t="s">
        <v>61</v>
      </c>
      <c r="B77" s="2" t="s">
        <v>91</v>
      </c>
      <c r="C77" s="2" t="s">
        <v>166</v>
      </c>
      <c r="D77" s="2" t="s">
        <v>9</v>
      </c>
      <c r="E77" s="2" t="s">
        <v>7</v>
      </c>
      <c r="G77" s="20" t="s">
        <v>14</v>
      </c>
      <c r="H77" s="13"/>
      <c r="I77" s="23"/>
      <c r="J77" s="23"/>
      <c r="K77" s="23"/>
    </row>
    <row r="78" spans="1:11" ht="16.5" customHeight="1" x14ac:dyDescent="0.25">
      <c r="A78" s="2" t="s">
        <v>61</v>
      </c>
      <c r="B78" s="2" t="s">
        <v>91</v>
      </c>
      <c r="C78" s="2" t="s">
        <v>167</v>
      </c>
      <c r="D78" s="2" t="s">
        <v>8</v>
      </c>
      <c r="E78" s="2" t="s">
        <v>7</v>
      </c>
      <c r="G78" s="20" t="s">
        <v>14</v>
      </c>
      <c r="H78" s="13"/>
      <c r="I78" s="23"/>
      <c r="J78" s="23"/>
      <c r="K78" s="23"/>
    </row>
    <row r="79" spans="1:11" ht="16.5" customHeight="1" x14ac:dyDescent="0.25">
      <c r="A79" s="2" t="s">
        <v>61</v>
      </c>
      <c r="B79" s="2" t="s">
        <v>91</v>
      </c>
      <c r="C79" s="2" t="s">
        <v>92</v>
      </c>
      <c r="D79" s="2" t="s">
        <v>9</v>
      </c>
      <c r="E79" s="2" t="s">
        <v>7</v>
      </c>
      <c r="G79" s="20" t="s">
        <v>14</v>
      </c>
      <c r="H79" s="13"/>
      <c r="I79" s="23"/>
      <c r="J79" s="23"/>
      <c r="K79" s="23"/>
    </row>
    <row r="80" spans="1:11" ht="16.5" customHeight="1" x14ac:dyDescent="0.25">
      <c r="A80" s="2" t="s">
        <v>61</v>
      </c>
      <c r="B80" s="2" t="s">
        <v>91</v>
      </c>
      <c r="C80" s="2" t="s">
        <v>168</v>
      </c>
      <c r="D80" s="2" t="s">
        <v>9</v>
      </c>
      <c r="E80" s="2" t="s">
        <v>7</v>
      </c>
      <c r="G80" s="20" t="s">
        <v>14</v>
      </c>
      <c r="H80" s="13"/>
      <c r="I80" s="23"/>
      <c r="J80" s="23"/>
      <c r="K80" s="23"/>
    </row>
    <row r="81" spans="1:11" ht="16.5" customHeight="1" x14ac:dyDescent="0.25">
      <c r="A81" s="2" t="s">
        <v>61</v>
      </c>
      <c r="B81" s="2" t="s">
        <v>91</v>
      </c>
      <c r="C81" s="1" t="s">
        <v>169</v>
      </c>
      <c r="D81" s="2" t="s">
        <v>9</v>
      </c>
      <c r="E81" s="2" t="s">
        <v>7</v>
      </c>
      <c r="G81" s="20" t="s">
        <v>14</v>
      </c>
      <c r="H81" s="13"/>
      <c r="I81" s="23"/>
      <c r="J81" s="23"/>
      <c r="K81" s="23"/>
    </row>
    <row r="82" spans="1:11" ht="16.5" customHeight="1" x14ac:dyDescent="0.25">
      <c r="A82" s="2" t="s">
        <v>61</v>
      </c>
      <c r="B82" s="2" t="s">
        <v>91</v>
      </c>
      <c r="C82" s="2" t="s">
        <v>170</v>
      </c>
      <c r="D82" s="2" t="s">
        <v>9</v>
      </c>
      <c r="E82" s="2" t="s">
        <v>7</v>
      </c>
      <c r="G82" s="13" t="s">
        <v>14</v>
      </c>
      <c r="H82" s="13"/>
      <c r="I82" s="23"/>
      <c r="J82" s="23"/>
      <c r="K82" s="23"/>
    </row>
    <row r="83" spans="1:11" ht="16.5" customHeight="1" x14ac:dyDescent="0.25">
      <c r="A83" s="2" t="s">
        <v>61</v>
      </c>
      <c r="B83" s="2" t="s">
        <v>93</v>
      </c>
      <c r="C83" s="2" t="s">
        <v>172</v>
      </c>
      <c r="D83" s="2" t="s">
        <v>9</v>
      </c>
      <c r="E83" s="2" t="s">
        <v>7</v>
      </c>
      <c r="G83" s="13" t="s">
        <v>14</v>
      </c>
      <c r="H83" s="13"/>
      <c r="I83" s="23"/>
      <c r="J83" s="23"/>
      <c r="K83" s="23"/>
    </row>
    <row r="84" spans="1:11" ht="16.5" customHeight="1" x14ac:dyDescent="0.25">
      <c r="A84" s="2" t="s">
        <v>61</v>
      </c>
      <c r="B84" s="2" t="s">
        <v>93</v>
      </c>
      <c r="C84" s="2" t="s">
        <v>94</v>
      </c>
      <c r="D84" s="2" t="s">
        <v>9</v>
      </c>
      <c r="E84" s="2" t="s">
        <v>7</v>
      </c>
      <c r="G84" s="13" t="s">
        <v>14</v>
      </c>
      <c r="H84" s="13"/>
      <c r="I84" s="23"/>
      <c r="J84" s="23"/>
      <c r="K84" s="23"/>
    </row>
    <row r="85" spans="1:11" ht="16.5" customHeight="1" x14ac:dyDescent="0.25">
      <c r="A85" s="2" t="s">
        <v>61</v>
      </c>
      <c r="B85" s="2" t="s">
        <v>93</v>
      </c>
      <c r="C85" s="1" t="s">
        <v>95</v>
      </c>
      <c r="D85" s="2" t="s">
        <v>9</v>
      </c>
      <c r="E85" s="2" t="s">
        <v>7</v>
      </c>
      <c r="G85" s="13" t="s">
        <v>14</v>
      </c>
      <c r="H85" s="13"/>
      <c r="I85" s="23"/>
      <c r="J85" s="23"/>
      <c r="K85" s="23"/>
    </row>
    <row r="86" spans="1:11" ht="16.5" customHeight="1" x14ac:dyDescent="0.25">
      <c r="A86" s="2" t="s">
        <v>61</v>
      </c>
      <c r="B86" s="2" t="s">
        <v>93</v>
      </c>
      <c r="C86" s="2" t="s">
        <v>96</v>
      </c>
      <c r="D86" s="2" t="s">
        <v>9</v>
      </c>
      <c r="E86" s="2" t="s">
        <v>7</v>
      </c>
      <c r="G86" s="13" t="s">
        <v>14</v>
      </c>
      <c r="H86" s="13"/>
      <c r="I86" s="23"/>
      <c r="J86" s="23"/>
      <c r="K86" s="23"/>
    </row>
    <row r="87" spans="1:11" ht="16.5" customHeight="1" x14ac:dyDescent="0.25">
      <c r="A87" s="2" t="s">
        <v>61</v>
      </c>
      <c r="B87" s="2" t="s">
        <v>93</v>
      </c>
      <c r="C87" s="1" t="s">
        <v>176</v>
      </c>
      <c r="D87" s="2" t="s">
        <v>9</v>
      </c>
      <c r="E87" s="2" t="s">
        <v>7</v>
      </c>
      <c r="G87" s="13" t="s">
        <v>14</v>
      </c>
      <c r="H87" s="13"/>
      <c r="I87" s="23"/>
      <c r="J87" s="23"/>
      <c r="K87" s="23"/>
    </row>
    <row r="88" spans="1:11" ht="16.5" customHeight="1" x14ac:dyDescent="0.25">
      <c r="A88" t="s">
        <v>61</v>
      </c>
      <c r="B88" s="2" t="s">
        <v>93</v>
      </c>
      <c r="C88" s="2" t="s">
        <v>97</v>
      </c>
      <c r="D88" s="2" t="s">
        <v>9</v>
      </c>
      <c r="E88" s="2" t="s">
        <v>7</v>
      </c>
      <c r="G88" s="13" t="s">
        <v>14</v>
      </c>
      <c r="H88" s="13"/>
      <c r="I88" s="23"/>
      <c r="J88" s="23"/>
      <c r="K88" s="23"/>
    </row>
    <row r="89" spans="1:11" ht="16.5" customHeight="1" x14ac:dyDescent="0.25">
      <c r="A89" t="s">
        <v>61</v>
      </c>
      <c r="B89" s="2" t="s">
        <v>93</v>
      </c>
      <c r="C89" s="2" t="s">
        <v>174</v>
      </c>
      <c r="D89" s="2" t="s">
        <v>9</v>
      </c>
      <c r="E89" s="2" t="s">
        <v>7</v>
      </c>
      <c r="G89" s="13" t="s">
        <v>14</v>
      </c>
      <c r="H89" s="13"/>
      <c r="I89" s="23"/>
      <c r="J89" s="23"/>
      <c r="K89" s="23"/>
    </row>
    <row r="90" spans="1:11" ht="16.5" customHeight="1" x14ac:dyDescent="0.25">
      <c r="A90" t="s">
        <v>61</v>
      </c>
      <c r="B90" s="2" t="s">
        <v>93</v>
      </c>
      <c r="C90" s="2" t="s">
        <v>175</v>
      </c>
      <c r="D90" s="2" t="s">
        <v>9</v>
      </c>
      <c r="E90" s="2" t="s">
        <v>7</v>
      </c>
      <c r="G90" s="13" t="s">
        <v>14</v>
      </c>
      <c r="H90" s="13"/>
      <c r="I90" s="23"/>
      <c r="J90" s="23"/>
      <c r="K90" s="23"/>
    </row>
    <row r="91" spans="1:11" ht="16.5" customHeight="1" x14ac:dyDescent="0.25">
      <c r="A91" t="s">
        <v>61</v>
      </c>
      <c r="B91" s="2" t="s">
        <v>93</v>
      </c>
      <c r="C91" s="2" t="s">
        <v>98</v>
      </c>
      <c r="D91" s="2" t="s">
        <v>9</v>
      </c>
      <c r="E91" s="2" t="s">
        <v>7</v>
      </c>
      <c r="G91" s="13" t="s">
        <v>14</v>
      </c>
      <c r="H91" s="13"/>
      <c r="I91" s="23"/>
      <c r="J91" s="23"/>
      <c r="K91" s="23"/>
    </row>
    <row r="92" spans="1:11" ht="15.75" customHeight="1" x14ac:dyDescent="0.25">
      <c r="A92" t="s">
        <v>61</v>
      </c>
      <c r="B92" s="2" t="s">
        <v>99</v>
      </c>
      <c r="C92" s="1" t="s">
        <v>100</v>
      </c>
      <c r="D92" s="2" t="s">
        <v>9</v>
      </c>
      <c r="E92" s="2" t="s">
        <v>7</v>
      </c>
      <c r="G92" s="13" t="s">
        <v>14</v>
      </c>
      <c r="H92" s="13"/>
      <c r="I92" s="23"/>
      <c r="J92" s="23"/>
      <c r="K92" s="23"/>
    </row>
    <row r="93" spans="1:11" ht="16.5" customHeight="1" x14ac:dyDescent="0.25">
      <c r="A93" t="s">
        <v>61</v>
      </c>
      <c r="B93" s="2" t="s">
        <v>99</v>
      </c>
      <c r="C93" s="2" t="s">
        <v>177</v>
      </c>
      <c r="D93" s="2" t="s">
        <v>9</v>
      </c>
      <c r="E93" s="2" t="s">
        <v>7</v>
      </c>
      <c r="G93" s="13" t="s">
        <v>14</v>
      </c>
      <c r="H93" s="13"/>
      <c r="I93" s="23"/>
      <c r="J93" s="23"/>
      <c r="K93" s="23"/>
    </row>
    <row r="94" spans="1:11" ht="16.5" customHeight="1" x14ac:dyDescent="0.25">
      <c r="A94" t="s">
        <v>61</v>
      </c>
      <c r="B94" s="2" t="s">
        <v>99</v>
      </c>
      <c r="C94" s="2" t="s">
        <v>101</v>
      </c>
      <c r="D94" s="2" t="s">
        <v>9</v>
      </c>
      <c r="E94" s="2" t="s">
        <v>7</v>
      </c>
      <c r="G94" s="13" t="s">
        <v>14</v>
      </c>
      <c r="H94" s="13"/>
      <c r="I94" s="23"/>
      <c r="J94" s="23"/>
      <c r="K94" s="23"/>
    </row>
    <row r="95" spans="1:11" ht="16.5" customHeight="1" x14ac:dyDescent="0.25">
      <c r="A95" s="2" t="s">
        <v>61</v>
      </c>
      <c r="B95" s="2" t="s">
        <v>99</v>
      </c>
      <c r="C95" s="2" t="s">
        <v>102</v>
      </c>
      <c r="D95" s="2" t="s">
        <v>9</v>
      </c>
      <c r="E95" s="2" t="s">
        <v>7</v>
      </c>
      <c r="G95" s="13" t="s">
        <v>14</v>
      </c>
      <c r="H95" s="13"/>
      <c r="I95" s="23"/>
      <c r="J95" s="23"/>
      <c r="K95" s="23"/>
    </row>
    <row r="96" spans="1:11" ht="16.5" customHeight="1" x14ac:dyDescent="0.25">
      <c r="A96" s="2" t="s">
        <v>61</v>
      </c>
      <c r="B96" s="2" t="s">
        <v>103</v>
      </c>
      <c r="C96" s="2" t="s">
        <v>104</v>
      </c>
      <c r="D96" s="2" t="s">
        <v>9</v>
      </c>
      <c r="E96" s="2" t="s">
        <v>7</v>
      </c>
      <c r="G96" s="13" t="s">
        <v>14</v>
      </c>
      <c r="H96" s="13"/>
      <c r="I96" s="23"/>
      <c r="J96" s="23"/>
      <c r="K96" s="23"/>
    </row>
    <row r="97" spans="1:11" ht="16.5" customHeight="1" x14ac:dyDescent="0.25">
      <c r="A97" s="2" t="s">
        <v>61</v>
      </c>
      <c r="B97" s="2" t="s">
        <v>103</v>
      </c>
      <c r="C97" s="2" t="s">
        <v>178</v>
      </c>
      <c r="D97" s="2" t="s">
        <v>9</v>
      </c>
      <c r="E97" s="2" t="s">
        <v>7</v>
      </c>
      <c r="G97" s="13" t="s">
        <v>14</v>
      </c>
      <c r="H97" s="13"/>
      <c r="I97" s="23"/>
      <c r="J97" s="23"/>
      <c r="K97" s="23"/>
    </row>
    <row r="98" spans="1:11" ht="16.5" customHeight="1" x14ac:dyDescent="0.25">
      <c r="A98" s="2" t="s">
        <v>61</v>
      </c>
      <c r="B98" s="2" t="s">
        <v>103</v>
      </c>
      <c r="C98" s="2" t="s">
        <v>105</v>
      </c>
      <c r="D98" s="2" t="s">
        <v>9</v>
      </c>
      <c r="E98" s="2" t="s">
        <v>7</v>
      </c>
      <c r="G98" s="13" t="s">
        <v>14</v>
      </c>
      <c r="H98" s="13"/>
      <c r="I98" s="23"/>
      <c r="J98" s="23"/>
      <c r="K98" s="23"/>
    </row>
    <row r="99" spans="1:11" ht="16.5" customHeight="1" x14ac:dyDescent="0.25">
      <c r="A99" s="2" t="s">
        <v>61</v>
      </c>
      <c r="B99" s="2" t="s">
        <v>103</v>
      </c>
      <c r="C99" s="2" t="s">
        <v>179</v>
      </c>
      <c r="D99" s="2" t="s">
        <v>9</v>
      </c>
      <c r="E99" s="2" t="s">
        <v>7</v>
      </c>
      <c r="G99" s="13" t="s">
        <v>14</v>
      </c>
      <c r="H99" s="13"/>
      <c r="I99" s="23"/>
      <c r="J99" s="23"/>
      <c r="K99" s="23"/>
    </row>
    <row r="100" spans="1:11" ht="16.5" customHeight="1" x14ac:dyDescent="0.25">
      <c r="A100" s="2" t="s">
        <v>61</v>
      </c>
      <c r="B100" s="2" t="s">
        <v>103</v>
      </c>
      <c r="C100" s="2" t="s">
        <v>106</v>
      </c>
      <c r="D100" s="2" t="s">
        <v>9</v>
      </c>
      <c r="E100" s="2" t="s">
        <v>7</v>
      </c>
      <c r="G100" s="13" t="s">
        <v>14</v>
      </c>
      <c r="H100" s="13"/>
      <c r="I100" s="23"/>
      <c r="J100" s="23"/>
      <c r="K100" s="23"/>
    </row>
    <row r="101" spans="1:11" ht="16.5" customHeight="1" x14ac:dyDescent="0.25">
      <c r="A101" s="2" t="s">
        <v>61</v>
      </c>
      <c r="B101" s="2" t="s">
        <v>103</v>
      </c>
      <c r="C101" s="2" t="s">
        <v>198</v>
      </c>
      <c r="D101" s="2" t="s">
        <v>6</v>
      </c>
      <c r="E101" s="2" t="s">
        <v>7</v>
      </c>
      <c r="G101" s="13" t="s">
        <v>14</v>
      </c>
      <c r="H101" s="13"/>
      <c r="I101" s="23"/>
      <c r="J101" s="23"/>
      <c r="K101" s="23"/>
    </row>
    <row r="102" spans="1:11" ht="16.5" customHeight="1" x14ac:dyDescent="0.25">
      <c r="A102" s="2" t="s">
        <v>61</v>
      </c>
      <c r="B102" s="2" t="s">
        <v>107</v>
      </c>
      <c r="C102" s="2" t="s">
        <v>108</v>
      </c>
      <c r="D102" s="2" t="s">
        <v>9</v>
      </c>
      <c r="E102" s="2" t="s">
        <v>7</v>
      </c>
      <c r="F102" s="1"/>
      <c r="G102" s="13" t="s">
        <v>14</v>
      </c>
      <c r="H102" s="13"/>
      <c r="I102" s="23"/>
      <c r="J102" s="23"/>
      <c r="K102" s="23"/>
    </row>
    <row r="103" spans="1:11" ht="16.5" customHeight="1" x14ac:dyDescent="0.25">
      <c r="A103" s="2" t="s">
        <v>61</v>
      </c>
      <c r="B103" s="2" t="s">
        <v>107</v>
      </c>
      <c r="C103" s="2" t="s">
        <v>109</v>
      </c>
      <c r="D103" s="2" t="s">
        <v>9</v>
      </c>
      <c r="E103" s="2" t="s">
        <v>7</v>
      </c>
      <c r="G103" s="13" t="s">
        <v>14</v>
      </c>
      <c r="H103" s="13"/>
      <c r="I103" s="23"/>
      <c r="J103" s="23"/>
      <c r="K103" s="23"/>
    </row>
    <row r="104" spans="1:11" ht="16.5" customHeight="1" x14ac:dyDescent="0.25">
      <c r="A104" s="2" t="s">
        <v>61</v>
      </c>
      <c r="B104" s="2" t="s">
        <v>107</v>
      </c>
      <c r="C104" s="2" t="s">
        <v>190</v>
      </c>
      <c r="D104" s="2" t="s">
        <v>9</v>
      </c>
      <c r="E104" s="2" t="s">
        <v>7</v>
      </c>
      <c r="G104" s="13" t="s">
        <v>14</v>
      </c>
      <c r="H104" s="13"/>
      <c r="I104" s="23"/>
      <c r="J104" s="23"/>
      <c r="K104" s="23"/>
    </row>
    <row r="105" spans="1:11" ht="16.5" customHeight="1" x14ac:dyDescent="0.25">
      <c r="A105" s="2" t="s">
        <v>61</v>
      </c>
      <c r="B105" s="2" t="s">
        <v>110</v>
      </c>
      <c r="C105" s="2" t="s">
        <v>111</v>
      </c>
      <c r="D105" s="2" t="s">
        <v>9</v>
      </c>
      <c r="E105" s="2" t="s">
        <v>7</v>
      </c>
      <c r="G105" s="13" t="s">
        <v>14</v>
      </c>
      <c r="H105" s="13"/>
      <c r="I105" s="23"/>
      <c r="J105" s="23"/>
      <c r="K105" s="23"/>
    </row>
    <row r="106" spans="1:11" ht="16.5" customHeight="1" x14ac:dyDescent="0.25">
      <c r="A106" s="1" t="s">
        <v>61</v>
      </c>
      <c r="B106" s="2" t="s">
        <v>110</v>
      </c>
      <c r="C106" s="2" t="s">
        <v>112</v>
      </c>
      <c r="D106" s="2" t="s">
        <v>9</v>
      </c>
      <c r="E106" s="2" t="s">
        <v>7</v>
      </c>
      <c r="G106" s="13" t="s">
        <v>14</v>
      </c>
      <c r="H106" s="13"/>
      <c r="I106" s="23"/>
      <c r="J106" s="23"/>
      <c r="K106" s="23"/>
    </row>
    <row r="107" spans="1:11" ht="16.5" customHeight="1" x14ac:dyDescent="0.25">
      <c r="A107" s="1" t="s">
        <v>61</v>
      </c>
      <c r="B107" s="2" t="s">
        <v>110</v>
      </c>
      <c r="C107" s="2" t="s">
        <v>197</v>
      </c>
      <c r="D107" s="2" t="s">
        <v>9</v>
      </c>
      <c r="E107" s="2" t="s">
        <v>7</v>
      </c>
      <c r="G107" s="13" t="s">
        <v>14</v>
      </c>
      <c r="H107" s="13"/>
      <c r="I107" s="23"/>
      <c r="J107" s="23"/>
      <c r="K107" s="23"/>
    </row>
    <row r="108" spans="1:11" ht="16.5" customHeight="1" x14ac:dyDescent="0.25">
      <c r="A108" s="1" t="s">
        <v>61</v>
      </c>
      <c r="B108" s="2" t="s">
        <v>110</v>
      </c>
      <c r="C108" s="2" t="s">
        <v>113</v>
      </c>
      <c r="D108" s="2" t="s">
        <v>9</v>
      </c>
      <c r="E108" s="2" t="s">
        <v>7</v>
      </c>
      <c r="G108" s="13" t="s">
        <v>14</v>
      </c>
      <c r="H108" s="13"/>
      <c r="I108" s="23"/>
      <c r="J108" s="23"/>
      <c r="K108" s="23"/>
    </row>
    <row r="109" spans="1:11" ht="16.5" customHeight="1" x14ac:dyDescent="0.25">
      <c r="A109" s="1" t="s">
        <v>114</v>
      </c>
      <c r="B109" s="2" t="s">
        <v>24</v>
      </c>
      <c r="C109" s="2" t="s">
        <v>115</v>
      </c>
      <c r="D109" s="2" t="s">
        <v>9</v>
      </c>
      <c r="E109" s="2" t="s">
        <v>7</v>
      </c>
      <c r="F109" s="1"/>
      <c r="G109" s="13" t="s">
        <v>14</v>
      </c>
      <c r="H109" s="13"/>
      <c r="I109" s="23"/>
      <c r="J109" s="23"/>
      <c r="K109" s="23"/>
    </row>
    <row r="110" spans="1:11" ht="16.5" customHeight="1" x14ac:dyDescent="0.25">
      <c r="A110" s="1" t="s">
        <v>114</v>
      </c>
      <c r="B110" s="2" t="s">
        <v>24</v>
      </c>
      <c r="C110" s="2" t="s">
        <v>116</v>
      </c>
      <c r="D110" s="2" t="s">
        <v>9</v>
      </c>
      <c r="E110" s="2" t="s">
        <v>7</v>
      </c>
      <c r="G110" s="13"/>
      <c r="H110" s="13"/>
      <c r="I110" s="23"/>
      <c r="J110" s="23"/>
      <c r="K110" s="23"/>
    </row>
    <row r="111" spans="1:11" ht="16.5" customHeight="1" x14ac:dyDescent="0.25">
      <c r="A111" s="1" t="s">
        <v>114</v>
      </c>
      <c r="B111" s="2" t="s">
        <v>24</v>
      </c>
      <c r="C111" s="2" t="s">
        <v>180</v>
      </c>
      <c r="D111" s="2" t="s">
        <v>9</v>
      </c>
      <c r="E111" s="2" t="s">
        <v>7</v>
      </c>
      <c r="G111" s="13"/>
      <c r="H111" s="13"/>
      <c r="I111" s="23"/>
      <c r="J111" s="23"/>
      <c r="K111" s="23"/>
    </row>
    <row r="112" spans="1:11" ht="16.5" customHeight="1" x14ac:dyDescent="0.25">
      <c r="A112" s="1" t="s">
        <v>114</v>
      </c>
      <c r="B112" s="2" t="s">
        <v>24</v>
      </c>
      <c r="C112" s="2" t="s">
        <v>117</v>
      </c>
      <c r="D112" s="2" t="s">
        <v>9</v>
      </c>
      <c r="E112" s="2" t="s">
        <v>7</v>
      </c>
      <c r="F112" s="1"/>
      <c r="G112" s="13" t="s">
        <v>196</v>
      </c>
      <c r="H112" s="13"/>
      <c r="I112" s="23"/>
      <c r="J112" s="23"/>
      <c r="K112" s="23"/>
    </row>
    <row r="113" spans="1:11" ht="16.5" customHeight="1" x14ac:dyDescent="0.25">
      <c r="A113" s="1" t="s">
        <v>114</v>
      </c>
      <c r="B113" s="2" t="s">
        <v>24</v>
      </c>
      <c r="C113" s="2" t="s">
        <v>191</v>
      </c>
      <c r="D113" s="2" t="s">
        <v>9</v>
      </c>
      <c r="E113" s="2" t="s">
        <v>7</v>
      </c>
      <c r="G113" s="13" t="s">
        <v>195</v>
      </c>
      <c r="H113" s="13"/>
      <c r="I113" s="23"/>
      <c r="J113" s="23"/>
      <c r="K113" s="23"/>
    </row>
    <row r="114" spans="1:11" ht="16.5" customHeight="1" x14ac:dyDescent="0.25">
      <c r="A114" s="1" t="s">
        <v>114</v>
      </c>
      <c r="B114" s="2" t="s">
        <v>24</v>
      </c>
      <c r="C114" s="2" t="s">
        <v>189</v>
      </c>
      <c r="D114" s="2" t="s">
        <v>9</v>
      </c>
      <c r="E114" s="2" t="s">
        <v>7</v>
      </c>
      <c r="F114" s="1"/>
      <c r="G114" s="13" t="s">
        <v>194</v>
      </c>
      <c r="H114" s="13"/>
      <c r="I114" s="23"/>
      <c r="J114" s="23"/>
      <c r="K114" s="23"/>
    </row>
    <row r="115" spans="1:11" ht="16.5" customHeight="1" x14ac:dyDescent="0.25">
      <c r="A115" s="1" t="s">
        <v>114</v>
      </c>
      <c r="B115" s="2" t="s">
        <v>24</v>
      </c>
      <c r="C115" s="2" t="s">
        <v>193</v>
      </c>
      <c r="D115" s="2" t="s">
        <v>9</v>
      </c>
      <c r="E115" s="2" t="s">
        <v>7</v>
      </c>
      <c r="G115" s="13" t="s">
        <v>192</v>
      </c>
      <c r="H115" s="13"/>
      <c r="I115" s="23"/>
      <c r="J115" s="23"/>
      <c r="K115" s="23"/>
    </row>
    <row r="116" spans="1:11" ht="16.5" customHeight="1" x14ac:dyDescent="0.25">
      <c r="A116" s="1" t="s">
        <v>114</v>
      </c>
      <c r="B116" s="2" t="s">
        <v>24</v>
      </c>
      <c r="C116" s="2" t="s">
        <v>118</v>
      </c>
      <c r="D116" s="2" t="s">
        <v>9</v>
      </c>
      <c r="E116" s="2" t="s">
        <v>7</v>
      </c>
      <c r="G116" s="13" t="s">
        <v>14</v>
      </c>
      <c r="H116" s="13"/>
      <c r="I116" s="23"/>
      <c r="J116" s="23"/>
      <c r="K116" s="23"/>
    </row>
    <row r="117" spans="1:11" ht="16.5" customHeight="1" x14ac:dyDescent="0.25">
      <c r="A117" s="1" t="s">
        <v>114</v>
      </c>
      <c r="B117" s="2" t="s">
        <v>24</v>
      </c>
      <c r="C117" s="2" t="s">
        <v>181</v>
      </c>
      <c r="D117" s="2" t="s">
        <v>9</v>
      </c>
      <c r="E117" s="2" t="s">
        <v>7</v>
      </c>
      <c r="G117" s="13" t="s">
        <v>14</v>
      </c>
      <c r="H117" s="13"/>
      <c r="I117" s="23"/>
      <c r="J117" s="23"/>
      <c r="K117" s="23"/>
    </row>
    <row r="118" spans="1:11" ht="16.5" customHeight="1" x14ac:dyDescent="0.25">
      <c r="A118" s="1" t="s">
        <v>114</v>
      </c>
      <c r="B118" s="2" t="s">
        <v>24</v>
      </c>
      <c r="C118" s="2" t="s">
        <v>119</v>
      </c>
      <c r="D118" s="2" t="s">
        <v>9</v>
      </c>
      <c r="E118" s="2" t="s">
        <v>7</v>
      </c>
      <c r="F118" s="1"/>
      <c r="G118" s="13" t="s">
        <v>14</v>
      </c>
      <c r="H118" s="13"/>
      <c r="I118" s="23"/>
      <c r="J118" s="23"/>
      <c r="K118" s="23"/>
    </row>
    <row r="119" spans="1:11" ht="16.5" customHeight="1" x14ac:dyDescent="0.25">
      <c r="A119" s="1" t="s">
        <v>114</v>
      </c>
      <c r="B119" s="2" t="s">
        <v>24</v>
      </c>
      <c r="C119" s="2" t="s">
        <v>120</v>
      </c>
      <c r="D119" s="2" t="s">
        <v>9</v>
      </c>
      <c r="E119" s="2" t="s">
        <v>7</v>
      </c>
      <c r="F119" s="1"/>
      <c r="G119" s="13" t="s">
        <v>14</v>
      </c>
      <c r="H119" s="13"/>
      <c r="I119" s="23"/>
      <c r="J119" s="23"/>
      <c r="K119" s="23"/>
    </row>
    <row r="120" spans="1:11" ht="16.5" customHeight="1" x14ac:dyDescent="0.25">
      <c r="A120" s="1" t="s">
        <v>114</v>
      </c>
      <c r="B120" s="2" t="s">
        <v>24</v>
      </c>
      <c r="C120" s="2" t="s">
        <v>121</v>
      </c>
      <c r="D120" s="2" t="s">
        <v>9</v>
      </c>
      <c r="E120" s="2" t="s">
        <v>7</v>
      </c>
      <c r="F120" s="1"/>
      <c r="G120" s="13" t="s">
        <v>14</v>
      </c>
      <c r="H120" s="13"/>
      <c r="I120" s="23"/>
      <c r="J120" s="23"/>
      <c r="K120" s="23"/>
    </row>
    <row r="121" spans="1:11" ht="16.5" customHeight="1" x14ac:dyDescent="0.25">
      <c r="A121" s="1" t="s">
        <v>114</v>
      </c>
      <c r="B121" s="2" t="s">
        <v>24</v>
      </c>
      <c r="C121" s="2" t="s">
        <v>182</v>
      </c>
      <c r="D121" s="2" t="s">
        <v>9</v>
      </c>
      <c r="E121" s="2" t="s">
        <v>7</v>
      </c>
      <c r="F121" s="1"/>
      <c r="G121" s="13" t="s">
        <v>14</v>
      </c>
      <c r="H121" s="13"/>
      <c r="I121" s="23"/>
      <c r="J121" s="23"/>
      <c r="K121" s="23"/>
    </row>
    <row r="122" spans="1:11" ht="16.5" customHeight="1" x14ac:dyDescent="0.25">
      <c r="A122" s="1" t="s">
        <v>114</v>
      </c>
      <c r="B122" s="2" t="s">
        <v>24</v>
      </c>
      <c r="C122" s="2" t="s">
        <v>122</v>
      </c>
      <c r="D122" s="2" t="s">
        <v>9</v>
      </c>
      <c r="E122" s="2" t="s">
        <v>7</v>
      </c>
      <c r="G122" s="13" t="s">
        <v>14</v>
      </c>
      <c r="H122" s="13"/>
      <c r="I122" s="23"/>
      <c r="J122" s="23"/>
      <c r="K122" s="23"/>
    </row>
    <row r="123" spans="1:11" ht="16.5" customHeight="1" x14ac:dyDescent="0.25">
      <c r="A123" s="1" t="s">
        <v>114</v>
      </c>
      <c r="B123" s="2" t="s">
        <v>24</v>
      </c>
      <c r="C123" s="2" t="s">
        <v>183</v>
      </c>
      <c r="D123" s="2" t="s">
        <v>9</v>
      </c>
      <c r="E123" s="2" t="s">
        <v>7</v>
      </c>
      <c r="F123" s="1"/>
      <c r="G123" s="13" t="s">
        <v>14</v>
      </c>
      <c r="H123" s="13"/>
      <c r="I123" s="23"/>
      <c r="J123" s="23"/>
      <c r="K123" s="23"/>
    </row>
    <row r="124" spans="1:11" ht="16.5" customHeight="1" x14ac:dyDescent="0.25">
      <c r="A124" s="1" t="s">
        <v>114</v>
      </c>
      <c r="B124" s="2" t="s">
        <v>24</v>
      </c>
      <c r="C124" s="2" t="s">
        <v>184</v>
      </c>
      <c r="D124" s="2" t="s">
        <v>9</v>
      </c>
      <c r="E124" s="2" t="s">
        <v>7</v>
      </c>
      <c r="F124" s="1"/>
      <c r="G124" s="13" t="s">
        <v>14</v>
      </c>
      <c r="H124" s="13"/>
      <c r="I124" s="23"/>
      <c r="J124" s="23"/>
      <c r="K124" s="23"/>
    </row>
    <row r="125" spans="1:11" ht="16.5" customHeight="1" x14ac:dyDescent="0.25">
      <c r="A125" s="1" t="s">
        <v>114</v>
      </c>
      <c r="B125" s="2" t="s">
        <v>24</v>
      </c>
      <c r="C125" s="2" t="s">
        <v>123</v>
      </c>
      <c r="D125" s="2" t="s">
        <v>9</v>
      </c>
      <c r="E125" s="2" t="s">
        <v>7</v>
      </c>
      <c r="F125" s="1"/>
      <c r="G125" s="13" t="s">
        <v>14</v>
      </c>
      <c r="H125" s="13"/>
      <c r="I125" s="23"/>
      <c r="J125" s="23"/>
      <c r="K125" s="23"/>
    </row>
    <row r="126" spans="1:11" ht="16.5" customHeight="1" x14ac:dyDescent="0.25">
      <c r="A126" s="1" t="s">
        <v>114</v>
      </c>
      <c r="B126" s="2" t="s">
        <v>24</v>
      </c>
      <c r="C126" s="2" t="s">
        <v>124</v>
      </c>
      <c r="D126" s="2" t="s">
        <v>9</v>
      </c>
      <c r="E126" s="2" t="s">
        <v>7</v>
      </c>
      <c r="F126" s="1"/>
      <c r="G126" s="13" t="s">
        <v>14</v>
      </c>
      <c r="H126" s="13"/>
      <c r="I126" s="23"/>
      <c r="J126" s="23"/>
      <c r="K126" s="23"/>
    </row>
    <row r="127" spans="1:11" ht="16.5" customHeight="1" x14ac:dyDescent="0.25">
      <c r="A127" s="1" t="s">
        <v>25</v>
      </c>
      <c r="B127" s="2" t="s">
        <v>28</v>
      </c>
      <c r="C127" s="2" t="s">
        <v>185</v>
      </c>
      <c r="D127" s="2" t="s">
        <v>6</v>
      </c>
      <c r="E127" s="2" t="s">
        <v>7</v>
      </c>
      <c r="G127" s="13" t="s">
        <v>186</v>
      </c>
      <c r="H127" s="13"/>
      <c r="I127" s="23"/>
      <c r="J127" s="23"/>
      <c r="K127" s="23"/>
    </row>
    <row r="128" spans="1:11" ht="16.5" customHeight="1" x14ac:dyDescent="0.25">
      <c r="A128" s="1" t="s">
        <v>25</v>
      </c>
      <c r="B128" s="2" t="s">
        <v>28</v>
      </c>
      <c r="C128" s="2" t="s">
        <v>125</v>
      </c>
      <c r="D128" s="2" t="s">
        <v>9</v>
      </c>
      <c r="E128" s="2" t="s">
        <v>7</v>
      </c>
      <c r="G128" s="13" t="s">
        <v>14</v>
      </c>
      <c r="H128" s="13"/>
      <c r="I128" s="23"/>
      <c r="J128" s="23"/>
      <c r="K128" s="23"/>
    </row>
    <row r="129" spans="1:11" ht="16.5" customHeight="1" x14ac:dyDescent="0.25">
      <c r="A129" s="1" t="s">
        <v>25</v>
      </c>
      <c r="B129" s="2" t="s">
        <v>28</v>
      </c>
      <c r="C129" s="2" t="s">
        <v>126</v>
      </c>
      <c r="D129" s="2" t="s">
        <v>9</v>
      </c>
      <c r="E129" s="2" t="s">
        <v>7</v>
      </c>
      <c r="F129" s="1"/>
      <c r="G129" s="13" t="s">
        <v>14</v>
      </c>
      <c r="H129" s="13"/>
      <c r="I129" s="23"/>
      <c r="J129" s="23"/>
      <c r="K129" s="23"/>
    </row>
    <row r="130" spans="1:11" ht="16.5" customHeight="1" x14ac:dyDescent="0.25">
      <c r="A130" s="1" t="s">
        <v>25</v>
      </c>
      <c r="B130" s="2" t="s">
        <v>28</v>
      </c>
      <c r="C130" s="2" t="s">
        <v>127</v>
      </c>
      <c r="D130" s="2" t="s">
        <v>9</v>
      </c>
      <c r="E130" s="2" t="s">
        <v>7</v>
      </c>
      <c r="G130" s="13" t="s">
        <v>14</v>
      </c>
      <c r="H130" s="13"/>
      <c r="I130" s="23"/>
      <c r="J130" s="23"/>
      <c r="K130" s="23"/>
    </row>
    <row r="131" spans="1:11" ht="16.5" customHeight="1" x14ac:dyDescent="0.25">
      <c r="A131" s="1" t="s">
        <v>25</v>
      </c>
      <c r="B131" s="2" t="s">
        <v>28</v>
      </c>
      <c r="C131" s="2" t="s">
        <v>128</v>
      </c>
      <c r="D131" s="2" t="s">
        <v>9</v>
      </c>
      <c r="E131" s="2" t="s">
        <v>7</v>
      </c>
      <c r="G131" s="13" t="s">
        <v>14</v>
      </c>
      <c r="H131" s="13"/>
      <c r="I131" s="23"/>
      <c r="J131" s="23"/>
      <c r="K131" s="23"/>
    </row>
    <row r="132" spans="1:11" ht="16.5" customHeight="1" x14ac:dyDescent="0.25">
      <c r="A132" s="1" t="s">
        <v>25</v>
      </c>
      <c r="B132" s="2" t="s">
        <v>28</v>
      </c>
      <c r="C132" s="2" t="s">
        <v>129</v>
      </c>
      <c r="D132" s="2" t="s">
        <v>9</v>
      </c>
      <c r="E132" s="2" t="s">
        <v>7</v>
      </c>
      <c r="G132" s="13" t="s">
        <v>14</v>
      </c>
      <c r="H132" s="13"/>
      <c r="I132" s="23"/>
      <c r="J132" s="23"/>
      <c r="K132" s="23"/>
    </row>
    <row r="133" spans="1:11" ht="16.5" customHeight="1" x14ac:dyDescent="0.25">
      <c r="A133" s="1" t="s">
        <v>25</v>
      </c>
      <c r="B133" s="2" t="s">
        <v>28</v>
      </c>
      <c r="C133" s="2" t="s">
        <v>188</v>
      </c>
      <c r="D133" s="2" t="s">
        <v>9</v>
      </c>
      <c r="E133" s="2" t="s">
        <v>7</v>
      </c>
      <c r="G133" s="13" t="s">
        <v>14</v>
      </c>
      <c r="H133" s="13"/>
      <c r="I133" s="23"/>
      <c r="J133" s="23"/>
      <c r="K133" s="23"/>
    </row>
    <row r="134" spans="1:11" ht="16.5" customHeight="1" x14ac:dyDescent="0.25">
      <c r="A134" s="1" t="s">
        <v>25</v>
      </c>
      <c r="B134" s="2" t="s">
        <v>28</v>
      </c>
      <c r="C134" s="2" t="s">
        <v>130</v>
      </c>
      <c r="D134" s="2" t="s">
        <v>9</v>
      </c>
      <c r="E134" s="2" t="s">
        <v>7</v>
      </c>
      <c r="G134" s="13" t="s">
        <v>14</v>
      </c>
      <c r="H134" s="13"/>
      <c r="I134" s="23"/>
      <c r="J134" s="23"/>
      <c r="K134" s="23"/>
    </row>
    <row r="135" spans="1:11" ht="16.5" customHeight="1" x14ac:dyDescent="0.25">
      <c r="A135" s="1" t="s">
        <v>25</v>
      </c>
      <c r="B135" s="2" t="s">
        <v>28</v>
      </c>
      <c r="C135" s="2" t="s">
        <v>131</v>
      </c>
      <c r="D135" s="2" t="s">
        <v>9</v>
      </c>
      <c r="E135" s="2" t="s">
        <v>7</v>
      </c>
      <c r="G135" s="13" t="s">
        <v>14</v>
      </c>
      <c r="H135" s="13"/>
      <c r="I135" s="23"/>
      <c r="J135" s="23"/>
      <c r="K135" s="23"/>
    </row>
    <row r="136" spans="1:11" ht="16.5" customHeight="1" x14ac:dyDescent="0.25">
      <c r="A136" s="1" t="s">
        <v>25</v>
      </c>
      <c r="B136" s="2" t="s">
        <v>28</v>
      </c>
      <c r="C136" s="2" t="s">
        <v>132</v>
      </c>
      <c r="D136" s="2" t="s">
        <v>9</v>
      </c>
      <c r="E136" s="2" t="s">
        <v>7</v>
      </c>
      <c r="G136" s="13" t="s">
        <v>14</v>
      </c>
      <c r="H136" s="13"/>
      <c r="I136" s="23"/>
      <c r="J136" s="23"/>
      <c r="K136" s="23"/>
    </row>
    <row r="137" spans="1:11" ht="16.5" customHeight="1" x14ac:dyDescent="0.25">
      <c r="A137" s="1" t="s">
        <v>25</v>
      </c>
      <c r="B137" s="2" t="s">
        <v>28</v>
      </c>
      <c r="C137" s="2" t="s">
        <v>133</v>
      </c>
      <c r="D137" s="2" t="s">
        <v>9</v>
      </c>
      <c r="E137" s="2" t="s">
        <v>7</v>
      </c>
      <c r="G137" s="13" t="s">
        <v>14</v>
      </c>
      <c r="H137" s="13"/>
      <c r="I137" s="23"/>
      <c r="J137" s="23"/>
      <c r="K137" s="23"/>
    </row>
    <row r="138" spans="1:11" ht="16.5" customHeight="1" x14ac:dyDescent="0.25">
      <c r="A138" s="1" t="s">
        <v>25</v>
      </c>
      <c r="B138" s="2" t="s">
        <v>28</v>
      </c>
      <c r="C138" s="2" t="s">
        <v>134</v>
      </c>
      <c r="D138" s="2" t="s">
        <v>9</v>
      </c>
      <c r="E138" s="2" t="s">
        <v>7</v>
      </c>
      <c r="G138" s="13" t="s">
        <v>14</v>
      </c>
      <c r="H138" s="13"/>
      <c r="I138" s="23"/>
      <c r="J138" s="23"/>
      <c r="K138" s="23"/>
    </row>
    <row r="139" spans="1:11" ht="16.5" customHeight="1" x14ac:dyDescent="0.25">
      <c r="A139" s="1" t="s">
        <v>25</v>
      </c>
      <c r="B139" s="2" t="s">
        <v>28</v>
      </c>
      <c r="C139" s="2" t="s">
        <v>135</v>
      </c>
      <c r="D139" s="2" t="s">
        <v>9</v>
      </c>
      <c r="E139" s="2" t="s">
        <v>7</v>
      </c>
      <c r="G139" s="13" t="s">
        <v>14</v>
      </c>
      <c r="H139" s="13"/>
      <c r="I139" s="23"/>
      <c r="J139" s="23"/>
      <c r="K139" s="23"/>
    </row>
    <row r="140" spans="1:11" ht="16.5" customHeight="1" x14ac:dyDescent="0.25">
      <c r="A140" s="1" t="s">
        <v>25</v>
      </c>
      <c r="B140" s="2" t="s">
        <v>136</v>
      </c>
      <c r="C140" s="2" t="s">
        <v>137</v>
      </c>
      <c r="D140" s="2" t="s">
        <v>6</v>
      </c>
      <c r="E140" s="2" t="s">
        <v>7</v>
      </c>
      <c r="G140" s="13" t="s">
        <v>187</v>
      </c>
      <c r="H140" s="13"/>
      <c r="I140" s="23"/>
      <c r="J140" s="23"/>
      <c r="K140" s="23"/>
    </row>
    <row r="141" spans="1:11" ht="16.5" customHeight="1" x14ac:dyDescent="0.25">
      <c r="A141" s="1" t="s">
        <v>25</v>
      </c>
      <c r="B141" s="2" t="s">
        <v>136</v>
      </c>
      <c r="C141" s="2" t="s">
        <v>138</v>
      </c>
      <c r="D141" s="2" t="s">
        <v>9</v>
      </c>
      <c r="E141" s="2" t="s">
        <v>7</v>
      </c>
      <c r="G141" s="13" t="s">
        <v>14</v>
      </c>
      <c r="H141" s="13"/>
      <c r="I141" s="23"/>
      <c r="J141" s="23"/>
      <c r="K141" s="23"/>
    </row>
    <row r="142" spans="1:11" ht="16.5" customHeight="1" x14ac:dyDescent="0.25">
      <c r="A142" s="1" t="s">
        <v>25</v>
      </c>
      <c r="B142" s="2" t="s">
        <v>136</v>
      </c>
      <c r="C142" s="2" t="s">
        <v>139</v>
      </c>
      <c r="D142" s="2" t="s">
        <v>9</v>
      </c>
      <c r="E142" s="2" t="s">
        <v>7</v>
      </c>
      <c r="G142" s="13" t="s">
        <v>14</v>
      </c>
      <c r="H142" s="13"/>
      <c r="I142" s="23"/>
      <c r="J142" s="23"/>
      <c r="K142" s="23"/>
    </row>
    <row r="143" spans="1:11" ht="16.5" customHeight="1" x14ac:dyDescent="0.25">
      <c r="A143" s="1" t="s">
        <v>25</v>
      </c>
      <c r="B143" s="2" t="s">
        <v>136</v>
      </c>
      <c r="C143" s="2" t="s">
        <v>140</v>
      </c>
      <c r="D143" s="2" t="s">
        <v>9</v>
      </c>
      <c r="E143" s="2" t="s">
        <v>7</v>
      </c>
      <c r="F143" s="1"/>
      <c r="G143" s="13" t="s">
        <v>14</v>
      </c>
      <c r="H143" s="13"/>
      <c r="I143" s="23"/>
      <c r="J143" s="23"/>
      <c r="K143" s="23"/>
    </row>
    <row r="144" spans="1:11" ht="16.5" customHeight="1" x14ac:dyDescent="0.25">
      <c r="A144" s="1" t="s">
        <v>25</v>
      </c>
      <c r="B144" s="2" t="s">
        <v>136</v>
      </c>
      <c r="C144" s="2" t="s">
        <v>141</v>
      </c>
      <c r="D144" s="2" t="s">
        <v>9</v>
      </c>
      <c r="E144" s="2" t="s">
        <v>7</v>
      </c>
      <c r="F144" s="1"/>
      <c r="G144" s="13" t="s">
        <v>14</v>
      </c>
      <c r="H144" s="13"/>
      <c r="I144" s="23"/>
      <c r="J144" s="23"/>
      <c r="K144" s="23"/>
    </row>
    <row r="145" spans="1:11" ht="16.5" customHeight="1" x14ac:dyDescent="0.25">
      <c r="A145" s="1" t="s">
        <v>25</v>
      </c>
      <c r="B145" s="2" t="s">
        <v>136</v>
      </c>
      <c r="C145" s="2" t="s">
        <v>142</v>
      </c>
      <c r="D145" s="2" t="s">
        <v>9</v>
      </c>
      <c r="E145" s="2" t="s">
        <v>7</v>
      </c>
      <c r="F145" s="1"/>
      <c r="G145" s="13" t="s">
        <v>14</v>
      </c>
      <c r="H145" s="13"/>
      <c r="I145" s="23"/>
      <c r="J145" s="23"/>
      <c r="K145" s="23"/>
    </row>
    <row r="146" spans="1:11" ht="16.5" customHeight="1" x14ac:dyDescent="0.25">
      <c r="A146" s="1" t="s">
        <v>25</v>
      </c>
      <c r="B146" s="2" t="s">
        <v>136</v>
      </c>
      <c r="C146" s="1" t="s">
        <v>143</v>
      </c>
      <c r="D146" s="2" t="s">
        <v>9</v>
      </c>
      <c r="E146" s="2" t="s">
        <v>7</v>
      </c>
      <c r="F146" s="1"/>
      <c r="G146" s="13" t="s">
        <v>14</v>
      </c>
      <c r="H146" s="13"/>
      <c r="I146" s="23"/>
      <c r="J146" s="23"/>
      <c r="K146" s="23"/>
    </row>
    <row r="147" spans="1:11" ht="16.5" customHeight="1" x14ac:dyDescent="0.25">
      <c r="A147" s="1" t="s">
        <v>25</v>
      </c>
      <c r="B147" s="2" t="s">
        <v>136</v>
      </c>
      <c r="C147" s="1" t="s">
        <v>144</v>
      </c>
      <c r="D147" s="2" t="s">
        <v>9</v>
      </c>
      <c r="E147" s="2" t="s">
        <v>7</v>
      </c>
      <c r="F147" s="1"/>
      <c r="G147" s="13" t="s">
        <v>14</v>
      </c>
      <c r="H147" s="13"/>
      <c r="I147" s="23"/>
      <c r="J147" s="23"/>
      <c r="K147" s="23"/>
    </row>
    <row r="148" spans="1:11" ht="16.5" customHeight="1" x14ac:dyDescent="0.25">
      <c r="A148" s="1" t="s">
        <v>25</v>
      </c>
      <c r="B148" s="2" t="s">
        <v>136</v>
      </c>
      <c r="C148" s="1" t="s">
        <v>145</v>
      </c>
      <c r="D148" s="2" t="s">
        <v>9</v>
      </c>
      <c r="E148" s="2" t="s">
        <v>7</v>
      </c>
      <c r="F148" s="1"/>
      <c r="G148" s="13" t="s">
        <v>14</v>
      </c>
      <c r="H148" s="13"/>
      <c r="I148" s="23"/>
      <c r="J148" s="23"/>
      <c r="K148" s="23"/>
    </row>
    <row r="149" spans="1:11" ht="16.5" customHeight="1" x14ac:dyDescent="0.25">
      <c r="A149" s="1" t="s">
        <v>25</v>
      </c>
      <c r="B149" s="2" t="s">
        <v>136</v>
      </c>
      <c r="C149" s="2" t="s">
        <v>146</v>
      </c>
      <c r="D149" s="2" t="s">
        <v>9</v>
      </c>
      <c r="E149" s="2" t="s">
        <v>7</v>
      </c>
      <c r="F149" s="1"/>
      <c r="G149" s="13" t="s">
        <v>14</v>
      </c>
      <c r="H149" s="13"/>
      <c r="I149" s="23"/>
      <c r="J149" s="23"/>
      <c r="K149" s="23"/>
    </row>
    <row r="150" spans="1:11" ht="16.5" customHeight="1" x14ac:dyDescent="0.25">
      <c r="A150" s="1" t="s">
        <v>25</v>
      </c>
      <c r="B150" s="2" t="s">
        <v>136</v>
      </c>
      <c r="C150" s="2" t="s">
        <v>147</v>
      </c>
      <c r="D150" s="2" t="s">
        <v>9</v>
      </c>
      <c r="E150" s="2" t="s">
        <v>7</v>
      </c>
      <c r="F150" s="1"/>
      <c r="G150" s="13" t="s">
        <v>14</v>
      </c>
      <c r="H150" s="13"/>
      <c r="I150" s="23"/>
      <c r="J150" s="23"/>
      <c r="K150" s="23"/>
    </row>
    <row r="151" spans="1:11" ht="16.5" customHeight="1" x14ac:dyDescent="0.25">
      <c r="A151" s="1" t="s">
        <v>25</v>
      </c>
      <c r="B151" s="2" t="s">
        <v>25</v>
      </c>
      <c r="C151" s="2" t="s">
        <v>148</v>
      </c>
      <c r="D151" s="2" t="s">
        <v>9</v>
      </c>
      <c r="E151" s="2" t="s">
        <v>7</v>
      </c>
      <c r="F151" s="1"/>
      <c r="G151" s="13" t="s">
        <v>14</v>
      </c>
      <c r="H151" s="13"/>
      <c r="I151" s="23"/>
      <c r="J151" s="23"/>
      <c r="K151" s="23"/>
    </row>
    <row r="152" spans="1:11" ht="16.5" customHeight="1" x14ac:dyDescent="0.25">
      <c r="A152" s="1" t="s">
        <v>25</v>
      </c>
      <c r="B152" s="2" t="s">
        <v>25</v>
      </c>
      <c r="C152" s="2" t="s">
        <v>149</v>
      </c>
      <c r="D152" s="2" t="s">
        <v>9</v>
      </c>
      <c r="E152" s="2" t="s">
        <v>7</v>
      </c>
      <c r="F152" s="1"/>
      <c r="G152" s="13" t="s">
        <v>14</v>
      </c>
      <c r="H152" s="13"/>
      <c r="I152" s="23"/>
      <c r="J152" s="23"/>
      <c r="K152" s="23"/>
    </row>
    <row r="153" spans="1:11" ht="16.5" customHeight="1" x14ac:dyDescent="0.25">
      <c r="A153" s="1" t="s">
        <v>25</v>
      </c>
      <c r="B153" s="2" t="s">
        <v>25</v>
      </c>
      <c r="C153" s="2" t="s">
        <v>150</v>
      </c>
      <c r="D153" s="2" t="s">
        <v>9</v>
      </c>
      <c r="E153" s="2" t="s">
        <v>7</v>
      </c>
      <c r="F153" s="1"/>
      <c r="G153" s="13" t="s">
        <v>14</v>
      </c>
      <c r="H153" s="13"/>
      <c r="I153" s="23"/>
      <c r="J153" s="23"/>
      <c r="K153" s="23"/>
    </row>
    <row r="154" spans="1:11" ht="16.5" customHeight="1" x14ac:dyDescent="0.25">
      <c r="A154" s="1" t="s">
        <v>25</v>
      </c>
      <c r="B154" s="2" t="s">
        <v>25</v>
      </c>
      <c r="C154" s="2" t="s">
        <v>151</v>
      </c>
      <c r="D154" s="2" t="s">
        <v>9</v>
      </c>
      <c r="E154" s="2" t="s">
        <v>7</v>
      </c>
      <c r="G154" s="13" t="s">
        <v>14</v>
      </c>
      <c r="H154" s="13"/>
      <c r="I154" s="23"/>
      <c r="J154" s="23"/>
      <c r="K154" s="23"/>
    </row>
    <row r="155" spans="1:11" ht="16.5" customHeight="1" x14ac:dyDescent="0.25">
      <c r="A155" s="1" t="s">
        <v>25</v>
      </c>
      <c r="B155" s="2" t="s">
        <v>25</v>
      </c>
      <c r="C155" s="2" t="s">
        <v>152</v>
      </c>
      <c r="D155" s="2" t="s">
        <v>9</v>
      </c>
      <c r="E155" s="2" t="s">
        <v>7</v>
      </c>
      <c r="G155" s="13" t="s">
        <v>14</v>
      </c>
      <c r="H155" s="13"/>
      <c r="I155" s="23"/>
      <c r="J155" s="23"/>
      <c r="K155" s="23"/>
    </row>
    <row r="156" spans="1:11" ht="16.5" customHeight="1" x14ac:dyDescent="0.25">
      <c r="A156" s="1" t="s">
        <v>25</v>
      </c>
      <c r="B156" s="2" t="s">
        <v>25</v>
      </c>
      <c r="C156" s="2" t="s">
        <v>153</v>
      </c>
      <c r="D156" s="2" t="s">
        <v>9</v>
      </c>
      <c r="E156" s="2" t="s">
        <v>7</v>
      </c>
      <c r="G156" s="13" t="s">
        <v>14</v>
      </c>
      <c r="H156" s="13"/>
      <c r="I156" s="23"/>
      <c r="J156" s="23"/>
      <c r="K156" s="23"/>
    </row>
    <row r="157" spans="1:11" ht="16.5" customHeight="1" x14ac:dyDescent="0.25">
      <c r="A157" s="1" t="s">
        <v>25</v>
      </c>
      <c r="B157" s="2" t="s">
        <v>25</v>
      </c>
      <c r="C157" s="2" t="s">
        <v>154</v>
      </c>
      <c r="D157" s="2" t="s">
        <v>9</v>
      </c>
      <c r="E157" s="2" t="s">
        <v>7</v>
      </c>
      <c r="G157" s="13" t="s">
        <v>14</v>
      </c>
      <c r="H157" s="13"/>
      <c r="I157" s="23"/>
      <c r="J157" s="23"/>
      <c r="K157" s="23"/>
    </row>
    <row r="158" spans="1:11" ht="16.5" customHeight="1" x14ac:dyDescent="0.25">
      <c r="A158" s="1" t="s">
        <v>25</v>
      </c>
      <c r="B158" s="2" t="s">
        <v>25</v>
      </c>
      <c r="C158" s="2" t="s">
        <v>155</v>
      </c>
      <c r="D158" s="2" t="s">
        <v>9</v>
      </c>
      <c r="E158" s="2" t="s">
        <v>7</v>
      </c>
      <c r="F158" s="1"/>
      <c r="G158" s="13" t="s">
        <v>14</v>
      </c>
      <c r="H158" s="13"/>
      <c r="I158" s="23"/>
      <c r="J158" s="23"/>
      <c r="K158" s="23"/>
    </row>
    <row r="159" spans="1:11" ht="16.5" customHeight="1" x14ac:dyDescent="0.25">
      <c r="A159" s="1" t="s">
        <v>25</v>
      </c>
      <c r="B159" s="2" t="s">
        <v>25</v>
      </c>
      <c r="C159" s="2" t="s">
        <v>156</v>
      </c>
      <c r="D159" s="2" t="s">
        <v>9</v>
      </c>
      <c r="E159" s="2" t="s">
        <v>7</v>
      </c>
      <c r="G159" s="13" t="s">
        <v>14</v>
      </c>
      <c r="H159" s="13"/>
      <c r="I159" s="23"/>
      <c r="J159" s="23"/>
      <c r="K159" s="23"/>
    </row>
    <row r="160" spans="1:11" ht="16.5" customHeight="1" x14ac:dyDescent="0.25">
      <c r="B160" s="2"/>
      <c r="G160" s="13"/>
      <c r="H160" s="13"/>
      <c r="I160" s="23"/>
      <c r="J160" s="23"/>
      <c r="K160" s="23"/>
    </row>
    <row r="161" spans="1:11" ht="16.5" customHeight="1" x14ac:dyDescent="0.25">
      <c r="A161" s="2"/>
      <c r="B161" s="2"/>
      <c r="G161" s="3"/>
      <c r="I161" s="23"/>
      <c r="J161" s="23"/>
      <c r="K161" s="23"/>
    </row>
    <row r="162" spans="1:11" ht="16.5" customHeight="1" x14ac:dyDescent="0.25">
      <c r="A162" s="2"/>
      <c r="B162" s="2"/>
      <c r="G162" s="3"/>
      <c r="I162" s="23"/>
      <c r="J162" s="23"/>
      <c r="K162" s="23"/>
    </row>
    <row r="163" spans="1:11" ht="16.5" customHeight="1" x14ac:dyDescent="0.25">
      <c r="I163" s="23"/>
      <c r="J163" s="23"/>
      <c r="K163" s="23"/>
    </row>
    <row r="164" spans="1:11" ht="16.5" customHeight="1" x14ac:dyDescent="0.25">
      <c r="I164" s="23"/>
      <c r="J164" s="23"/>
      <c r="K164" s="23"/>
    </row>
    <row r="165" spans="1:11" ht="16.5" customHeight="1" x14ac:dyDescent="0.25">
      <c r="I165" s="23"/>
      <c r="J165" s="23"/>
      <c r="K165" s="23"/>
    </row>
    <row r="166" spans="1:11" ht="16.5" customHeight="1" x14ac:dyDescent="0.25">
      <c r="I166" s="23"/>
      <c r="J166" s="23"/>
      <c r="K166" s="23"/>
    </row>
    <row r="167" spans="1:11" ht="16.5" customHeight="1" x14ac:dyDescent="0.25">
      <c r="I167" s="23"/>
      <c r="J167" s="23"/>
      <c r="K167" s="23"/>
    </row>
    <row r="168" spans="1:11" ht="16.5" customHeight="1" x14ac:dyDescent="0.25">
      <c r="I168" s="23"/>
      <c r="J168" s="23"/>
      <c r="K168" s="23"/>
    </row>
    <row r="169" spans="1:11" ht="16.5" customHeight="1" x14ac:dyDescent="0.25">
      <c r="I169" s="23"/>
      <c r="J169" s="23"/>
      <c r="K169" s="23"/>
    </row>
    <row r="170" spans="1:11" ht="16.5" customHeight="1" x14ac:dyDescent="0.25">
      <c r="I170" s="23"/>
      <c r="J170" s="23"/>
      <c r="K170" s="23"/>
    </row>
    <row r="171" spans="1:11" ht="16.5" customHeight="1" x14ac:dyDescent="0.25">
      <c r="I171" s="23"/>
      <c r="J171" s="23"/>
      <c r="K171" s="23"/>
    </row>
    <row r="172" spans="1:11" ht="16.5" customHeight="1" x14ac:dyDescent="0.25">
      <c r="I172" s="23"/>
      <c r="J172" s="23"/>
      <c r="K172" s="23"/>
    </row>
    <row r="173" spans="1:11" ht="16.5" customHeight="1" x14ac:dyDescent="0.25">
      <c r="I173" s="23"/>
      <c r="J173" s="23"/>
      <c r="K173" s="23"/>
    </row>
    <row r="174" spans="1:11" ht="16.5" customHeight="1" x14ac:dyDescent="0.25">
      <c r="I174" s="23"/>
      <c r="J174" s="23"/>
      <c r="K174" s="23"/>
    </row>
    <row r="175" spans="1:11" ht="16.5" customHeight="1" x14ac:dyDescent="0.25">
      <c r="I175" s="23"/>
      <c r="J175" s="23"/>
      <c r="K175" s="23"/>
    </row>
    <row r="176" spans="1:11" ht="16.5" customHeight="1" x14ac:dyDescent="0.25">
      <c r="I176" s="23"/>
      <c r="J176" s="23"/>
      <c r="K176" s="23"/>
    </row>
    <row r="177" spans="9:11" ht="16.5" customHeight="1" x14ac:dyDescent="0.25">
      <c r="I177" s="23"/>
      <c r="J177" s="23"/>
      <c r="K177" s="23"/>
    </row>
    <row r="178" spans="9:11" ht="16.5" customHeight="1" x14ac:dyDescent="0.25">
      <c r="I178" s="23"/>
      <c r="J178" s="23"/>
      <c r="K178" s="23"/>
    </row>
    <row r="179" spans="9:11" ht="16.5" customHeight="1" x14ac:dyDescent="0.25">
      <c r="I179" s="23"/>
      <c r="J179" s="23"/>
      <c r="K179" s="23"/>
    </row>
    <row r="180" spans="9:11" ht="16.5" customHeight="1" x14ac:dyDescent="0.25">
      <c r="I180" s="23"/>
      <c r="J180" s="23"/>
      <c r="K180" s="23"/>
    </row>
    <row r="181" spans="9:11" ht="16.5" customHeight="1" x14ac:dyDescent="0.25">
      <c r="I181" s="23"/>
      <c r="J181" s="23"/>
      <c r="K181" s="23"/>
    </row>
    <row r="182" spans="9:11" ht="16.5" customHeight="1" x14ac:dyDescent="0.25">
      <c r="I182" s="23"/>
      <c r="J182" s="23"/>
      <c r="K182" s="23"/>
    </row>
    <row r="183" spans="9:11" ht="16.5" customHeight="1" x14ac:dyDescent="0.25">
      <c r="I183" s="23"/>
      <c r="J183" s="23"/>
      <c r="K183" s="23"/>
    </row>
    <row r="184" spans="9:11" ht="16.5" customHeight="1" x14ac:dyDescent="0.25">
      <c r="I184" s="23"/>
      <c r="J184" s="23"/>
      <c r="K184" s="23"/>
    </row>
    <row r="185" spans="9:11" ht="16.5" customHeight="1" x14ac:dyDescent="0.25">
      <c r="I185" s="23"/>
      <c r="J185" s="23"/>
      <c r="K185" s="23"/>
    </row>
    <row r="186" spans="9:11" ht="16.5" customHeight="1" x14ac:dyDescent="0.25">
      <c r="I186" s="23"/>
      <c r="J186" s="23"/>
      <c r="K186" s="23"/>
    </row>
    <row r="187" spans="9:11" ht="16.5" customHeight="1" x14ac:dyDescent="0.25">
      <c r="I187" s="23"/>
      <c r="J187" s="23"/>
      <c r="K187" s="23"/>
    </row>
    <row r="188" spans="9:11" ht="16.5" customHeight="1" x14ac:dyDescent="0.25">
      <c r="I188" s="23"/>
      <c r="J188" s="23"/>
      <c r="K188" s="23"/>
    </row>
    <row r="189" spans="9:11" ht="16.5" customHeight="1" x14ac:dyDescent="0.25">
      <c r="I189" s="23"/>
      <c r="J189" s="23"/>
      <c r="K189" s="23"/>
    </row>
    <row r="190" spans="9:11" ht="16.5" customHeight="1" x14ac:dyDescent="0.25">
      <c r="I190" s="23"/>
      <c r="J190" s="23"/>
      <c r="K190" s="23"/>
    </row>
    <row r="191" spans="9:11" ht="16.5" customHeight="1" x14ac:dyDescent="0.25">
      <c r="I191" s="23"/>
      <c r="J191" s="23"/>
      <c r="K191" s="23"/>
    </row>
    <row r="192" spans="9:11" ht="16.5" customHeight="1" x14ac:dyDescent="0.25">
      <c r="I192" s="23"/>
      <c r="J192" s="23"/>
      <c r="K192" s="23"/>
    </row>
    <row r="193" spans="9:11" ht="16.5" customHeight="1" x14ac:dyDescent="0.25">
      <c r="I193" s="23"/>
      <c r="J193" s="23"/>
      <c r="K193" s="23"/>
    </row>
    <row r="194" spans="9:11" ht="16.5" customHeight="1" x14ac:dyDescent="0.25">
      <c r="I194" s="23"/>
      <c r="J194" s="23"/>
      <c r="K194" s="23"/>
    </row>
    <row r="195" spans="9:11" ht="16.5" customHeight="1" x14ac:dyDescent="0.25">
      <c r="I195" s="23"/>
      <c r="J195" s="23"/>
      <c r="K195" s="23"/>
    </row>
    <row r="196" spans="9:11" ht="16.5" customHeight="1" x14ac:dyDescent="0.25">
      <c r="I196" s="23"/>
      <c r="J196" s="23"/>
      <c r="K196" s="23"/>
    </row>
    <row r="197" spans="9:11" ht="16.5" customHeight="1" x14ac:dyDescent="0.25">
      <c r="I197" s="23"/>
      <c r="J197" s="23"/>
      <c r="K197" s="23"/>
    </row>
    <row r="198" spans="9:11" ht="16.5" customHeight="1" x14ac:dyDescent="0.25">
      <c r="I198" s="23"/>
      <c r="J198" s="23"/>
      <c r="K198" s="23"/>
    </row>
    <row r="199" spans="9:11" ht="16.5" customHeight="1" x14ac:dyDescent="0.25">
      <c r="I199" s="23"/>
      <c r="J199" s="23"/>
      <c r="K199" s="23"/>
    </row>
    <row r="200" spans="9:11" ht="16.5" customHeight="1" x14ac:dyDescent="0.25">
      <c r="I200" s="23"/>
      <c r="J200" s="23"/>
      <c r="K200" s="23"/>
    </row>
    <row r="201" spans="9:11" ht="16.5" customHeight="1" x14ac:dyDescent="0.25">
      <c r="I201" s="23"/>
      <c r="J201" s="23"/>
      <c r="K201" s="23"/>
    </row>
    <row r="202" spans="9:11" ht="16.5" customHeight="1" x14ac:dyDescent="0.25">
      <c r="I202" s="23"/>
      <c r="J202" s="23"/>
      <c r="K202" s="23"/>
    </row>
    <row r="203" spans="9:11" ht="16.5" customHeight="1" x14ac:dyDescent="0.25">
      <c r="I203" s="23"/>
      <c r="J203" s="23"/>
      <c r="K203" s="23"/>
    </row>
    <row r="204" spans="9:11" ht="16.5" customHeight="1" x14ac:dyDescent="0.25">
      <c r="I204" s="23"/>
      <c r="J204" s="23"/>
      <c r="K204" s="23"/>
    </row>
    <row r="205" spans="9:11" ht="16.5" customHeight="1" x14ac:dyDescent="0.25">
      <c r="I205" s="23"/>
      <c r="J205" s="23"/>
      <c r="K205" s="23"/>
    </row>
    <row r="206" spans="9:11" ht="16.5" customHeight="1" x14ac:dyDescent="0.25">
      <c r="I206" s="23"/>
      <c r="J206" s="23"/>
      <c r="K206" s="23"/>
    </row>
    <row r="207" spans="9:11" ht="16.5" customHeight="1" x14ac:dyDescent="0.25">
      <c r="I207" s="23"/>
      <c r="J207" s="23"/>
      <c r="K207" s="23"/>
    </row>
    <row r="208" spans="9:11" ht="16.5" customHeight="1" x14ac:dyDescent="0.25">
      <c r="I208" s="23"/>
      <c r="J208" s="23"/>
      <c r="K208" s="23"/>
    </row>
    <row r="209" spans="9:11" ht="16.5" customHeight="1" x14ac:dyDescent="0.25">
      <c r="I209" s="23"/>
      <c r="J209" s="23"/>
      <c r="K209" s="23"/>
    </row>
    <row r="210" spans="9:11" ht="16.5" customHeight="1" x14ac:dyDescent="0.25">
      <c r="I210" s="23"/>
      <c r="J210" s="23"/>
      <c r="K210" s="23"/>
    </row>
    <row r="211" spans="9:11" ht="16.5" customHeight="1" x14ac:dyDescent="0.25">
      <c r="I211" s="23"/>
      <c r="J211" s="23"/>
      <c r="K211" s="23"/>
    </row>
    <row r="212" spans="9:11" ht="16.5" customHeight="1" x14ac:dyDescent="0.25">
      <c r="I212" s="23"/>
      <c r="J212" s="23"/>
      <c r="K212" s="23"/>
    </row>
    <row r="213" spans="9:11" ht="16.5" customHeight="1" x14ac:dyDescent="0.25">
      <c r="I213" s="23"/>
      <c r="J213" s="23"/>
      <c r="K213" s="23"/>
    </row>
    <row r="214" spans="9:11" ht="16.5" customHeight="1" x14ac:dyDescent="0.25">
      <c r="I214" s="23"/>
      <c r="J214" s="23"/>
      <c r="K214" s="23"/>
    </row>
    <row r="215" spans="9:11" ht="16.5" customHeight="1" x14ac:dyDescent="0.25">
      <c r="I215" s="23"/>
      <c r="J215" s="23"/>
      <c r="K215" s="23"/>
    </row>
    <row r="216" spans="9:11" x14ac:dyDescent="0.25">
      <c r="I216" s="23"/>
      <c r="J216" s="23"/>
      <c r="K216" s="23"/>
    </row>
    <row r="217" spans="9:11" x14ac:dyDescent="0.25">
      <c r="I217" s="23"/>
      <c r="J217" s="23"/>
      <c r="K217" s="23"/>
    </row>
    <row r="218" spans="9:11" x14ac:dyDescent="0.25">
      <c r="I218" s="23"/>
      <c r="J218" s="23"/>
      <c r="K218" s="23"/>
    </row>
    <row r="219" spans="9:11" x14ac:dyDescent="0.25">
      <c r="I219" s="23"/>
      <c r="J219" s="23"/>
      <c r="K219" s="23"/>
    </row>
    <row r="220" spans="9:11" x14ac:dyDescent="0.25">
      <c r="I220" s="23"/>
      <c r="J220" s="23"/>
      <c r="K220" s="23"/>
    </row>
    <row r="221" spans="9:11" x14ac:dyDescent="0.25">
      <c r="I221" s="23"/>
      <c r="J221" s="23"/>
      <c r="K221" s="23"/>
    </row>
    <row r="222" spans="9:11" x14ac:dyDescent="0.25">
      <c r="I222" s="23"/>
      <c r="J222" s="23"/>
      <c r="K222" s="23"/>
    </row>
    <row r="223" spans="9:11" x14ac:dyDescent="0.25">
      <c r="I223" s="23"/>
      <c r="J223" s="23"/>
      <c r="K223" s="23"/>
    </row>
    <row r="224" spans="9:11" x14ac:dyDescent="0.25">
      <c r="I224" s="23"/>
      <c r="J224" s="23"/>
      <c r="K224" s="23"/>
    </row>
    <row r="225" spans="9:11" x14ac:dyDescent="0.25">
      <c r="I225" s="23"/>
      <c r="J225" s="23"/>
      <c r="K225" s="23"/>
    </row>
    <row r="226" spans="9:11" x14ac:dyDescent="0.25">
      <c r="I226" s="23"/>
      <c r="J226" s="23"/>
      <c r="K226" s="23"/>
    </row>
    <row r="227" spans="9:11" x14ac:dyDescent="0.25">
      <c r="I227" s="23"/>
      <c r="J227" s="23"/>
      <c r="K227" s="23"/>
    </row>
    <row r="228" spans="9:11" x14ac:dyDescent="0.25">
      <c r="I228" s="23"/>
      <c r="J228" s="23"/>
      <c r="K228" s="23"/>
    </row>
    <row r="229" spans="9:11" x14ac:dyDescent="0.25">
      <c r="I229" s="23"/>
      <c r="J229" s="23"/>
      <c r="K229" s="23"/>
    </row>
    <row r="230" spans="9:11" x14ac:dyDescent="0.25">
      <c r="I230" s="23"/>
      <c r="J230" s="23"/>
      <c r="K230" s="23"/>
    </row>
    <row r="231" spans="9:11" x14ac:dyDescent="0.25">
      <c r="I231" s="23"/>
      <c r="J231" s="23"/>
      <c r="K231" s="23"/>
    </row>
    <row r="232" spans="9:11" x14ac:dyDescent="0.25">
      <c r="I232" s="23"/>
      <c r="J232" s="23"/>
      <c r="K232" s="23"/>
    </row>
    <row r="233" spans="9:11" x14ac:dyDescent="0.25">
      <c r="I233" s="23"/>
      <c r="J233" s="23"/>
      <c r="K233" s="23"/>
    </row>
    <row r="234" spans="9:11" x14ac:dyDescent="0.25">
      <c r="I234" s="23"/>
      <c r="J234" s="23"/>
      <c r="K234" s="23"/>
    </row>
    <row r="235" spans="9:11" x14ac:dyDescent="0.25">
      <c r="I235" s="23"/>
      <c r="J235" s="23"/>
      <c r="K235" s="23"/>
    </row>
    <row r="236" spans="9:11" x14ac:dyDescent="0.25">
      <c r="I236" s="23"/>
      <c r="J236" s="23"/>
      <c r="K236" s="23"/>
    </row>
    <row r="237" spans="9:11" x14ac:dyDescent="0.25">
      <c r="I237" s="23"/>
      <c r="J237" s="23"/>
      <c r="K237" s="23"/>
    </row>
    <row r="238" spans="9:11" x14ac:dyDescent="0.25">
      <c r="I238" s="23"/>
      <c r="J238" s="23"/>
      <c r="K238" s="23"/>
    </row>
    <row r="239" spans="9:11" x14ac:dyDescent="0.25">
      <c r="I239" s="23"/>
      <c r="J239" s="23"/>
      <c r="K239" s="23"/>
    </row>
    <row r="240" spans="9:11" x14ac:dyDescent="0.25">
      <c r="I240" s="23"/>
      <c r="J240" s="23"/>
      <c r="K240" s="23"/>
    </row>
    <row r="241" spans="9:11" x14ac:dyDescent="0.25">
      <c r="I241" s="23"/>
      <c r="J241" s="23"/>
      <c r="K241" s="23"/>
    </row>
    <row r="242" spans="9:11" x14ac:dyDescent="0.25">
      <c r="I242" s="23"/>
      <c r="J242" s="23"/>
      <c r="K242" s="23"/>
    </row>
    <row r="243" spans="9:11" x14ac:dyDescent="0.25">
      <c r="I243" s="23"/>
      <c r="J243" s="23"/>
      <c r="K243" s="23"/>
    </row>
    <row r="244" spans="9:11" x14ac:dyDescent="0.25">
      <c r="I244" s="23"/>
      <c r="J244" s="23"/>
      <c r="K244" s="23"/>
    </row>
    <row r="245" spans="9:11" x14ac:dyDescent="0.25">
      <c r="I245" s="23"/>
      <c r="J245" s="23"/>
      <c r="K245" s="23"/>
    </row>
    <row r="246" spans="9:11" x14ac:dyDescent="0.25">
      <c r="I246" s="23"/>
      <c r="J246" s="23"/>
      <c r="K246" s="23"/>
    </row>
    <row r="247" spans="9:11" x14ac:dyDescent="0.25">
      <c r="I247" s="23"/>
      <c r="J247" s="23"/>
      <c r="K247" s="23"/>
    </row>
    <row r="248" spans="9:11" x14ac:dyDescent="0.25">
      <c r="I248" s="23"/>
      <c r="J248" s="23"/>
      <c r="K248" s="23"/>
    </row>
    <row r="249" spans="9:11" x14ac:dyDescent="0.25">
      <c r="I249" s="23"/>
      <c r="J249" s="23"/>
      <c r="K249" s="23"/>
    </row>
    <row r="250" spans="9:11" x14ac:dyDescent="0.25">
      <c r="I250" s="23"/>
      <c r="J250" s="23"/>
      <c r="K250" s="23"/>
    </row>
    <row r="251" spans="9:11" x14ac:dyDescent="0.25">
      <c r="I251" s="23"/>
      <c r="J251" s="23"/>
      <c r="K251" s="23"/>
    </row>
    <row r="252" spans="9:11" x14ac:dyDescent="0.25">
      <c r="I252" s="23"/>
      <c r="J252" s="23"/>
      <c r="K252" s="23"/>
    </row>
    <row r="253" spans="9:11" x14ac:dyDescent="0.25">
      <c r="I253" s="23"/>
      <c r="J253" s="23"/>
      <c r="K253" s="23"/>
    </row>
    <row r="254" spans="9:11" x14ac:dyDescent="0.25">
      <c r="I254" s="23"/>
      <c r="J254" s="23"/>
      <c r="K254" s="23"/>
    </row>
    <row r="255" spans="9:11" x14ac:dyDescent="0.25">
      <c r="I255" s="23"/>
      <c r="J255" s="23"/>
      <c r="K255" s="23"/>
    </row>
    <row r="256" spans="9:11" x14ac:dyDescent="0.25">
      <c r="I256" s="23"/>
      <c r="J256" s="23"/>
      <c r="K256" s="23"/>
    </row>
    <row r="257" spans="9:11" x14ac:dyDescent="0.25">
      <c r="I257" s="23"/>
      <c r="J257" s="23"/>
      <c r="K257" s="23"/>
    </row>
    <row r="258" spans="9:11" x14ac:dyDescent="0.25">
      <c r="I258" s="23"/>
      <c r="J258" s="23"/>
      <c r="K258" s="23"/>
    </row>
    <row r="259" spans="9:11" x14ac:dyDescent="0.25">
      <c r="I259" s="23"/>
      <c r="J259" s="23"/>
      <c r="K259" s="23"/>
    </row>
    <row r="260" spans="9:11" x14ac:dyDescent="0.25">
      <c r="I260" s="23"/>
      <c r="J260" s="23"/>
      <c r="K260" s="23"/>
    </row>
    <row r="261" spans="9:11" x14ac:dyDescent="0.25">
      <c r="I261" s="23"/>
      <c r="J261" s="23"/>
      <c r="K261" s="23"/>
    </row>
    <row r="262" spans="9:11" x14ac:dyDescent="0.25">
      <c r="I262" s="23"/>
      <c r="J262" s="23"/>
      <c r="K262" s="23"/>
    </row>
    <row r="263" spans="9:11" x14ac:dyDescent="0.25">
      <c r="I263" s="23"/>
      <c r="J263" s="23"/>
      <c r="K263" s="23"/>
    </row>
    <row r="264" spans="9:11" x14ac:dyDescent="0.25">
      <c r="I264" s="23"/>
      <c r="J264" s="23"/>
      <c r="K264" s="23"/>
    </row>
    <row r="265" spans="9:11" x14ac:dyDescent="0.25">
      <c r="I265" s="23"/>
      <c r="J265" s="23"/>
      <c r="K265" s="23"/>
    </row>
    <row r="266" spans="9:11" x14ac:dyDescent="0.25">
      <c r="I266" s="23"/>
      <c r="J266" s="23"/>
      <c r="K266" s="23"/>
    </row>
    <row r="267" spans="9:11" x14ac:dyDescent="0.25">
      <c r="I267" s="23"/>
      <c r="J267" s="23"/>
      <c r="K267" s="23"/>
    </row>
    <row r="268" spans="9:11" x14ac:dyDescent="0.25">
      <c r="I268" s="23"/>
      <c r="J268" s="23"/>
      <c r="K268" s="23"/>
    </row>
    <row r="269" spans="9:11" x14ac:dyDescent="0.25">
      <c r="I269" s="23"/>
      <c r="J269" s="23"/>
      <c r="K269" s="23"/>
    </row>
    <row r="270" spans="9:11" x14ac:dyDescent="0.25">
      <c r="I270" s="23"/>
      <c r="J270" s="23"/>
      <c r="K270" s="23"/>
    </row>
    <row r="271" spans="9:11" x14ac:dyDescent="0.25">
      <c r="I271" s="23"/>
      <c r="J271" s="23"/>
      <c r="K271" s="23"/>
    </row>
    <row r="272" spans="9:11" x14ac:dyDescent="0.25">
      <c r="I272" s="23"/>
      <c r="J272" s="23"/>
      <c r="K272" s="23"/>
    </row>
    <row r="273" spans="9:11" x14ac:dyDescent="0.25">
      <c r="I273" s="23"/>
      <c r="J273" s="23"/>
      <c r="K273" s="23"/>
    </row>
    <row r="274" spans="9:11" x14ac:dyDescent="0.25">
      <c r="I274" s="23"/>
      <c r="J274" s="23"/>
      <c r="K274" s="23"/>
    </row>
    <row r="275" spans="9:11" x14ac:dyDescent="0.25">
      <c r="I275" s="23"/>
      <c r="J275" s="23"/>
      <c r="K275" s="23"/>
    </row>
    <row r="276" spans="9:11" x14ac:dyDescent="0.25">
      <c r="I276" s="23"/>
      <c r="J276" s="23"/>
      <c r="K276" s="23"/>
    </row>
    <row r="277" spans="9:11" x14ac:dyDescent="0.25">
      <c r="I277" s="23"/>
      <c r="J277" s="23"/>
      <c r="K277" s="23"/>
    </row>
    <row r="278" spans="9:11" x14ac:dyDescent="0.25">
      <c r="I278" s="23"/>
      <c r="J278" s="23"/>
      <c r="K278" s="23"/>
    </row>
    <row r="279" spans="9:11" x14ac:dyDescent="0.25">
      <c r="I279" s="23"/>
      <c r="J279" s="23"/>
      <c r="K279" s="23"/>
    </row>
    <row r="280" spans="9:11" x14ac:dyDescent="0.25">
      <c r="I280" s="23"/>
      <c r="J280" s="23"/>
      <c r="K280" s="23"/>
    </row>
    <row r="281" spans="9:11" x14ac:dyDescent="0.25">
      <c r="I281" s="23"/>
      <c r="J281" s="23"/>
      <c r="K281" s="23"/>
    </row>
    <row r="282" spans="9:11" x14ac:dyDescent="0.25">
      <c r="I282" s="23"/>
      <c r="J282" s="23"/>
      <c r="K282" s="23"/>
    </row>
    <row r="283" spans="9:11" x14ac:dyDescent="0.25">
      <c r="I283" s="23"/>
      <c r="J283" s="23"/>
      <c r="K283" s="23"/>
    </row>
    <row r="284" spans="9:11" x14ac:dyDescent="0.25">
      <c r="I284" s="23"/>
      <c r="J284" s="23"/>
      <c r="K284" s="23"/>
    </row>
    <row r="285" spans="9:11" x14ac:dyDescent="0.25">
      <c r="I285" s="23"/>
      <c r="J285" s="23"/>
      <c r="K285" s="23"/>
    </row>
    <row r="286" spans="9:11" x14ac:dyDescent="0.25">
      <c r="I286" s="23"/>
      <c r="J286" s="23"/>
      <c r="K286" s="23"/>
    </row>
    <row r="287" spans="9:11" x14ac:dyDescent="0.25">
      <c r="I287" s="23"/>
      <c r="J287" s="23"/>
      <c r="K287" s="23"/>
    </row>
    <row r="288" spans="9:11" x14ac:dyDescent="0.25">
      <c r="I288" s="23"/>
      <c r="J288" s="23"/>
      <c r="K288" s="23"/>
    </row>
    <row r="289" spans="9:11" x14ac:dyDescent="0.25">
      <c r="I289" s="23"/>
      <c r="J289" s="23"/>
      <c r="K289" s="23"/>
    </row>
    <row r="290" spans="9:11" x14ac:dyDescent="0.25">
      <c r="I290" s="23"/>
      <c r="J290" s="23"/>
      <c r="K290" s="23"/>
    </row>
    <row r="291" spans="9:11" x14ac:dyDescent="0.25">
      <c r="I291" s="23"/>
      <c r="J291" s="23"/>
      <c r="K291" s="23"/>
    </row>
    <row r="292" spans="9:11" x14ac:dyDescent="0.25">
      <c r="I292" s="23"/>
      <c r="J292" s="23"/>
      <c r="K292" s="23"/>
    </row>
    <row r="293" spans="9:11" x14ac:dyDescent="0.25">
      <c r="I293" s="23"/>
      <c r="J293" s="23"/>
    </row>
    <row r="294" spans="9:11" x14ac:dyDescent="0.25">
      <c r="I294" s="23"/>
      <c r="J294" s="23"/>
    </row>
    <row r="295" spans="9:11" x14ac:dyDescent="0.25">
      <c r="I295" s="23"/>
      <c r="J295" s="23"/>
    </row>
    <row r="296" spans="9:11" x14ac:dyDescent="0.25">
      <c r="I296" s="23"/>
      <c r="J296" s="23"/>
    </row>
    <row r="297" spans="9:11" x14ac:dyDescent="0.25">
      <c r="I297" s="23"/>
      <c r="J297" s="23"/>
    </row>
  </sheetData>
  <autoFilter ref="A4:H160" xr:uid="{40A4B7A3-F207-4AF4-8579-95FFC9A7072F}"/>
  <dataConsolidate/>
  <mergeCells count="1">
    <mergeCell ref="A1:B1"/>
  </mergeCells>
  <conditionalFormatting sqref="F6:F18">
    <cfRule type="cellIs" dxfId="9" priority="171" operator="equal">
      <formula>"Fulfilled"</formula>
    </cfRule>
    <cfRule type="cellIs" dxfId="8" priority="172" operator="equal">
      <formula>"Not verified"</formula>
    </cfRule>
    <cfRule type="cellIs" dxfId="7" priority="173" operator="equal">
      <formula>"Fullfilled"</formula>
    </cfRule>
    <cfRule type="cellIs" dxfId="6" priority="174" operator="equal">
      <formula>"N/A"</formula>
    </cfRule>
    <cfRule type="cellIs" dxfId="5" priority="175" operator="equal">
      <formula>"Open"</formula>
    </cfRule>
  </conditionalFormatting>
  <conditionalFormatting sqref="I5:K292">
    <cfRule type="expression" dxfId="4" priority="1">
      <formula>($C5&lt;&gt;"")</formula>
    </cfRule>
  </conditionalFormatting>
  <hyperlinks>
    <hyperlink ref="G5" r:id="rId1" tooltip="https://docs.microsoft.com/azure/active-directory/roles/security-emergency-access" xr:uid="{B09A0061-A330-4875-83D0-3E4B677A78A0}"/>
    <hyperlink ref="G6" r:id="rId2" tooltip="https://docs.microsoft.com/azure/role-based-access-control/overview" xr:uid="{466B8AB2-C06A-4276-897E-D97FCDC7C334}"/>
    <hyperlink ref="G7" r:id="rId3" tooltip="https://docs.microsoft.com/azure/active-directory/conditional-access/overview" xr:uid="{618CF45C-B9D1-45C9-865E-D1FBB043F369}"/>
    <hyperlink ref="G8" r:id="rId4" tooltip="https://docs.microsoft.com/azure/active-directory/authentication/concept-mfa-howitworks" xr:uid="{4405C2AF-B64B-4007-961F-9BCE07A8C1A9}"/>
    <hyperlink ref="G9" r:id="rId5" tooltip="https://docs.microsoft.com/azure/role-based-access-control/overview" xr:uid="{5E427FCA-30FB-44C5-BA26-8F28D3577E26}"/>
    <hyperlink ref="G10" r:id="rId6" tooltip="https://docs.microsoft.com/azure/active-directory/privileged-identity-management/pim-configure" xr:uid="{E3BBE0A7-6FFE-4539-833B-50E9B1830F23}"/>
    <hyperlink ref="G11" r:id="rId7" tooltip="https://docs.microsoft.com/azure/active-directory-b2c/user-overview" xr:uid="{EDD1E962-F167-425B-B302-64EF03EE6E47}"/>
    <hyperlink ref="G12" r:id="rId8" tooltip="https://docs.microsoft.com/azure/active-directory/fundamentals/active-directory-groups-create-azure-portal" xr:uid="{5614E269-3378-40DE-AA0D-A96A063F4BBE}"/>
    <hyperlink ref="G13" r:id="rId9" tooltip="https://docs.microsoft.com/azure/role-based-access-control/custom-roles" xr:uid="{9AF40927-7444-4867-A9CA-6B261795FB02}"/>
    <hyperlink ref="G14" r:id="rId10" tooltip="https://azure.microsoft.com/resources/achieving-compliant-data-residency-and-security-with-azure/" xr:uid="{BA74A70E-3D95-4707-B9A7-8213FB675D85}"/>
    <hyperlink ref="G15" r:id="rId11" tooltip="https://docs.microsoft.com/azure/active-directory-domain-services/overview" xr:uid="{741F294D-EBBD-46ED-9E4B-50258FD15BA3}"/>
    <hyperlink ref="G16" r:id="rId12" tooltip="https://docs.microsoft.com/azure/active-directory-domain-services/overview" xr:uid="{B791E759-0F2C-4E31-9AEC-694AB84242FE}"/>
    <hyperlink ref="G17" r:id="rId13" tooltip="https://docs.microsoft.com/azure/architecture/reference-architectures/identity/adds-extend-domain" xr:uid="{DA133AED-69C8-420A-AE2B-A18845F03CC7}"/>
    <hyperlink ref="G18" r:id="rId14" tooltip="https://docs.microsoft.com/azure/active-directory/app-proxy/application-proxy" xr:uid="{8D2DD4C0-18F5-46D9-99E0-8E4205A922DD}"/>
    <hyperlink ref="G19" r:id="rId15" tooltip="https://docs.microsoft.com/azure/governance/management-groups/overview" xr:uid="{C2364EFB-1A85-4BE1-A8C2-9EF937D5D0BC}"/>
    <hyperlink ref="G20" r:id="rId16" tooltip="https://docs.microsoft.com/azure/governance/management-groups/overview" xr:uid="{1963AE61-8E26-40D2-83E9-6B6E2CBF095C}"/>
    <hyperlink ref="G21" r:id="rId17" tooltip="https://docs.microsoft.com/azure/governance/management-groups/overview" xr:uid="{BECB903A-975F-4281-8234-C17830CE9058}"/>
    <hyperlink ref="G22" r:id="rId18" tooltip="https://docs.microsoft.com/azure/governance/management-groups/overview" xr:uid="{3C969276-9F62-4185-AAE1-5882EF7A9B69}"/>
    <hyperlink ref="G23" r:id="rId19" tooltip="https://docs.microsoft.com/azure/governance/management-groups/overview" xr:uid="{D52CBE02-F7DD-478A-B0AE-CEAB81D687F5}"/>
    <hyperlink ref="G24" r:id="rId20" tooltip="https://docs.microsoft.com/azure/governance/management-groups/overview" xr:uid="{8C8701D3-6AA8-443C-9BB2-9A563AA0C6E5}"/>
    <hyperlink ref="G25" r:id="rId21" tooltip="https://docs.microsoft.com/azure/governance/management-groups/overview" xr:uid="{7D160B16-36BF-49F0-AF03-55B80036F1B3}"/>
    <hyperlink ref="G26" r:id="rId22" tooltip="https://docs.microsoft.com/azure/governance/management-groups/overview" xr:uid="{3B5E8A69-6C7E-419E-AFD5-63B8D334A721}"/>
    <hyperlink ref="G27" r:id="rId23" tooltip="https://docs.microsoft.com/azure/azure-resource-manager/management/azure-subscription-service-limits" xr:uid="{B9AEC0A2-C4CB-48E8-9405-8E570D4DAE49}"/>
    <hyperlink ref="G28" r:id="rId24" tooltip="https://docs.microsoft.com/azure/cost-management-billing/reservations/save-compute-costs-reservations" xr:uid="{895A4E18-35C8-40FD-9FC5-650D7A89893F}"/>
    <hyperlink ref="G29" r:id="rId25" tooltip="https://docs.microsoft.com/azure/architecture/framework/scalability/design-capacity" xr:uid="{456CEEB1-C231-49DB-B4F1-9808631D2BD1}"/>
    <hyperlink ref="G30" r:id="rId26" tooltip="https://azure.microsoft.com/global-infrastructure/services/" xr:uid="{BDF6269F-A219-4AB7-9F38-E4061EA69140}"/>
    <hyperlink ref="G31" r:id="rId27" tooltip="https://docs.microsoft.com/azure/cost-management-billing/cost-management-billing-overview" xr:uid="{4708C69C-732E-42D9-8F86-7962CF054088}"/>
    <hyperlink ref="G32" r:id="rId28" tooltip="https://docs.microsoft.com/azure/governance/management-groups/overview" xr:uid="{7BEC577D-645A-45AE-B84A-096A824F9EB7}"/>
    <hyperlink ref="G33" r:id="rId29" tooltip="https://docs.microsoft.com/azure/cloud-adoption-framework/decision-guides/resource-tagging/?toc=/azure/azure-resource-manager/management/toc.json" xr:uid="{9EDAAD13-B707-4F5F-82A8-0824DA6BBCDC}"/>
    <hyperlink ref="G34" r:id="rId30" tooltip="https://docs.microsoft.com/azure/cloud-adoption-framework/ready/azure-best-practices/plan-for-ip-addressing" xr:uid="{38A3D5D2-00E7-4276-9923-010C236238E4}"/>
    <hyperlink ref="G35" r:id="rId31" tooltip="https://docs.microsoft.com/azure/cloud-adoption-framework/ready/azure-best-practices/plan-for-ip-addressing" xr:uid="{D7471856-1165-4326-B0BA-0C85CD5951F0}"/>
    <hyperlink ref="G36" r:id="rId32" tooltip="https://docs.microsoft.com/azure/cloud-adoption-framework/ready/azure-best-practices/plan-for-ip-addressing" xr:uid="{EB18FFB9-5416-4BDF-A979-80EE0D33E7D8}"/>
    <hyperlink ref="G37" r:id="rId33" tooltip="https://docs.microsoft.com/azure/cloud-adoption-framework/ready/azure-best-practices/plan-for-ip-addressing" xr:uid="{539754AB-61F2-45BE-A08D-C502D67F087D}"/>
    <hyperlink ref="G38" r:id="rId34" tooltip="https://docs.microsoft.com/azure/virtual-network/virtual-networks-name-resolution-for-vms-and-role-instances" xr:uid="{1AEC326C-ED9C-496A-94C8-A3AFBD7A1B54}"/>
    <hyperlink ref="G39" r:id="rId35" tooltip="https://docs.microsoft.com/azure/virtual-network/virtual-networks-name-resolution-for-vms-and-role-instances" xr:uid="{261B7DEC-4339-40A4-B9DA-89E1D93DF574}"/>
    <hyperlink ref="G40" r:id="rId36" tooltip="https://docs.microsoft.com/azure/virtual-network/virtual-networks-name-resolution-for-vms-and-role-instances" xr:uid="{635EC554-E84A-460F-B9E0-E9D8F4862ED7}"/>
    <hyperlink ref="G41" r:id="rId37" tooltip="https://docs.microsoft.com/azure/virtual-network/virtual-networks-name-resolution-for-vms-and-role-instances" xr:uid="{E839B7DA-8042-40C5-AD81-0516A269F256}"/>
    <hyperlink ref="G43" r:id="rId38" tooltip="https://docs.microsoft.com/azure/virtual-wan/virtual-wan-about" xr:uid="{53282C53-B1E2-449D-9D5C-4DF65F1D4E79}"/>
    <hyperlink ref="G44" r:id="rId39" tooltip="https://docs.microsoft.com/azure/virtual-wan/virtual-wan-about" xr:uid="{C63F8C0C-89EC-4C9F-839B-06FD045BAFA7}"/>
    <hyperlink ref="G45" r:id="rId40" tooltip="https://docs.microsoft.com/azure/virtual-wan/virtual-wan-about" xr:uid="{01BC1C4E-80BC-4CE6-A545-20E24AB24D9E}"/>
    <hyperlink ref="G46" r:id="rId41" tooltip="https://docs.microsoft.com/azure/virtual-wan/virtual-wan-about" xr:uid="{45BC505D-4282-470D-A7AE-931CBC62EA60}"/>
    <hyperlink ref="G47" r:id="rId42" tooltip="https://docs.microsoft.com/azure/virtual-wan/virtual-wan-about" xr:uid="{2D1D617D-9625-418F-B5D4-D9B7AB380B97}"/>
    <hyperlink ref="G48" r:id="rId43" tooltip="https://docs.microsoft.com/azure/virtual-wan/virtual-wan-about" xr:uid="{C8EC9B6F-8932-4680-8AC1-61D97B980FFD}"/>
    <hyperlink ref="G49" r:id="rId44" tooltip="https://docs.microsoft.com/azure/virtual-wan/virtual-wan-about" xr:uid="{441F6DC6-81CB-4583-9217-7FE3CA0673DD}"/>
    <hyperlink ref="G50" r:id="rId45" tooltip="https://docs.microsoft.com/azure/virtual-wan/virtual-wan-about" xr:uid="{8D40363E-A742-4465-8E84-C91B38524B56}"/>
    <hyperlink ref="G54" r:id="rId46" tooltip="https://docs.microsoft.com/azure/architecture/reference-architectures/hybrid-networking/expressroute" xr:uid="{6FE8FC8B-9461-4E19-A99B-C926813C01F7}"/>
    <hyperlink ref="G55" r:id="rId47" tooltip="https://docs.microsoft.com/azure/cloud-adoption-framework/ready/enterprise-scale/network-topology-and-connectivity" xr:uid="{A677166A-A803-437E-9A16-3B17026F331E}"/>
    <hyperlink ref="G56" r:id="rId48" tooltip="https://azure.microsoft.com/solutions/network-appliances/" xr:uid="{6E7BB98C-0132-4FE6-8CA6-FDD4D8EFB65F}"/>
    <hyperlink ref="G57" r:id="rId49" tooltip="https://docs.microsoft.com/azure/expressroute/expressroute-faqs" xr:uid="{B267501A-ED9E-4DA8-B5C4-74BB0C188F23}"/>
    <hyperlink ref="G61" r:id="rId50" tooltip="https://docs.microsoft.com/azure/architecture/reference-architectures/hybrid-networking/hub-spoke?tabs=cli" xr:uid="{2E8F2C7C-55F3-47C8-A342-3E959E504D7B}"/>
    <hyperlink ref="G63" r:id="rId51" tooltip="https://docs.microsoft.com/azure/expressroute/expressroute-routing" xr:uid="{601E808F-86D3-4544-BDEE-38847651E7AB}"/>
    <hyperlink ref="G64" r:id="rId52" tooltip="https://docs.microsoft.com/azure/expressroute/expressroute-about-virtual-network-gateways" xr:uid="{8A3F0056-83E0-490C-A5C7-C4159EA415CB}"/>
    <hyperlink ref="G65" r:id="rId53" tooltip="https://docs.microsoft.com/azure/networking/" xr:uid="{7DE9A0EE-549A-4AD8-8E2D-F67E40C7A699}"/>
    <hyperlink ref="G66" r:id="rId54" tooltip="https://docs.microsoft.com/azure/expressroute/expressroute-routing" xr:uid="{AE3C1D7E-FF8A-49C9-AF3F-38FAFDEBC8B8}"/>
    <hyperlink ref="G67" r:id="rId55" tooltip="https://docs.microsoft.com/azure/networking/" xr:uid="{1E8D2646-93E8-4F41-9A06-46A8749D0808}"/>
    <hyperlink ref="G68" r:id="rId56" tooltip="https://docs.microsoft.com/azure/networking/" xr:uid="{7B22004E-BC13-4363-BCD0-EC20125A3B75}"/>
    <hyperlink ref="G69" r:id="rId57" tooltip="https://docs.microsoft.com/azure/networking/" xr:uid="{B4439090-B49F-4934-B785-38827B4542C5}"/>
    <hyperlink ref="G70" r:id="rId58" tooltip="https://docs.microsoft.com/azure/networking/" xr:uid="{086B2D04-E6FC-4D88-BD66-18B5343EF3AB}"/>
    <hyperlink ref="G75" r:id="rId59" tooltip="https://docs.microsoft.com/azure/networking/" xr:uid="{525027EA-9DD9-4A57-8133-3556A1EF1D95}"/>
    <hyperlink ref="G76" r:id="rId60" tooltip="https://docs.microsoft.com/azure/app-service/networking-features" xr:uid="{011F2BEA-CC71-4649-AA9E-516C2B524152}"/>
    <hyperlink ref="G77" r:id="rId61" tooltip="https://docs.microsoft.com/azure/app-service/networking-features" xr:uid="{E48F24CA-9DC9-4785-9C83-9EA0FE171862}"/>
    <hyperlink ref="G78" r:id="rId62" tooltip="https://docs.microsoft.com/azure/app-service/networking-features" xr:uid="{9C5A5269-3AC6-4FA6-81CB-4C6A19D0B121}"/>
    <hyperlink ref="G79" r:id="rId63" tooltip="https://docs.microsoft.com/azure/app-service/networking-features" xr:uid="{25AFB495-CC2C-4E75-B4B1-2564FE2FE4AE}"/>
    <hyperlink ref="G80" r:id="rId64" tooltip="https://docs.microsoft.com/azure/app-service/networking-features" xr:uid="{4DD05553-48F0-4788-A47B-F5A2D42F4E0A}"/>
    <hyperlink ref="G53" r:id="rId65" tooltip="https://docs.microsoft.com/azure/cloud-adoption-framework/ready/enterprise-scale/network-topology-and-connectivity" xr:uid="{4723FD31-9D85-43A4-AF9E-0135150E2160}"/>
    <hyperlink ref="H33" r:id="rId66" tooltip="https://docs.microsoft.com/learn/paths/implement-resource-mgmt-security/" xr:uid="{D2D21372-3F12-4C2E-824D-DDC82AB95AC9}"/>
    <hyperlink ref="G81" r:id="rId67" tooltip="https://docs.microsoft.com/azure/app-service/networking-features" xr:uid="{B8D4A56E-B082-474D-AB9F-8EFE12D96FA7}"/>
    <hyperlink ref="G82" r:id="rId68" tooltip="https://docs.microsoft.com/azure/app-service/networking-features" xr:uid="{AA7557D7-87A2-4C03-B0BF-4A05BE7F03B7}"/>
    <hyperlink ref="G83" r:id="rId69" tooltip="https://docs.microsoft.com/azure/app-service/networking-features" xr:uid="{FA98BCAD-31CE-45D9-B684-9637CC2B489C}"/>
    <hyperlink ref="G84" r:id="rId70" tooltip="https://docs.microsoft.com/azure/firewall/" xr:uid="{32838570-F2C1-4F0B-8DEA-7E8C70EB4600}"/>
    <hyperlink ref="G85" r:id="rId71" tooltip="https://docs.microsoft.com/azure/firewall/" xr:uid="{974CC490-EF6B-4C0E-A3A1-5CE76EF434AC}"/>
    <hyperlink ref="G86" r:id="rId72" tooltip="https://docs.microsoft.com/azure/firewall/" xr:uid="{63B8C9D1-762F-4FDD-9F4D-D05EA62FBAF3}"/>
    <hyperlink ref="G87" r:id="rId73" tooltip="https://docs.microsoft.com/azure/firewall/" xr:uid="{4B6E52B6-6E3B-4123-9C95-F7F23D7A2869}"/>
    <hyperlink ref="G88" r:id="rId74" tooltip="https://docs.microsoft.com/azure/web-application-firewall/ag/ag-overview" xr:uid="{904B2DDB-14B5-425B-8101-D652D69F16EB}"/>
    <hyperlink ref="G89" r:id="rId75" tooltip="https://docs.microsoft.com/azure/web-application-firewall/ag/ag-overview" xr:uid="{EBA231B1-705D-43F8-B2DD-E4CD3D98CF1B}"/>
    <hyperlink ref="G90" r:id="rId76" tooltip="https://docs.microsoft.com/azure/web-application-firewall/ag/ag-overview" xr:uid="{45CAFD9B-8FFB-4A08-BA4B-143E3C17BE9E}"/>
    <hyperlink ref="G91" r:id="rId77" tooltip="https://azure.microsoft.com/solutions/network-appliances/" xr:uid="{5216C95D-A83E-4F0E-A193-5B10EA4F7C28}"/>
    <hyperlink ref="G92" r:id="rId78" tooltip="https://azure.microsoft.com/solutions/network-appliances/" xr:uid="{02FA7FEC-B251-4C81-8D9F-672A3B6E8A3C}"/>
    <hyperlink ref="G93" r:id="rId79" tooltip="https://docs.microsoft.com/azure/ddos-protection/ddos-protection-overview" xr:uid="{29D302F2-7DC1-42BE-B531-8956482C0E4D}"/>
    <hyperlink ref="G94" r:id="rId80" tooltip="https://docs.microsoft.com/azure/web-application-firewall/ag/ag-overview" xr:uid="{123CECE1-016D-49B4-85CA-375CFF8F8435}"/>
    <hyperlink ref="G95" r:id="rId81" tooltip="https://docs.microsoft.com/azure/web-application-firewall/ag/ag-overview" xr:uid="{0AB84C67-D4B6-4CA1-A3DE-B3C7472D0D25}"/>
    <hyperlink ref="G96" r:id="rId82" tooltip="https://docs.microsoft.com/azure/web-application-firewall/ag/ag-overview" xr:uid="{7628ADD9-C94C-4AEC-9AC4-1991B37BEC68}"/>
    <hyperlink ref="G97" r:id="rId83" tooltip="https://docs.microsoft.com/azure/web-application-firewall/ag/ag-overview" xr:uid="{AFCAC235-39C9-453D-883A-7AE777FD8E96}"/>
    <hyperlink ref="G98" r:id="rId84" tooltip="https://docs.microsoft.com/azure/cloud-adoption-framework/ready/azure-setup-guide/organize-resources?tabs=AzureManagementGroupsAndHierarchy" xr:uid="{C1BEA5D9-3951-4339-9BEC-DC05AD095BB8}"/>
    <hyperlink ref="G99" r:id="rId85" tooltip="https://docs.microsoft.com/azure/virtual-network/network-security-group-how-it-works" xr:uid="{723FE153-FA62-4B62-920B-6B6CD66858B9}"/>
    <hyperlink ref="G100" r:id="rId86" tooltip="https://docs.microsoft.com/azure/virtual-network/network-security-group-how-it-works" xr:uid="{3259AAB6-C159-43F5-B502-23B5D621CB92}"/>
    <hyperlink ref="G101" r:id="rId87" tooltip="https://docs.microsoft.com/azure/virtual-network/network-security-group-how-it-works" xr:uid="{4A613716-F13B-40EA-B63E-4E2E0D636575}"/>
    <hyperlink ref="G102" r:id="rId88" tooltip="https://docs.microsoft.com/azure/virtual-network/network-security-group-how-it-works" xr:uid="{65B49149-98FA-4CB9-83F1-173079CB3B8F}"/>
    <hyperlink ref="G103" r:id="rId89" tooltip="https://docs.microsoft.com/azure/firewall/" xr:uid="{A3D7DA43-3F79-441D-90B9-678D58CF6143}"/>
    <hyperlink ref="G104" r:id="rId90" tooltip="https://docs.microsoft.com/azure/expressroute/expressroute-erdirect-about" xr:uid="{AA7FE7D8-FEED-4688-98FD-0C8233665397}"/>
    <hyperlink ref="G105" r:id="rId91" tooltip="https://docs.microsoft.com/azure/virtual-network/virtual-network-peering-overview" xr:uid="{F755E247-DE6A-4FC5-BB5E-4A7EA2D2FA42}"/>
    <hyperlink ref="G106" r:id="rId92" tooltip="https://docs.microsoft.com/azure/virtual-wan/virtual-wan-about" xr:uid="{10D663CF-1141-45A8-8DA2-A6ED840AEF1F}"/>
    <hyperlink ref="G107" r:id="rId93" tooltip="https://docs.microsoft.com/azure/network-watcher/network-watcher-monitoring-overview" xr:uid="{CD9AC908-011F-4BC1-87AF-6236F6055FC0}"/>
    <hyperlink ref="G108" r:id="rId94" tooltip="https://docs.microsoft.com/azure/virtual-network/network-security-group-how-it-works" xr:uid="{15A5A3E9-A9BD-48B0-9A60-BD5B78DEBAD8}"/>
    <hyperlink ref="G109" r:id="rId95" tooltip="https://docs.microsoft.com/azure/private-link/inspect-traffic-with-azure-firewall" xr:uid="{65B23132-99FB-488A-9AEE-BD8B081B9638}"/>
    <hyperlink ref="G116" r:id="rId96" tooltip="https://docs.microsoft.com/azure/automation/update-management/overview" xr:uid="{2DF977FA-D4D7-4ED0-B4C0-1C1DDCE1AA60}"/>
    <hyperlink ref="G117" r:id="rId97" tooltip="https://docs.microsoft.com/azure/network-watcher/network-watcher-monitoring-overview" xr:uid="{EE2205D1-1B97-4F01-9D19-D6864C396B43}"/>
    <hyperlink ref="G118" r:id="rId98" tooltip="https://docs.microsoft.com/azure/azure-resource-manager/management/lock-resources?tabs=json" xr:uid="{57D48631-4D3E-496F-9D94-B753EE03263E}"/>
    <hyperlink ref="G119" r:id="rId99" tooltip="https://docs.microsoft.com/azure/governance/policy/overview" xr:uid="{C7C98AB7-B025-46E8-96AE-14D23FA2FB62}"/>
    <hyperlink ref="G120" r:id="rId100" tooltip="https://docs.microsoft.com/azure/?product=featured" xr:uid="{BEA655E0-802F-431C-9D19-F82B34362581}"/>
    <hyperlink ref="G121" r:id="rId101" tooltip="https://docs.microsoft.com/azure/sentinel/quickstart-onboard" xr:uid="{5011C364-8F47-49F2-BC33-DE23680BDF74}"/>
    <hyperlink ref="G122" r:id="rId102" tooltip="https://docs.microsoft.com/azure/azure-monitor/logs/design-logs-deployment" xr:uid="{BAE72658-D48E-4D2E-AF07-1E464866CCB3}"/>
    <hyperlink ref="G123" r:id="rId103" tooltip="https://docs.microsoft.com/azure/cloud-adoption-framework/ready/azure-setup-guide/monitoring-reporting?tabs=AzureMonitor" xr:uid="{376446A3-EC3C-4821-AB4A-A4DCEA302C92}"/>
    <hyperlink ref="G124" r:id="rId104" tooltip="https://docs.microsoft.com/azure/azure-monitor/agents/diagnostics-extension-overview" xr:uid="{5D453570-F9FB-4514-9987-0C98B14DCE89}"/>
    <hyperlink ref="G125" r:id="rId105" tooltip="https://docs.microsoft.com/azure/azure-monitor/alerts/alerts-overview" xr:uid="{461C4CC4-A106-45CE-AB7C-3320957BA4EA}"/>
    <hyperlink ref="G126" r:id="rId106" tooltip="https://docs.microsoft.com/azure/backup/backup-center-overview" xr:uid="{DB633B0F-3C11-489B-96A4-C86C7F7700FB}"/>
    <hyperlink ref="G128" r:id="rId107" tooltip="https://docs.microsoft.com/azure/backup/backup-center-overview" xr:uid="{30696FD5-8A9C-403C-BAC6-1710B5AE83DF}"/>
    <hyperlink ref="G129" r:id="rId108" tooltip="https://docs.microsoft.com/azure/key-vault/general/best-practices" xr:uid="{472BA9D9-97B4-43ED-AA32-BBFE3DAA9983}"/>
    <hyperlink ref="G130" r:id="rId109" tooltip="https://docs.microsoft.com/azure/key-vault/general/best-practices" xr:uid="{A190AC4E-180E-48D9-9C72-0EBF26CCAA75}"/>
    <hyperlink ref="G131" r:id="rId110" tooltip="https://docs.microsoft.com/azure/key-vault/general/best-practices" xr:uid="{7E856F69-7D7E-45F9-943C-224B91190151}"/>
    <hyperlink ref="G132" r:id="rId111" tooltip="https://docs.microsoft.com/azure/key-vault/general/best-practices" xr:uid="{856C066D-C6F3-4202-B99F-4F94552FB349}"/>
    <hyperlink ref="G133" r:id="rId112" tooltip="https://docs.microsoft.com/azure/key-vault/general/best-practices" xr:uid="{C9962121-0E7E-47E8-90F4-051013596773}"/>
    <hyperlink ref="G134" r:id="rId113" tooltip="https://docs.microsoft.com/azure/key-vault/general/best-practices" xr:uid="{B69C8D93-C622-4F90-B3D1-E172FA8DDC11}"/>
    <hyperlink ref="G135" r:id="rId114" tooltip="https://docs.microsoft.com/azure/key-vault/general/best-practices" xr:uid="{6805A060-E9AA-402E-88BC-9DDCF991121B}"/>
    <hyperlink ref="G136" r:id="rId115" tooltip="https://docs.microsoft.com/azure/key-vault/general/best-practices" xr:uid="{6CF45755-01B7-4582-8652-842B53626CE7}"/>
    <hyperlink ref="G137" r:id="rId116" tooltip="https://docs.microsoft.com/azure/key-vault/general/best-practices" xr:uid="{997D1594-7DE1-446F-9CFE-37F62CED9C30}"/>
    <hyperlink ref="G138" r:id="rId117" tooltip="https://docs.microsoft.com/azure/key-vault/general/best-practices" xr:uid="{ADDFE78B-7D41-44DE-852E-A795EE5D9F14}"/>
    <hyperlink ref="G139" r:id="rId118" tooltip="https://docs.microsoft.com/azure/key-vault/general/best-practices" xr:uid="{6648C4D2-0C3E-4B9A-AB92-3BA15CEB01A5}"/>
    <hyperlink ref="G141" r:id="rId119" tooltip="https://docs.microsoft.com/azure/key-vault/general/best-practices" xr:uid="{F17DFC44-4A18-40BC-B0F1-FB79F15D28BF}"/>
    <hyperlink ref="G142" r:id="rId120" tooltip="https://docs.microsoft.com/azure/governance/policy/overview" xr:uid="{2C16253B-0647-4E0B-8BE9-61420F08ACAE}"/>
    <hyperlink ref="G143" r:id="rId121" tooltip="https://docs.microsoft.com/azure/cloud-adoption-framework/decision-guides/resource-tagging/?toc=/azure/azure-resource-manager/management/toc.json" xr:uid="{56293F92-083D-4762-B92F-13B637B0592D}"/>
    <hyperlink ref="G144" r:id="rId122" tooltip="https://docs.microsoft.com/azure/governance/policy/overview" xr:uid="{CC6935BB-0A68-4F21-8EF6-CA7D25E612AD}"/>
    <hyperlink ref="G145" r:id="rId123" tooltip="https://docs.microsoft.com/azure/governance/policy/overview" xr:uid="{E2D6D645-9648-4E33-BC1E-31495F1189DE}"/>
    <hyperlink ref="G146" r:id="rId124" tooltip="https://docs.microsoft.com/azure/governance/policy/overview" xr:uid="{01AFC48A-4264-4BAC-807D-128CA190A500}"/>
    <hyperlink ref="G147" r:id="rId125" tooltip="https://docs.microsoft.com/azure/governance/policy/overview" xr:uid="{695AEA4E-509A-44FB-ACAE-C64F75F5C3E6}"/>
    <hyperlink ref="G148" r:id="rId126" tooltip="https://docs.microsoft.com/azure/governance/policy/overview" xr:uid="{260857CD-7A37-4CB8-A01A-5845A9CDE74D}"/>
    <hyperlink ref="G149" r:id="rId127" tooltip="https://docs.microsoft.com/azure/governance/policy/overview" xr:uid="{8390EAC0-6E51-4E46-8BA7-6BC7B9983699}"/>
    <hyperlink ref="G150" r:id="rId128" tooltip="https://docs.microsoft.com/azure/governance/policy/overview" xr:uid="{D6ACD8CF-B957-41FE-8035-F5B03A3E9C74}"/>
    <hyperlink ref="G151" r:id="rId129" tooltip="https://docs.microsoft.com/azure/governance/policy/overview" xr:uid="{70DC0FC8-D833-46FD-8B50-B376ED0B0B47}"/>
    <hyperlink ref="G152" r:id="rId130" tooltip="https://docs.microsoft.com/azure/governance/policy/overview" xr:uid="{78DF5291-6B32-4A2B-AFDE-B7699DD005B4}"/>
    <hyperlink ref="G153" r:id="rId131" tooltip="https://docs.microsoft.com/azure/active-directory/reports-monitoring/overview-reports" xr:uid="{9F6400D2-F57E-4D3F-BAE7-3492A20FC358}"/>
    <hyperlink ref="G154" r:id="rId132" tooltip="https://docs.microsoft.com/azure/azure-monitor/logs/logs-data-export?tabs=portal" xr:uid="{A7C637AD-B9EB-481F-B9EB-90C5EBD833A9}"/>
    <hyperlink ref="G155" r:id="rId133" tooltip="https://docs.microsoft.com/azure/security-center/" xr:uid="{14F371E3-8382-46AD-9883-86E7C2E871A0}"/>
    <hyperlink ref="G156" r:id="rId134" tooltip="https://docs.microsoft.com/azure/security-center/" xr:uid="{6E826A42-0DA6-4ABC-926A-63089D312DEF}"/>
    <hyperlink ref="G157" r:id="rId135" tooltip="https://docs.microsoft.com/azure/azure-monitor/logs/design-logs-deployment" xr:uid="{8B07A7B8-EDF4-4BC6-BF9E-85089A708CE9}"/>
    <hyperlink ref="G158" r:id="rId136" tooltip="https://docs.microsoft.com/security/benchmark/azure/security-control-incident-response" xr:uid="{663B5DA0-B003-4A6B-A63E-F13610AEF53B}"/>
    <hyperlink ref="G159" r:id="rId137" tooltip="https://www.microsoft.com/itshowcase/implementing-a-zero-trust-security-model-at-microsoft" xr:uid="{047F06B1-1680-4BFD-914E-D69AA66082FE}"/>
    <hyperlink ref="G127" r:id="rId138" xr:uid="{4C348B8F-7049-4FE3-AE87-AECC69245F18}"/>
    <hyperlink ref="G140" r:id="rId139" xr:uid="{83A571D6-CE20-4704-8320-0572F34E07D2}"/>
    <hyperlink ref="G115" r:id="rId140" xr:uid="{13F1D73E-1D8F-49DC-9CF8-CF13BF5690E2}"/>
    <hyperlink ref="G114" r:id="rId141" xr:uid="{5C9A5A81-89E8-4A72-B464-7CD7E7193771}"/>
    <hyperlink ref="G113" r:id="rId142" xr:uid="{3CA78A7F-4028-4704-9A4A-B09C0499E9F2}"/>
    <hyperlink ref="G112" r:id="rId143" location="destinations" xr:uid="{86E050CC-030C-4AA0-8080-86F88F8CC80B}"/>
    <hyperlink ref="G58" r:id="rId144" xr:uid="{9F4BA8A5-2C5B-48DA-80C9-7CE863B5C1B6}"/>
    <hyperlink ref="G62" r:id="rId145" xr:uid="{FC9FCFFE-F0BB-4E56-8EC7-552008851010}"/>
    <hyperlink ref="G52" r:id="rId146" xr:uid="{9304475C-5D99-4F58-A87E-1691EAEA85F3}"/>
    <hyperlink ref="G51" r:id="rId147" location="virtual-wan-limits" xr:uid="{D30935C6-C510-4E3B-9C38-E52B75C2D171}"/>
    <hyperlink ref="G59" r:id="rId148" location="expressroute-limits" xr:uid="{4A739700-3361-4E69-B818-CE1E89A7E9E8}"/>
    <hyperlink ref="G72" r:id="rId149" xr:uid="{AB7C1A1A-230B-418B-B2EF-82C85264DD84}"/>
    <hyperlink ref="G73" r:id="rId150" location="gwsku" xr:uid="{3B106A20-D44C-4BA7-9B3D-464D83CA00C9}"/>
    <hyperlink ref="G74" r:id="rId151" xr:uid="{E254C12D-D4CD-4A65-82E2-EFA5304BBB10}"/>
  </hyperlinks>
  <pageMargins left="0.7" right="0.7" top="0.75" bottom="0.75" header="0.3" footer="0.3"/>
  <pageSetup paperSize="9" orientation="portrait" horizontalDpi="4294967293" r:id="rId152"/>
  <drawing r:id="rId153"/>
  <legacyDrawing r:id="rId154"/>
  <mc:AlternateContent xmlns:mc="http://schemas.openxmlformats.org/markup-compatibility/2006">
    <mc:Choice Requires="x14">
      <controls>
        <mc:AlternateContent xmlns:mc="http://schemas.openxmlformats.org/markup-compatibility/2006">
          <mc:Choice Requires="x14">
            <control shapeId="1025" r:id="rId155" name="Button 1">
              <controlPr defaultSize="0" print="0" autoFill="0" autoPict="0" macro="[0]!Sheet1.export_json">
                <anchor moveWithCells="1" sizeWithCells="1">
                  <from>
                    <xdr:col>3</xdr:col>
                    <xdr:colOff>0</xdr:colOff>
                    <xdr:row>0</xdr:row>
                    <xdr:rowOff>628650</xdr:rowOff>
                  </from>
                  <to>
                    <xdr:col>5</xdr:col>
                    <xdr:colOff>228600</xdr:colOff>
                    <xdr:row>0</xdr:row>
                    <xdr:rowOff>876300</xdr:rowOff>
                  </to>
                </anchor>
              </controlPr>
            </control>
          </mc:Choice>
        </mc:AlternateContent>
        <mc:AlternateContent xmlns:mc="http://schemas.openxmlformats.org/markup-compatibility/2006">
          <mc:Choice Requires="x14">
            <control shapeId="1027" r:id="rId156" name="Button 3">
              <controlPr defaultSize="0" print="0" autoFill="0" autoPict="0" macro="[0]!Sheet1.import_checklist">
                <anchor moveWithCells="1">
                  <from>
                    <xdr:col>2</xdr:col>
                    <xdr:colOff>8458200</xdr:colOff>
                    <xdr:row>0</xdr:row>
                    <xdr:rowOff>295275</xdr:rowOff>
                  </from>
                  <to>
                    <xdr:col>5</xdr:col>
                    <xdr:colOff>238125</xdr:colOff>
                    <xdr:row>0</xdr:row>
                    <xdr:rowOff>571500</xdr:rowOff>
                  </to>
                </anchor>
              </controlPr>
            </control>
          </mc:Choice>
        </mc:AlternateContent>
        <mc:AlternateContent xmlns:mc="http://schemas.openxmlformats.org/markup-compatibility/2006">
          <mc:Choice Requires="x14">
            <control shapeId="1028" r:id="rId157" name="Button 4">
              <controlPr defaultSize="0" print="0" autoFill="0" autoPict="0" macro="[0]!Sheet1.import_checklist_fromurl">
                <anchor moveWithCells="1" sizeWithCells="1">
                  <from>
                    <xdr:col>2</xdr:col>
                    <xdr:colOff>5781675</xdr:colOff>
                    <xdr:row>0</xdr:row>
                    <xdr:rowOff>266700</xdr:rowOff>
                  </from>
                  <to>
                    <xdr:col>2</xdr:col>
                    <xdr:colOff>6686550</xdr:colOff>
                    <xdr:row>0</xdr:row>
                    <xdr:rowOff>495300</xdr:rowOff>
                  </to>
                </anchor>
              </controlPr>
            </control>
          </mc:Choice>
        </mc:AlternateContent>
        <mc:AlternateContent xmlns:mc="http://schemas.openxmlformats.org/markup-compatibility/2006">
          <mc:Choice Requires="x14">
            <control shapeId="1029" r:id="rId158" name="Group Box 5">
              <controlPr defaultSize="0" autoFill="0" autoPict="0">
                <anchor moveWithCells="1">
                  <from>
                    <xdr:col>2</xdr:col>
                    <xdr:colOff>8181975</xdr:colOff>
                    <xdr:row>0</xdr:row>
                    <xdr:rowOff>142875</xdr:rowOff>
                  </from>
                  <to>
                    <xdr:col>5</xdr:col>
                    <xdr:colOff>657225</xdr:colOff>
                    <xdr:row>0</xdr:row>
                    <xdr:rowOff>1276350</xdr:rowOff>
                  </to>
                </anchor>
              </controlPr>
            </control>
          </mc:Choice>
        </mc:AlternateContent>
        <mc:AlternateContent xmlns:mc="http://schemas.openxmlformats.org/markup-compatibility/2006">
          <mc:Choice Requires="x14">
            <control shapeId="1030" r:id="rId159" name="Group Box 6">
              <controlPr defaultSize="0" autoFill="0" autoPict="0">
                <anchor moveWithCells="1">
                  <from>
                    <xdr:col>2</xdr:col>
                    <xdr:colOff>5572125</xdr:colOff>
                    <xdr:row>0</xdr:row>
                    <xdr:rowOff>142875</xdr:rowOff>
                  </from>
                  <to>
                    <xdr:col>2</xdr:col>
                    <xdr:colOff>7962900</xdr:colOff>
                    <xdr:row>0</xdr:row>
                    <xdr:rowOff>1295400</xdr:rowOff>
                  </to>
                </anchor>
              </controlPr>
            </control>
          </mc:Choice>
        </mc:AlternateContent>
        <mc:AlternateContent xmlns:mc="http://schemas.openxmlformats.org/markup-compatibility/2006">
          <mc:Choice Requires="x14">
            <control shapeId="1031" r:id="rId160" name="Group Box 7">
              <controlPr defaultSize="0" autoFill="0" autoPict="0">
                <anchor moveWithCells="1">
                  <from>
                    <xdr:col>2</xdr:col>
                    <xdr:colOff>6991350</xdr:colOff>
                    <xdr:row>0</xdr:row>
                    <xdr:rowOff>247650</xdr:rowOff>
                  </from>
                  <to>
                    <xdr:col>2</xdr:col>
                    <xdr:colOff>7896225</xdr:colOff>
                    <xdr:row>0</xdr:row>
                    <xdr:rowOff>1257300</xdr:rowOff>
                  </to>
                </anchor>
              </controlPr>
            </control>
          </mc:Choice>
        </mc:AlternateContent>
        <mc:AlternateContent xmlns:mc="http://schemas.openxmlformats.org/markup-compatibility/2006">
          <mc:Choice Requires="x14">
            <control shapeId="1032" r:id="rId161" name="Option Button 8">
              <controlPr defaultSize="0" autoFill="0" autoLine="0" autoPict="0" macro="[0]!Sheet1.set_english">
                <anchor moveWithCells="1">
                  <from>
                    <xdr:col>2</xdr:col>
                    <xdr:colOff>7010400</xdr:colOff>
                    <xdr:row>0</xdr:row>
                    <xdr:rowOff>323850</xdr:rowOff>
                  </from>
                  <to>
                    <xdr:col>2</xdr:col>
                    <xdr:colOff>7400925</xdr:colOff>
                    <xdr:row>0</xdr:row>
                    <xdr:rowOff>552450</xdr:rowOff>
                  </to>
                </anchor>
              </controlPr>
            </control>
          </mc:Choice>
        </mc:AlternateContent>
        <mc:AlternateContent xmlns:mc="http://schemas.openxmlformats.org/markup-compatibility/2006">
          <mc:Choice Requires="x14">
            <control shapeId="1033" r:id="rId162" name="Option Button 9">
              <controlPr defaultSize="0" autoFill="0" autoLine="0" autoPict="0" macro="[0]!Sheet1.set_japanese">
                <anchor moveWithCells="1">
                  <from>
                    <xdr:col>2</xdr:col>
                    <xdr:colOff>7019925</xdr:colOff>
                    <xdr:row>0</xdr:row>
                    <xdr:rowOff>514350</xdr:rowOff>
                  </from>
                  <to>
                    <xdr:col>2</xdr:col>
                    <xdr:colOff>7743825</xdr:colOff>
                    <xdr:row>0</xdr:row>
                    <xdr:rowOff>666750</xdr:rowOff>
                  </to>
                </anchor>
              </controlPr>
            </control>
          </mc:Choice>
        </mc:AlternateContent>
        <mc:AlternateContent xmlns:mc="http://schemas.openxmlformats.org/markup-compatibility/2006">
          <mc:Choice Requires="x14">
            <control shapeId="1034" r:id="rId163" name="Group Box 10">
              <controlPr defaultSize="0" autoFill="0" autoPict="0">
                <anchor moveWithCells="1">
                  <from>
                    <xdr:col>2</xdr:col>
                    <xdr:colOff>5772150</xdr:colOff>
                    <xdr:row>0</xdr:row>
                    <xdr:rowOff>628650</xdr:rowOff>
                  </from>
                  <to>
                    <xdr:col>2</xdr:col>
                    <xdr:colOff>6677025</xdr:colOff>
                    <xdr:row>0</xdr:row>
                    <xdr:rowOff>1238250</xdr:rowOff>
                  </to>
                </anchor>
              </controlPr>
            </control>
          </mc:Choice>
        </mc:AlternateContent>
        <mc:AlternateContent xmlns:mc="http://schemas.openxmlformats.org/markup-compatibility/2006">
          <mc:Choice Requires="x14">
            <control shapeId="1037" r:id="rId164" name="Option Button 13">
              <controlPr defaultSize="0" autoFill="0" autoLine="0" autoPict="0" macro="[0]!Sheet1.set_lz">
                <anchor moveWithCells="1">
                  <from>
                    <xdr:col>2</xdr:col>
                    <xdr:colOff>5819775</xdr:colOff>
                    <xdr:row>0</xdr:row>
                    <xdr:rowOff>695325</xdr:rowOff>
                  </from>
                  <to>
                    <xdr:col>2</xdr:col>
                    <xdr:colOff>6781800</xdr:colOff>
                    <xdr:row>0</xdr:row>
                    <xdr:rowOff>914400</xdr:rowOff>
                  </to>
                </anchor>
              </controlPr>
            </control>
          </mc:Choice>
        </mc:AlternateContent>
        <mc:AlternateContent xmlns:mc="http://schemas.openxmlformats.org/markup-compatibility/2006">
          <mc:Choice Requires="x14">
            <control shapeId="1038" r:id="rId165" name="Option Button 14">
              <controlPr defaultSize="0" autoFill="0" autoLine="0" autoPict="0" macro="[0]!Sheet1.set_aks">
                <anchor moveWithCells="1">
                  <from>
                    <xdr:col>2</xdr:col>
                    <xdr:colOff>5819775</xdr:colOff>
                    <xdr:row>0</xdr:row>
                    <xdr:rowOff>857250</xdr:rowOff>
                  </from>
                  <to>
                    <xdr:col>2</xdr:col>
                    <xdr:colOff>6791325</xdr:colOff>
                    <xdr:row>0</xdr:row>
                    <xdr:rowOff>1076325</xdr:rowOff>
                  </to>
                </anchor>
              </controlPr>
            </control>
          </mc:Choice>
        </mc:AlternateContent>
        <mc:AlternateContent xmlns:mc="http://schemas.openxmlformats.org/markup-compatibility/2006">
          <mc:Choice Requires="x14">
            <control shapeId="1039" r:id="rId166" name="Option Button 15">
              <controlPr defaultSize="0" autoFill="0" autoLine="0" autoPict="0" macro="[0]!Sheet1.set_korean">
                <anchor moveWithCells="1">
                  <from>
                    <xdr:col>2</xdr:col>
                    <xdr:colOff>7010400</xdr:colOff>
                    <xdr:row>0</xdr:row>
                    <xdr:rowOff>647700</xdr:rowOff>
                  </from>
                  <to>
                    <xdr:col>2</xdr:col>
                    <xdr:colOff>7410450</xdr:colOff>
                    <xdr:row>0</xdr:row>
                    <xdr:rowOff>857250</xdr:rowOff>
                  </to>
                </anchor>
              </controlPr>
            </control>
          </mc:Choice>
        </mc:AlternateContent>
        <mc:AlternateContent xmlns:mc="http://schemas.openxmlformats.org/markup-compatibility/2006">
          <mc:Choice Requires="x14">
            <control shapeId="1042" r:id="rId167" name="Option Button 18">
              <controlPr defaultSize="0" autoFill="0" autoLine="0" autoPict="0" macro="[0]!Sheet1.set_avd">
                <anchor moveWithCells="1">
                  <from>
                    <xdr:col>2</xdr:col>
                    <xdr:colOff>5829300</xdr:colOff>
                    <xdr:row>0</xdr:row>
                    <xdr:rowOff>1038225</xdr:rowOff>
                  </from>
                  <to>
                    <xdr:col>2</xdr:col>
                    <xdr:colOff>6877050</xdr:colOff>
                    <xdr:row>0</xdr:row>
                    <xdr:rowOff>1238250</xdr:rowOff>
                  </to>
                </anchor>
              </controlPr>
            </control>
          </mc:Choice>
        </mc:AlternateContent>
        <mc:AlternateContent xmlns:mc="http://schemas.openxmlformats.org/markup-compatibility/2006">
          <mc:Choice Requires="x14">
            <control shapeId="1043" r:id="rId168" name="Button 19">
              <controlPr defaultSize="0" print="0" autoFill="0" autoPict="0" macro="[0]!Sheet1.import_graph_results">
                <anchor moveWithCells="1" sizeWithCells="1">
                  <from>
                    <xdr:col>3</xdr:col>
                    <xdr:colOff>0</xdr:colOff>
                    <xdr:row>0</xdr:row>
                    <xdr:rowOff>952500</xdr:rowOff>
                  </from>
                  <to>
                    <xdr:col>5</xdr:col>
                    <xdr:colOff>238125</xdr:colOff>
                    <xdr:row>0</xdr:row>
                    <xdr:rowOff>1190625</xdr:rowOff>
                  </to>
                </anchor>
              </controlPr>
            </control>
          </mc:Choice>
        </mc:AlternateContent>
        <mc:AlternateContent xmlns:mc="http://schemas.openxmlformats.org/markup-compatibility/2006">
          <mc:Choice Requires="x14">
            <control shapeId="1058" r:id="rId169" name="Option Button 34">
              <controlPr defaultSize="0" autoFill="0" autoLine="0" autoPict="0" macro="[0]!Sheet1.set_portuguese">
                <anchor moveWithCells="1">
                  <from>
                    <xdr:col>2</xdr:col>
                    <xdr:colOff>7019925</xdr:colOff>
                    <xdr:row>0</xdr:row>
                    <xdr:rowOff>771525</xdr:rowOff>
                  </from>
                  <to>
                    <xdr:col>2</xdr:col>
                    <xdr:colOff>7677150</xdr:colOff>
                    <xdr:row>0</xdr:row>
                    <xdr:rowOff>1038225</xdr:rowOff>
                  </to>
                </anchor>
              </controlPr>
            </control>
          </mc:Choice>
        </mc:AlternateContent>
        <mc:AlternateContent xmlns:mc="http://schemas.openxmlformats.org/markup-compatibility/2006">
          <mc:Choice Requires="x14">
            <control shapeId="1059" r:id="rId170" name="Option Button 35">
              <controlPr defaultSize="0" autoFill="0" autoLine="0" autoPict="0" macro="[0]!Sheet1.set_spanish">
                <anchor moveWithCells="1">
                  <from>
                    <xdr:col>2</xdr:col>
                    <xdr:colOff>7010400</xdr:colOff>
                    <xdr:row>0</xdr:row>
                    <xdr:rowOff>952500</xdr:rowOff>
                  </from>
                  <to>
                    <xdr:col>2</xdr:col>
                    <xdr:colOff>7410450</xdr:colOff>
                    <xdr:row>0</xdr:row>
                    <xdr:rowOff>1162050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6" operator="equal" id="{3FAF5097-EDD1-413B-B67D-F709427CE1C9}">
            <xm:f>Values!$B$4</xm:f>
            <x14:dxf>
              <fill>
                <patternFill>
                  <bgColor rgb="FF00B050"/>
                </patternFill>
              </fill>
            </x14:dxf>
          </x14:cfRule>
          <x14:cfRule type="cellIs" priority="7" operator="equal" id="{3C8D81A4-1510-449F-9D38-BCF8671ECC50}">
            <xm:f>Values!$B$2</xm:f>
            <x14:dxf>
              <fill>
                <patternFill>
                  <bgColor rgb="FFFFC000"/>
                </patternFill>
              </fill>
            </x14:dxf>
          </x14:cfRule>
          <x14:cfRule type="cellIs" priority="9" operator="equal" id="{31F07732-5E89-4BEF-9B10-3C1B76C5A57E}">
            <xm:f>Values!$B$5</xm:f>
            <x14:dxf>
              <fill>
                <patternFill>
                  <bgColor theme="2"/>
                </patternFill>
              </fill>
            </x14:dxf>
          </x14:cfRule>
          <x14:cfRule type="cellIs" priority="10" operator="equal" id="{90DE5207-6C3E-4BA7-A439-C362737755D9}">
            <xm:f>Values!$B$3</xm:f>
            <x14:dxf>
              <fill>
                <patternFill>
                  <bgColor rgb="FFFF0000"/>
                </patternFill>
              </fill>
            </x14:dxf>
          </x14:cfRule>
          <xm:sqref>E5:E220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E5:E162</xm:sqref>
        </x14:dataValidation>
        <x14:dataValidation type="list" allowBlank="1" showInputMessage="1" showErrorMessage="1" xr:uid="{3B42DE15-645A-4E06-86AA-0E7EE308B74D}">
          <x14:formula1>
            <xm:f>Values!$A$2:$A$4</xm:f>
          </x14:formula1>
          <xm:sqref>D5:D279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6"/>
  <sheetViews>
    <sheetView workbookViewId="0">
      <selection activeCell="B3" sqref="B3"/>
    </sheetView>
  </sheetViews>
  <sheetFormatPr defaultRowHeight="15" x14ac:dyDescent="0.25"/>
  <cols>
    <col min="2" max="2" width="10" bestFit="1" customWidth="1"/>
  </cols>
  <sheetData>
    <row r="1" spans="1:4" x14ac:dyDescent="0.25">
      <c r="A1" t="s">
        <v>3</v>
      </c>
      <c r="B1" t="s">
        <v>4</v>
      </c>
      <c r="C1" t="s">
        <v>16</v>
      </c>
      <c r="D1" t="s">
        <v>21</v>
      </c>
    </row>
    <row r="2" spans="1:4" x14ac:dyDescent="0.25">
      <c r="A2" t="s">
        <v>6</v>
      </c>
      <c r="B2" s="12" t="s">
        <v>7</v>
      </c>
      <c r="C2" t="s">
        <v>23</v>
      </c>
      <c r="D2" s="21" t="s">
        <v>22</v>
      </c>
    </row>
    <row r="3" spans="1:4" x14ac:dyDescent="0.25">
      <c r="A3" t="s">
        <v>9</v>
      </c>
      <c r="B3" s="9" t="s">
        <v>10</v>
      </c>
      <c r="C3" t="s">
        <v>61</v>
      </c>
    </row>
    <row r="4" spans="1:4" x14ac:dyDescent="0.25">
      <c r="A4" t="s">
        <v>8</v>
      </c>
      <c r="B4" s="10" t="s">
        <v>11</v>
      </c>
      <c r="C4" t="s">
        <v>25</v>
      </c>
    </row>
    <row r="5" spans="1:4" x14ac:dyDescent="0.25">
      <c r="B5" s="11" t="s">
        <v>12</v>
      </c>
      <c r="C5" t="s">
        <v>114</v>
      </c>
    </row>
    <row r="6" spans="1:4" x14ac:dyDescent="0.25">
      <c r="C6" t="s">
        <v>45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2.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A12DF1A-88E4-48A5-BF96-2ED16263F29E}">
  <ds:schemaRefs>
    <ds:schemaRef ds:uri="http://schemas.microsoft.com/office/infopath/2007/PartnerControls"/>
    <ds:schemaRef ds:uri="http://purl.org/dc/dcmitype/"/>
    <ds:schemaRef ds:uri="http://purl.org/dc/terms/"/>
    <ds:schemaRef ds:uri="http://schemas.microsoft.com/office/2006/documentManagement/types"/>
    <ds:schemaRef ds:uri="http://schemas.openxmlformats.org/package/2006/metadata/core-properties"/>
    <ds:schemaRef ds:uri="be38a625-1701-4e45-b38e-aec531d5a71a"/>
    <ds:schemaRef ds:uri="http://schemas.microsoft.com/sharepoint/v3"/>
    <ds:schemaRef ds:uri="230e9df3-be65-4c73-a93b-d1236ebd677e"/>
    <ds:schemaRef ds:uri="http://purl.org/dc/elements/1.1/"/>
    <ds:schemaRef ds:uri="d681aa6a-578a-4b4a-96ad-20ed8468a31e"/>
    <ds:schemaRef ds:uri="http://schemas.microsoft.com/office/2006/metadata/properties"/>
    <ds:schemaRef ds:uri="http://www.w3.org/XML/1998/namespac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Jose Moreno</cp:lastModifiedBy>
  <cp:revision/>
  <dcterms:created xsi:type="dcterms:W3CDTF">2021-01-25T16:35:48Z</dcterms:created>
  <dcterms:modified xsi:type="dcterms:W3CDTF">2021-10-26T07:48:28Z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