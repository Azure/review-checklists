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azure-review-checklist\"/>
    </mc:Choice>
  </mc:AlternateContent>
  <xr:revisionPtr revIDLastSave="0" documentId="13_ncr:1_{4E8E5787-F8A3-48A9-AA76-40DC5583063B}"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Checklist!$A$4:$G$168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<sst xmlns="http://schemas.openxmlformats.org/spreadsheetml/2006/main" count="493" uniqueCount="122">
  <si>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</si>
  <si>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</si>
  <si>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</si>
  <si>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</si>
  <si>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</si>
  <si>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</si>
  <si>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</si>
  <si>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</si>
  <si>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</si>
  <si>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</si>
  <si>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</si>
  <si>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</si>
  <si>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</si>
  <si>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</si>
  <si>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</si>
  <si>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</si>
  <si>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</si>
  <si>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</si>
  <si>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rPr>
      <t xml:space="preserve">FastTrack for Azure
</t>
    </r>
    <r>
      <rPr>
        <b/>
        <sz val="14"/>
        <color rgb="FF625E5E"/>
        <rFont val="Segoe UI Semibold"/>
        <family val="2"/>
      </rPr>
      <t>Azure Review Checklist</t>
    </r>
  </si>
  <si>
    <t>More info</t>
  </si>
  <si>
    <t>Review Status</t>
  </si>
  <si>
    <t>Category</t>
  </si>
  <si>
    <t>BC and DR</t>
  </si>
  <si>
    <t>Requirements</t>
  </si>
  <si>
    <t>Define required SLAs, RTO and RPO.</t>
  </si>
  <si>
    <t>DR</t>
  </si>
  <si>
    <t>Perform DR tests</t>
  </si>
  <si>
    <t>Use Traffic Manager or Front Door as a global load balancer for region failover</t>
  </si>
  <si>
    <t>HA</t>
  </si>
  <si>
    <t>Use Availability Zones</t>
  </si>
  <si>
    <t>Use the SLA-backed AKS offering</t>
  </si>
  <si>
    <t>Use Disruption Budgets in your pod specs</t>
  </si>
  <si>
    <t>If using a private registry, configure region replication to store images in multiple regions</t>
  </si>
  <si>
    <t>Identity and Access Management</t>
  </si>
  <si>
    <t>Use managed identities instead of Service Principals</t>
  </si>
  <si>
    <t>Integrate authentication with AAD (using the managed integration)</t>
  </si>
  <si>
    <t>Limit access to admin kubeconfig (get-credentials --admin)</t>
  </si>
  <si>
    <t>Integrate authorization with AAD RBAC</t>
  </si>
  <si>
    <t>Use namespaces for restricting RBAC privilege in Kubernetes</t>
  </si>
  <si>
    <t>Use Pod identity for workload identities (addon v2 in preview today)</t>
  </si>
  <si>
    <t>Network Topology and Connectivity</t>
  </si>
  <si>
    <t>IPAM</t>
  </si>
  <si>
    <t>Choose the best CNI plugin for your requirements (Azure CNI recommended)</t>
  </si>
  <si>
    <t>If using Azure CNI, size your subnet accordingly</t>
  </si>
  <si>
    <t>If using Azure CNI, check the maximum pods/node (default 30)</t>
  </si>
  <si>
    <t>If using private-IP LoadBalancer services, use a dedicated subnet (not the AKS subnet)</t>
  </si>
  <si>
    <t>Filter egress traffic with AzFW/NVA if your security requirements mandate it</t>
  </si>
  <si>
    <t>If using public API enpoints, restrict the IP addresses that can access it</t>
  </si>
  <si>
    <t>Scalability</t>
  </si>
  <si>
    <t>Use an ingress controller to expose web-based apps</t>
  </si>
  <si>
    <t>Best practices</t>
  </si>
  <si>
    <t>If using AGIC, do not share an AppGW across clusters</t>
  </si>
  <si>
    <t>Cost</t>
  </si>
  <si>
    <t>Use Private Endpoints (preferred) or VNet Service Endpoints to access PaaS from the cluster</t>
  </si>
  <si>
    <t>Use private clusters if your requirements mandate it</t>
  </si>
  <si>
    <t>Enable a Kubernetes Network Policy option (Calico/Azure)</t>
  </si>
  <si>
    <t>Use Network policies to increase intra-cluster security</t>
  </si>
  <si>
    <t>Use a WAF for web workloads (UIs or APIs)</t>
  </si>
  <si>
    <t>Use DDoS Standard in the AKS VNet</t>
  </si>
  <si>
    <t>Do not use AKS Application Routing Add-On</t>
  </si>
  <si>
    <t>If hybrid connectivity is required, use 2xER or ER+VPN for better availability</t>
  </si>
  <si>
    <t>Consider using a service mesh for advanced microservice communication management</t>
  </si>
  <si>
    <t>Governance and Security</t>
  </si>
  <si>
    <t>Store your secrets in Azure Key Vault with the CSI Secrets Store driver</t>
  </si>
  <si>
    <t>Use User Managed Identities for the AKS cluster instead of Service Principals</t>
  </si>
  <si>
    <t>If user Service Principals for the cluster, refresh credentials periodically (like quarterly)</t>
  </si>
  <si>
    <t>Compliance</t>
  </si>
  <si>
    <t>Use Azure Policy for Kubernetes to ensure cluster compliance</t>
  </si>
  <si>
    <t>Separate applications from the control plane with user/system nodepools</t>
  </si>
  <si>
    <t>Label your system nodepool to use it with node selectors</t>
  </si>
  <si>
    <t>Use a private registry for your images, such as ACR</t>
  </si>
  <si>
    <t>Scan your images for vulnerabilities</t>
  </si>
  <si>
    <t>Use Azure Security Center to detect security posture vulnerabiities</t>
  </si>
  <si>
    <t>Define app separation requirements (namespace/nodepool/cluster)</t>
  </si>
  <si>
    <t>Cost Governance</t>
  </si>
  <si>
    <t>Use an external application such as kubecost to allocate custs to different users</t>
  </si>
  <si>
    <t>Operations</t>
  </si>
  <si>
    <t>Storage</t>
  </si>
  <si>
    <t>Use ephemeral OS disks</t>
  </si>
  <si>
    <t>If not using ephemeral disks, use larger OS disks for the nodes, especially if many pods/node</t>
  </si>
  <si>
    <t>Avoid keeping state in the cluster, and store data outside (AzStorage, AzSQL, Cosmos, etc)</t>
  </si>
  <si>
    <t>If using AzFiles Standard, consider AzFiles Premium and/or ANF for performance reasons</t>
  </si>
  <si>
    <t>If using Azure Disks and AZs, consider dedicating nodes per AZ and WaitForFirstConsumer</t>
  </si>
  <si>
    <t>Check regularly Azure Advisor for recommendations on your cluster</t>
  </si>
  <si>
    <t>Check regularly kubeadvisor for recommendations on your cluster</t>
  </si>
  <si>
    <t>Monitor your cluster metrics with Azure Monitor, Prometheus or similar</t>
  </si>
  <si>
    <t>Store and analyze your cluster logs with Azure Monitor, Telegraf/ElasticSearch or similar</t>
  </si>
  <si>
    <t>Alerting</t>
  </si>
  <si>
    <t>Configure alerts on the most critical metrics (Container Insights for recommendations)</t>
  </si>
  <si>
    <t>Have a regular process to upgrade the cluster periodically (quarterly, for example)</t>
  </si>
  <si>
    <t>Use kured for Linux node upgrades</t>
  </si>
  <si>
    <t>Consider gitops to deploy applications or cluster configuration to multiple clusters</t>
  </si>
  <si>
    <t>Consider spot node pools for non time-sensitive workloads</t>
  </si>
  <si>
    <t>Consider the virtual node for quick bursting</t>
  </si>
  <si>
    <t>Use tools like kubecost to allocate costs to different departments</t>
  </si>
  <si>
    <t>Do not use deprecated Kubernetes APIs in your YAML manifests</t>
  </si>
  <si>
    <t>Taint Windows nodes</t>
  </si>
  <si>
    <t>Keep windows containers patch level in sync with host patch level</t>
  </si>
  <si>
    <t>Monitor CPU and memory utilization of the nodes</t>
  </si>
  <si>
    <t>If using Azure CNI, monitor % of pod IPs consumed per node</t>
  </si>
  <si>
    <t>Monitor OS disk queue depth in nodes</t>
  </si>
  <si>
    <t>If not using egress filtering with AzFW/NVA, monitor standard ALB allocated SNAT ports</t>
  </si>
  <si>
    <t>Send master logs (aka API logs) to Log Analytics</t>
  </si>
  <si>
    <t>Use the Cluster Autoscaler</t>
  </si>
  <si>
    <t>Use the Horizontal Pod Autoscaler when required</t>
  </si>
  <si>
    <t>Consider an appropriate node size, not too large or too small</t>
  </si>
  <si>
    <t>Resources</t>
  </si>
  <si>
    <t>Configre requests and limits in your pod specs</t>
  </si>
  <si>
    <t>Enforce resource quotas for namespaces</t>
  </si>
  <si>
    <t>Ensure your subscription has enough quota to scale out your nodepools</t>
  </si>
  <si>
    <t>Application Deployment</t>
  </si>
  <si>
    <t>IaC</t>
  </si>
  <si>
    <t>Use automation through ARM/TF to create your Azure resources</t>
  </si>
  <si>
    <t>Development</t>
  </si>
  <si>
    <t>Use canary or blue/green deployments</t>
  </si>
  <si>
    <t>Use KEDA if running event-driven workloads</t>
  </si>
  <si>
    <t>Use Dapr to ease microservice development</t>
  </si>
  <si>
    <t>Total</t>
  </si>
  <si>
    <t>Progress</t>
  </si>
  <si>
    <t>Closed</t>
  </si>
  <si>
    <t>Make sure no changes are performed by operators in the node RG (aka 'infra RG')</t>
  </si>
  <si>
    <t>Use custom Node RG (aka 'Infra RG')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</si>
</sst>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3">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28</c:v>
                </c:pt>
                <c:pt idx="1">
                  <c:v>33</c:v>
                </c:pt>
                <c:pt idx="2">
                  <c:v>16</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77</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33</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16</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Dashboard!$I$6:$I$12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8448675</xdr:colOff>
          <xdr:row>0</xdr:row>
          <xdr:rowOff>257175</xdr:rowOff>
        </xdr:from>
        <xdr:to>
          <xdr:col>2</xdr:col>
          <xdr:colOff>10467975</xdr:colOff>
          <xdr:row>0</xdr:row>
          <xdr:rowOff>514350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8458200</xdr:colOff>
          <xdr:row>0</xdr:row>
          <xdr:rowOff>628650</xdr:rowOff>
        </xdr:from>
        <xdr:to>
          <xdr:col>3</xdr:col>
          <xdr:colOff>0</xdr:colOff>
          <xdr:row>0</xdr:row>
          <xdr:rowOff>866775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hyperlink" Target="https://docs.microsoft.com/azure/advisor/advisor-get-started" TargetMode="External"/><Relationship Id="rId21" Type="http://schemas.openxmlformats.org/officeDocument/2006/relationships/hyperlink" Target="https://docs.microsoft.com/azure/aks/use-system-pools" TargetMode="External"/><Relationship Id="rId42" Type="http://schemas.openxmlformats.org/officeDocument/2006/relationships/hyperlink" Target="https://docs.microsoft.com/azure/aks/operator-best-practices-scheduler" TargetMode="External"/><Relationship Id="rId47" Type="http://schemas.openxmlformats.org/officeDocument/2006/relationships/hyperlink" Target="https://kubecost.com/" TargetMode="External"/><Relationship Id="rId63" Type="http://schemas.openxmlformats.org/officeDocument/2006/relationships/hyperlink" Target="https://docs.microsoft.com/azure/aks/operator-best-practices-multi-region" TargetMode="External"/><Relationship Id="rId68" Type="http://schemas.openxmlformats.org/officeDocument/2006/relationships/hyperlink" Target="https://azure.github.io/application-gateway-kubernetes-ingress/setup/install-existing/" TargetMode="External"/><Relationship Id="rId16" Type="http://schemas.openxmlformats.org/officeDocument/2006/relationships/hyperlink" Target="https://docs.microsoft.com/azure/virtual-network/ddos-protection-overview" TargetMode="External"/><Relationship Id="rId11" Type="http://schemas.openxmlformats.org/officeDocument/2006/relationships/hyperlink" Target="https://docs.microsoft.com/azure/aks/api-server-authorized-ip-ranges" TargetMode="External"/><Relationship Id="rId32" Type="http://schemas.openxmlformats.org/officeDocument/2006/relationships/hyperlink" Target="https://docs.microsoft.com/azure/aks/supported-kubernetes-versions" TargetMode="External"/><Relationship Id="rId37" Type="http://schemas.openxmlformats.org/officeDocument/2006/relationships/hyperlink" Target="https://docs.microsoft.com/azure/azure-functions/functions-kubernetes-keda" TargetMode="External"/><Relationship Id="rId53" Type="http://schemas.openxmlformats.org/officeDocument/2006/relationships/hyperlink" Target="https://docs.microsoft.com/azure/aks/operator-best-practices-identity" TargetMode="External"/><Relationship Id="rId58" Type="http://schemas.openxmlformats.org/officeDocument/2006/relationships/hyperlink" Target="https://docs.microsoft.com/azure/aks/update-credentials" TargetMode="External"/><Relationship Id="rId74" Type="http://schemas.openxmlformats.org/officeDocument/2006/relationships/hyperlink" Target="https://docs.microsoft.com/azure/aks/configure-azure-cni" TargetMode="External"/><Relationship Id="rId79" Type="http://schemas.openxmlformats.org/officeDocument/2006/relationships/drawing" Target="../drawings/drawing2.xml"/><Relationship Id="rId5" Type="http://schemas.openxmlformats.org/officeDocument/2006/relationships/hyperlink" Target="https://docs.microsoft.com/azure/aks/uptime-sla" TargetMode="External"/><Relationship Id="rId61" Type="http://schemas.openxmlformats.org/officeDocument/2006/relationships/hyperlink" Target="https://docs.microsoft.com/azure/aks/operator-best-practices-multi-region" TargetMode="External"/><Relationship Id="rId82" Type="http://schemas.openxmlformats.org/officeDocument/2006/relationships/ctrlProp" Target="../ctrlProps/ctrlProp2.xml"/><Relationship Id="rId19" Type="http://schemas.openxmlformats.org/officeDocument/2006/relationships/hyperlink" Target="https://docs.microsoft.com/azure/aks/operator-best-practices-storage" TargetMode="External"/><Relationship Id="rId14" Type="http://schemas.openxmlformats.org/officeDocument/2006/relationships/hyperlink" Target="https://docs.microsoft.com/azure/aks/use-network-policies" TargetMode="External"/><Relationship Id="rId22" Type="http://schemas.openxmlformats.org/officeDocument/2006/relationships/hyperlink" Target="https://docs.microsoft.com/azure/container-registry/" TargetMode="External"/><Relationship Id="rId27" Type="http://schemas.openxmlformats.org/officeDocument/2006/relationships/hyperlink" Target="https://docs.microsoft.com/azure/azure-monitor/insights/container-insights-overview" TargetMode="External"/><Relationship Id="rId30" Type="http://schemas.openxmlformats.org/officeDocument/2006/relationships/hyperlink" Target="https://github.com/Azure/secrets-store-csi-driver-provider-azure" TargetMode="External"/><Relationship Id="rId35" Type="http://schemas.openxmlformats.org/officeDocument/2006/relationships/hyperlink" Target="https://docs.microsoft.com/azure/aks/concepts-network" TargetMode="External"/><Relationship Id="rId43" Type="http://schemas.openxmlformats.org/officeDocument/2006/relationships/hyperlink" Target="https://docs.microsoft.com/azure/aks/concepts-scale" TargetMode="External"/><Relationship Id="rId48" Type="http://schemas.openxmlformats.org/officeDocument/2006/relationships/hyperlink" Target="https://docs.microsoft.com/azure/aks/cluster-configuration" TargetMode="External"/><Relationship Id="rId56" Type="http://schemas.openxmlformats.org/officeDocument/2006/relationships/hyperlink" Target="https://docs.microsoft.com/azure/aks/operator-best-practices-cluster-isolation" TargetMode="External"/><Relationship Id="rId64" Type="http://schemas.openxmlformats.org/officeDocument/2006/relationships/hyperlink" Target="https://docs.microsoft.com/azure/cloud-adoption-framework/scenarios/aks/eslz-cost-governance-with-kubecost" TargetMode="External"/><Relationship Id="rId69" Type="http://schemas.openxmlformats.org/officeDocument/2006/relationships/hyperlink" Target="https://docs.microsoft.com/azure/cloud-adoption-framework/ready/enterprise-scale/business-continuity-and-disaster-recovery" TargetMode="External"/><Relationship Id="rId77" Type="http://schemas.openxmlformats.org/officeDocument/2006/relationships/hyperlink" Target="https://docs.microsoft.com/azure-stack/aks-hci/adapt-apps-mixed-os-clusters" TargetMode="External"/><Relationship Id="rId8" Type="http://schemas.openxmlformats.org/officeDocument/2006/relationships/hyperlink" Target="https://docs.microsoft.com/azure/aks/load-balancer-standard" TargetMode="External"/><Relationship Id="rId51" Type="http://schemas.openxmlformats.org/officeDocument/2006/relationships/hyperlink" Target="https://docs.microsoft.com/azure/aks/control-kubeconfig-access" TargetMode="External"/><Relationship Id="rId72" Type="http://schemas.openxmlformats.org/officeDocument/2006/relationships/hyperlink" Target="https://docs.microsoft.com/azure/aks/monitor-aks" TargetMode="External"/><Relationship Id="rId80" Type="http://schemas.openxmlformats.org/officeDocument/2006/relationships/vmlDrawing" Target="../drawings/vmlDrawing1.vml"/><Relationship Id="rId3" Type="http://schemas.openxmlformats.org/officeDocument/2006/relationships/hyperlink" Target="https://docs.microsoft.com/azure/azure-monitor/insights/container-insights-metric-alerts" TargetMode="External"/><Relationship Id="rId12" Type="http://schemas.openxmlformats.org/officeDocument/2006/relationships/hyperlink" Target="https://docs.microsoft.com/azure/aks/operator-best-practices-network" TargetMode="External"/><Relationship Id="rId17" Type="http://schemas.openxmlformats.org/officeDocument/2006/relationships/hyperlink" Target="https://docs.microsoft.com/azure/aks/http-application-routing" TargetMode="External"/><Relationship Id="rId25" Type="http://schemas.openxmlformats.org/officeDocument/2006/relationships/hyperlink" Target="https://docs.microsoft.com/azure/aks/operator-best-practices-scheduler" TargetMode="External"/><Relationship Id="rId33" Type="http://schemas.openxmlformats.org/officeDocument/2006/relationships/hyperlink" Target="https://docs.microsoft.com/azure/aks/node-updates-kured" TargetMode="External"/><Relationship Id="rId38" Type="http://schemas.openxmlformats.org/officeDocument/2006/relationships/hyperlink" Target="https://dapr.io/" TargetMode="External"/><Relationship Id="rId46" Type="http://schemas.openxmlformats.org/officeDocument/2006/relationships/hyperlink" Target="https://docs.microsoft.com/azure/aks/spot-node-pool" TargetMode="External"/><Relationship Id="rId59" Type="http://schemas.openxmlformats.org/officeDocument/2006/relationships/hyperlink" Target="https://docs.microsoft.com/azure/virtual-machines/disks-types" TargetMode="External"/><Relationship Id="rId67" Type="http://schemas.openxmlformats.org/officeDocument/2006/relationships/hyperlink" Target="https://docs.microsoft.com/azure/aks/use-managed-identity" TargetMode="External"/><Relationship Id="rId20" Type="http://schemas.openxmlformats.org/officeDocument/2006/relationships/hyperlink" Target="https://docs.microsoft.com/azure/governance/policy/concepts/policy-for-kubernetes" TargetMode="External"/><Relationship Id="rId41" Type="http://schemas.openxmlformats.org/officeDocument/2006/relationships/hyperlink" Target="https://docs.microsoft.com/azure/aks/operator-best-practices-scheduler" TargetMode="External"/><Relationship Id="rId54" Type="http://schemas.openxmlformats.org/officeDocument/2006/relationships/hyperlink" Target="https://docs.microsoft.com/azure/aks/faq" TargetMode="External"/><Relationship Id="rId62" Type="http://schemas.openxmlformats.org/officeDocument/2006/relationships/hyperlink" Target="https://docs.microsoft.com/azure/aks/configure-azure-cni" TargetMode="External"/><Relationship Id="rId70" Type="http://schemas.openxmlformats.org/officeDocument/2006/relationships/hyperlink" Target="https://docs.microsoft.com/azure/cloud-adoption-framework/ready/enterprise-scale/business-continuity-and-disaster-recovery" TargetMode="External"/><Relationship Id="rId75" Type="http://schemas.openxmlformats.org/officeDocument/2006/relationships/hyperlink" Target="https://docs.microsoft.com/azure/azure-monitor/containers/container-insights-analyze" TargetMode="External"/><Relationship Id="rId1" Type="http://schemas.openxmlformats.org/officeDocument/2006/relationships/hyperlink" Target="https://docs.microsoft.com/azure/aks/private-clusters" TargetMode="External"/><Relationship Id="rId6" Type="http://schemas.openxmlformats.org/officeDocument/2006/relationships/hyperlink" Target="https://docs.microsoft.com/azure/container-registry/container-registry-geo-replication" TargetMode="External"/><Relationship Id="rId15" Type="http://schemas.openxmlformats.org/officeDocument/2006/relationships/hyperlink" Target="https://docs.microsoft.com/azure/private-link/private-link-overview" TargetMode="External"/><Relationship Id="rId23" Type="http://schemas.openxmlformats.org/officeDocument/2006/relationships/hyperlink" Target="https://docs.microsoft.com/azure/security-center/container-security" TargetMode="External"/><Relationship Id="rId28" Type="http://schemas.openxmlformats.org/officeDocument/2006/relationships/hyperlink" Target="https://docs.microsoft.com/azure/azure-monitor/insights/container-insights-overview" TargetMode="External"/><Relationship Id="rId36" Type="http://schemas.openxmlformats.org/officeDocument/2006/relationships/hyperlink" Target="https://docs.microsoft.com/azure/aks/operator-best-practices-network" TargetMode="External"/><Relationship Id="rId49" Type="http://schemas.openxmlformats.org/officeDocument/2006/relationships/hyperlink" Target="https://docs.microsoft.com/azure/aks/managed-aad" TargetMode="External"/><Relationship Id="rId57" Type="http://schemas.openxmlformats.org/officeDocument/2006/relationships/hyperlink" Target="https://kubernetes.io/docs/setup/release/notes/" TargetMode="External"/><Relationship Id="rId10" Type="http://schemas.openxmlformats.org/officeDocument/2006/relationships/hyperlink" Target="https://docs.microsoft.com/azure/aks/limit-egress-traffic" TargetMode="External"/><Relationship Id="rId31" Type="http://schemas.openxmlformats.org/officeDocument/2006/relationships/hyperlink" Target="https://docs.microsoft.com/azure/aks/availability-zones" TargetMode="External"/><Relationship Id="rId44" Type="http://schemas.openxmlformats.org/officeDocument/2006/relationships/hyperlink" Target="https://docs.microsoft.com/azure/aks/concepts-scale" TargetMode="External"/><Relationship Id="rId52" Type="http://schemas.openxmlformats.org/officeDocument/2006/relationships/hyperlink" Target="https://docs.microsoft.com/azure/aks/operator-best-practices-identity" TargetMode="External"/><Relationship Id="rId60" Type="http://schemas.openxmlformats.org/officeDocument/2006/relationships/hyperlink" Target="https://docs.microsoft.com/azure/aks/servicemesh-about" TargetMode="External"/><Relationship Id="rId65" Type="http://schemas.openxmlformats.org/officeDocument/2006/relationships/hyperlink" Target="https://docs.microsoft.com/azure/aks/use-multiple-node-pools" TargetMode="External"/><Relationship Id="rId73" Type="http://schemas.openxmlformats.org/officeDocument/2006/relationships/hyperlink" Target="https://docs.microsoft.com/azure/virtual-machines/premium-storage-performance" TargetMode="External"/><Relationship Id="rId78" Type="http://schemas.openxmlformats.org/officeDocument/2006/relationships/printerSettings" Target="../printerSettings/printerSettings1.bin"/><Relationship Id="rId81" Type="http://schemas.openxmlformats.org/officeDocument/2006/relationships/ctrlProp" Target="../ctrlProps/ctrlProp1.xml"/><Relationship Id="rId4" Type="http://schemas.openxmlformats.org/officeDocument/2006/relationships/hyperlink" Target="https://docs.microsoft.com/azure/aks/availability-zones" TargetMode="External"/><Relationship Id="rId9" Type="http://schemas.openxmlformats.org/officeDocument/2006/relationships/hyperlink" Target="https://docs.microsoft.com/azure/aks/internal-lb" TargetMode="External"/><Relationship Id="rId13" Type="http://schemas.openxmlformats.org/officeDocument/2006/relationships/hyperlink" Target="https://docs.microsoft.com/azure/aks/operator-best-practices-network" TargetMode="External"/><Relationship Id="rId18" Type="http://schemas.openxmlformats.org/officeDocument/2006/relationships/hyperlink" Target="https://docs.microsoft.com/azure/expressroute/designing-for-disaster-recovery-with-expressroute-privatepeering" TargetMode="External"/><Relationship Id="rId39" Type="http://schemas.openxmlformats.org/officeDocument/2006/relationships/hyperlink" Target="https://docs.microsoft.com/azure/architecture/reference-architectures/containers/aks/secure-baseline-aks" TargetMode="External"/><Relationship Id="rId34" Type="http://schemas.openxmlformats.org/officeDocument/2006/relationships/hyperlink" Target="https://docs.microsoft.com/azure/architecture/example-scenario/bedrock/bedrock-automated-deployments" TargetMode="External"/><Relationship Id="rId50" Type="http://schemas.openxmlformats.org/officeDocument/2006/relationships/hyperlink" Target="https://docs.microsoft.com/azure/aks/manage-azure-rbac" TargetMode="External"/><Relationship Id="rId55" Type="http://schemas.openxmlformats.org/officeDocument/2006/relationships/hyperlink" Target="https://blog.cloudtrooper.net/2020/10/23/which-vm-size-should-i-choose-as-aks-node/" TargetMode="External"/><Relationship Id="rId76" Type="http://schemas.openxmlformats.org/officeDocument/2006/relationships/hyperlink" Target="https://docs.microsoft.com/virtualization/windowscontainers/deploy-containers/version-compatibility?tabs=windows-server-20H2%2Cwindows-10-20H2" TargetMode="External"/><Relationship Id="rId7" Type="http://schemas.openxmlformats.org/officeDocument/2006/relationships/hyperlink" Target="https://docs.microsoft.com/azure/aks/configure-azure-cni" TargetMode="External"/><Relationship Id="rId71" Type="http://schemas.openxmlformats.org/officeDocument/2006/relationships/hyperlink" Target="https://docs.microsoft.com/azure/azure-resource-manager/management/azure-subscription-service-limits" TargetMode="External"/><Relationship Id="rId2" Type="http://schemas.openxmlformats.org/officeDocument/2006/relationships/hyperlink" Target="https://docs.microsoft.com/azure/aks/operator-best-practices-scheduler" TargetMode="External"/><Relationship Id="rId29" Type="http://schemas.openxmlformats.org/officeDocument/2006/relationships/hyperlink" Target="https://docs.microsoft.com/azure/aks/use-managed-identity" TargetMode="External"/><Relationship Id="rId24" Type="http://schemas.openxmlformats.org/officeDocument/2006/relationships/hyperlink" Target="https://docs.microsoft.com/azure/security-center/container-security" TargetMode="External"/><Relationship Id="rId40" Type="http://schemas.openxmlformats.org/officeDocument/2006/relationships/hyperlink" Target="https://docs.microsoft.com/azure/developer/terraform/create-k8s-cluster-with-tf-and-aks" TargetMode="External"/><Relationship Id="rId45" Type="http://schemas.openxmlformats.org/officeDocument/2006/relationships/hyperlink" Target="https://docs.microsoft.com/azure/aks/concepts-scale" TargetMode="External"/><Relationship Id="rId66" Type="http://schemas.openxmlformats.org/officeDocument/2006/relationships/hyperlink" Target="https://docs.microsoft.com/azure/aks/cluster-configuration"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5" x14ac:dyDescent="0.25"/>
  <cols>
    <col min="1" max="1" width="28.28515625" customWidth="1"/>
  </cols>
  <sheetData>
    <row r="2" spans="1:13" ht="31.5" x14ac:dyDescent="0.5">
      <c r="A2" s="17" t="s">
        <v>20</v>
      </c>
      <c r="D2" s="20">
        <f>S27</f>
        <v>0</v>
      </c>
    </row>
    <row r="5" spans="1:13" x14ac:dyDescent="0.25">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117</v>
      </c>
    </row>
    <row r="6" spans="1:13" x14ac:dyDescent="0.25">
      <c r="A6" s="16" t="str">
        <f>Values!A2</f>
        <v>High</v>
      </c>
      <c r="B6" cm="1">
        <f t="array" ref="B6">SUMPRODUCT(--(Checklist!$D$5:$G$500=$A6)*--(Checklist!$E$5:$E$500=B$5))</f>
        <v>28</v>
      </c>
      <c r="C6" cm="1">
        <f t="array" ref="C6">SUMPRODUCT(--(Checklist!$D$5:$G$500=$A6)*--(Checklist!$E$5:$E$500=C$5))</f>
        <v>0</v>
      </c>
      <c r="D6" cm="1">
        <f t="array" ref="D6">SUMPRODUCT(--(Checklist!$D$5:$G$500=$A6)*--(Checklist!$E$5:$E$500=D$5))</f>
        <v>0</v>
      </c>
      <c r="E6" cm="1">
        <f t="array" ref="E6">SUMPRODUCT(--(Checklist!$D$5:$G$500=$A6)*--(Checklist!$E$5:$E$500=E$5))</f>
        <v>0</v>
      </c>
      <c r="F6">
        <f>SUM(B6:E6)</f>
        <v>28</v>
      </c>
      <c r="H6" s="16" t="str">
        <f>IF(Values!$C2="","",Values!$C2)</f>
        <v>Identity and Access Management</v>
      </c>
      <c r="I6" cm="1">
        <f t="array" ref="I6">IF($H6="","",SUMPRODUCT(--(Checklist!$A$5:$A$500=$H6)*--(Checklist!$E$5:$E$500=I$5)))</f>
        <v>6</v>
      </c>
      <c r="J6" cm="1">
        <f t="array" ref="J6">IF($H6="","",SUMPRODUCT(--(Checklist!$A$5:$A$500=$H6)*--(Checklist!$E$5:$E$500=J$5)))</f>
        <v>0</v>
      </c>
      <c r="K6" cm="1">
        <f t="array" ref="K6">IF($H6="","",SUMPRODUCT(--(Checklist!$A$5:$A$500=$H6)*--(Checklist!$E$5:$E$500=K$5)))</f>
        <v>0</v>
      </c>
      <c r="L6" cm="1">
        <f t="array" ref="L6">IF($H6="","",SUMPRODUCT(--(Checklist!$A$5:$A$500=$H6)*--(Checklist!$E$5:$E$500=L$5)))</f>
        <v>0</v>
      </c>
      <c r="M6">
        <f>IF($H6="","",SUM(I6:L6))</f>
        <v>6</v>
      </c>
    </row>
    <row r="7" spans="1:13" x14ac:dyDescent="0.25">
      <c r="A7" s="16" t="str">
        <f>Values!A3</f>
        <v>Medium</v>
      </c>
      <c r="B7" cm="1">
        <f t="array" ref="B7">SUMPRODUCT(--(Checklist!$D$5:$G$500=$A7)*--(Checklist!$E$5:$E$500=B$5))</f>
        <v>33</v>
      </c>
      <c r="C7" cm="1">
        <f t="array" ref="C7">SUMPRODUCT(--(Checklist!$D$5:$G$500=$A7)*--(Checklist!$E$5:$E$500=C$5))</f>
        <v>0</v>
      </c>
      <c r="D7" cm="1">
        <f t="array" ref="D7">SUMPRODUCT(--(Checklist!$D$5:$G$500=$A7)*--(Checklist!$E$5:$E$500=D$5))</f>
        <v>0</v>
      </c>
      <c r="E7" cm="1">
        <f t="array" ref="E7">SUMPRODUCT(--(Checklist!$D$5:$G$500=$A7)*--(Checklist!$E$5:$E$500=E$5))</f>
        <v>0</v>
      </c>
      <c r="F7">
        <f t="shared" ref="F7:F8" si="0">SUM(B7:E7)</f>
        <v>33</v>
      </c>
      <c r="H7" s="16" t="str">
        <f>IF(Values!$C3="","",Values!$C3)</f>
        <v>Network Topology and Connectivity</v>
      </c>
      <c r="I7" cm="1">
        <f t="array" ref="I7">IF($H7="","",SUMPRODUCT(--(Checklist!$A$5:$A$500=$H7)*--(Checklist!$E$5:$E$500=I$5)))</f>
        <v>17</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17</v>
      </c>
    </row>
    <row r="8" spans="1:13" x14ac:dyDescent="0.25">
      <c r="A8" s="16" t="str">
        <f>Values!A4</f>
        <v>Low</v>
      </c>
      <c r="B8" cm="1">
        <f t="array" ref="B8">SUMPRODUCT(--(Checklist!$D$5:$G$500=$A8)*--(Checklist!$E$5:$E$500=B$5))</f>
        <v>16</v>
      </c>
      <c r="C8" cm="1">
        <f t="array" ref="C8">SUMPRODUCT(--(Checklist!$D$5:$G$500=$A8)*--(Checklist!$E$5:$E$500=C$5))</f>
        <v>0</v>
      </c>
      <c r="D8" cm="1">
        <f t="array" ref="D8">SUMPRODUCT(--(Checklist!$D$5:$G$500=$A8)*--(Checklist!$E$5:$E$500=D$5))</f>
        <v>0</v>
      </c>
      <c r="E8" cm="1">
        <f t="array" ref="E8">SUMPRODUCT(--(Checklist!$D$5:$G$500=$A8)*--(Checklist!$E$5:$E$500=E$5))</f>
        <v>0</v>
      </c>
      <c r="F8">
        <f t="shared" si="0"/>
        <v>16</v>
      </c>
      <c r="H8" s="16" t="str">
        <f>IF(Values!$C4="","",Values!$C4)</f>
        <v>BC and DR</v>
      </c>
      <c r="I8" cm="1">
        <f t="array" ref="I8">IF($H8="","",SUMPRODUCT(--(Checklist!$A$5:$A$500=$H8)*--(Checklist!$E$5:$E$500=I$5)))</f>
        <v>7</v>
      </c>
      <c r="J8" cm="1">
        <f t="array" ref="J8">IF($H8="","",SUMPRODUCT(--(Checklist!$A$5:$A$500=$H8)*--(Checklist!$E$5:$E$500=J$5)))</f>
        <v>0</v>
      </c>
      <c r="K8" cm="1">
        <f t="array" ref="K8">IF($H8="","",SUMPRODUCT(--(Checklist!$A$5:$A$500=$H8)*--(Checklist!$E$5:$E$500=K$5)))</f>
        <v>0</v>
      </c>
      <c r="L8" cm="1">
        <f t="array" ref="L8">IF($H8="","",SUMPRODUCT(--(Checklist!$A$5:$A$500=$H8)*--(Checklist!$E$5:$E$500=L$5)))</f>
        <v>0</v>
      </c>
      <c r="M8">
        <f t="shared" si="1"/>
        <v>7</v>
      </c>
    </row>
    <row r="9" spans="1:13" x14ac:dyDescent="0.25">
      <c r="B9">
        <f>SUM(B6:B8)</f>
        <v>77</v>
      </c>
      <c r="C9">
        <f t="shared" ref="C9:E9" si="2">SUM(C6:C8)</f>
        <v>0</v>
      </c>
      <c r="D9">
        <f t="shared" si="2"/>
        <v>0</v>
      </c>
      <c r="E9">
        <f t="shared" si="2"/>
        <v>0</v>
      </c>
      <c r="F9" s="16">
        <f>SUM(F6:F8)</f>
        <v>77</v>
      </c>
      <c r="H9" s="16" t="str">
        <f>IF(Values!$C5="","",Values!$C5)</f>
        <v>Governance and Security</v>
      </c>
      <c r="I9" cm="1">
        <f t="array" ref="I9">IF($H9="","",SUMPRODUCT(--(Checklist!$A$5:$A$500=$H9)*--(Checklist!$E$5:$E$500=I$5)))</f>
        <v>10</v>
      </c>
      <c r="J9" cm="1">
        <f t="array" ref="J9">IF($H9="","",SUMPRODUCT(--(Checklist!$A$5:$A$500=$H9)*--(Checklist!$E$5:$E$500=J$5)))</f>
        <v>0</v>
      </c>
      <c r="K9" cm="1">
        <f t="array" ref="K9">IF($H9="","",SUMPRODUCT(--(Checklist!$A$5:$A$500=$H9)*--(Checklist!$E$5:$E$500=K$5)))</f>
        <v>0</v>
      </c>
      <c r="L9" cm="1">
        <f t="array" ref="L9">IF($H9="","",SUMPRODUCT(--(Checklist!$A$5:$A$500=$H9)*--(Checklist!$E$5:$E$500=L$5)))</f>
        <v>0</v>
      </c>
      <c r="M9">
        <f t="shared" si="1"/>
        <v>10</v>
      </c>
    </row>
    <row r="10" spans="1:13" x14ac:dyDescent="0.25">
      <c r="H10" s="16" t="str">
        <f>IF(Values!$C6="","",Values!$C6)</f>
        <v>Cost Governance</v>
      </c>
      <c r="I10" cm="1">
        <f t="array" ref="I10">IF($H10="","",SUMPRODUCT(--(Checklist!$A$5:$A$500=$H10)*--(Checklist!$E$5:$E$500=I$5)))</f>
        <v>1</v>
      </c>
      <c r="J10" cm="1">
        <f t="array" ref="J10">IF($H10="","",SUMPRODUCT(--(Checklist!$A$5:$A$500=$H10)*--(Checklist!$E$5:$E$500=J$5)))</f>
        <v>0</v>
      </c>
      <c r="K10" cm="1">
        <f t="array" ref="K10">IF($H10="","",SUMPRODUCT(--(Checklist!$A$5:$A$500=$H10)*--(Checklist!$E$5:$E$500=K$5)))</f>
        <v>0</v>
      </c>
      <c r="L10" cm="1">
        <f t="array" ref="L10">IF($H10="","",SUMPRODUCT(--(Checklist!$A$5:$A$500=$H10)*--(Checklist!$E$5:$E$500=L$5)))</f>
        <v>0</v>
      </c>
      <c r="M10">
        <f t="shared" si="1"/>
        <v>1</v>
      </c>
    </row>
    <row r="11" spans="1:13" x14ac:dyDescent="0.25">
      <c r="H11" s="16" t="str">
        <f>IF(Values!$C7="","",Values!$C7)</f>
        <v>Operations</v>
      </c>
      <c r="I11" cm="1">
        <f t="array" ref="I11">IF($H11="","",SUMPRODUCT(--(Checklist!$A$5:$A$500=$H11)*--(Checklist!$E$5:$E$500=I$5)))</f>
        <v>32</v>
      </c>
      <c r="J11" cm="1">
        <f t="array" ref="J11">IF($H11="","",SUMPRODUCT(--(Checklist!$A$5:$A$500=$H11)*--(Checklist!$E$5:$E$500=J$5)))</f>
        <v>0</v>
      </c>
      <c r="K11" cm="1">
        <f t="array" ref="K11">IF($H11="","",SUMPRODUCT(--(Checklist!$A$5:$A$500=$H11)*--(Checklist!$E$5:$E$500=K$5)))</f>
        <v>0</v>
      </c>
      <c r="L11" cm="1">
        <f t="array" ref="L11">IF($H11="","",SUMPRODUCT(--(Checklist!$A$5:$A$500=$H11)*--(Checklist!$E$5:$E$500=L$5)))</f>
        <v>0</v>
      </c>
      <c r="M11">
        <f t="shared" si="1"/>
        <v>32</v>
      </c>
    </row>
    <row r="12" spans="1:13" x14ac:dyDescent="0.25">
      <c r="H12" s="16" t="str">
        <f>IF(Values!$C8="","",Values!$C8)</f>
        <v>Application Deployment</v>
      </c>
      <c r="I12" cm="1">
        <f t="array" ref="I12">IF($H12="","",SUMPRODUCT(--(Checklist!$A$5:$A$500=$H12)*--(Checklist!$E$5:$E$500=I$5)))</f>
        <v>4</v>
      </c>
      <c r="J12" cm="1">
        <f t="array" ref="J12">IF($H12="","",SUMPRODUCT(--(Checklist!$A$5:$A$500=$H12)*--(Checklist!$E$5:$E$500=J$5)))</f>
        <v>0</v>
      </c>
      <c r="K12" cm="1">
        <f t="array" ref="K12">IF($H12="","",SUMPRODUCT(--(Checklist!$A$5:$A$500=$H12)*--(Checklist!$E$5:$E$500=K$5)))</f>
        <v>0</v>
      </c>
      <c r="L12" cm="1">
        <f t="array" ref="L12">IF($H12="","",SUMPRODUCT(--(Checklist!$A$5:$A$500=$H12)*--(Checklist!$E$5:$E$500=L$5)))</f>
        <v>0</v>
      </c>
      <c r="M12">
        <f t="shared" si="1"/>
        <v>4</v>
      </c>
    </row>
    <row r="13" spans="1:13" x14ac:dyDescent="0.25">
      <c r="I13">
        <f>SUM(I6:I12)</f>
        <v>77</v>
      </c>
      <c r="J13">
        <f t="shared" ref="J13:M13" si="3">SUM(J6:J12)</f>
        <v>0</v>
      </c>
      <c r="K13">
        <f t="shared" si="3"/>
        <v>0</v>
      </c>
      <c r="L13">
        <f t="shared" si="3"/>
        <v>0</v>
      </c>
      <c r="M13" s="16">
        <f t="shared" si="3"/>
        <v>77</v>
      </c>
    </row>
    <row r="19" spans="14:19" x14ac:dyDescent="0.25">
      <c r="O19" s="16" t="str">
        <f>Values!$B$2</f>
        <v>Not verified</v>
      </c>
      <c r="P19" s="16" t="str">
        <f>Values!$B$3</f>
        <v>Open</v>
      </c>
      <c r="Q19" s="16" t="s">
        <v>119</v>
      </c>
      <c r="R19" s="16" t="s">
        <v>117</v>
      </c>
      <c r="S19" s="16" t="s">
        <v>118</v>
      </c>
    </row>
    <row r="20" spans="14:19" x14ac:dyDescent="0.25">
      <c r="N20" s="16" t="str">
        <f>IF(Values!$C2="","",Values!$C2)</f>
        <v>Identity and Access Management</v>
      </c>
      <c r="O20" cm="1">
        <f t="array" ref="O20">IF($N20="","",SUMPRODUCT(--(Checklist!$A$5:$A$500=$N20)*--(Checklist!$E$5:$E$500=O$19)))</f>
        <v>6</v>
      </c>
      <c r="P20" cm="1">
        <f t="array" ref="P20">IF($N20="","",SUMPRODUCT(--(Checklist!$A$5:$A$500=$N20)*--(Checklist!$E$5:$E$500=P$19)))</f>
        <v>0</v>
      </c>
      <c r="Q20" cm="1">
        <f t="array" ref="Q20">IF($N20="","",SUMPRODUCT(--(Checklist!$A$5:$A$500=$N20)*(--(Checklist!$E$5:$E$500=Values!$B$4)+--(Checklist!$E$5:$E$500=Values!$B$5))))</f>
        <v>0</v>
      </c>
      <c r="R20">
        <f>IF($N20="","",SUM(O20:Q20))</f>
        <v>6</v>
      </c>
      <c r="S20" s="18">
        <f>IF($N20="","",Q20/R20)</f>
        <v>0</v>
      </c>
    </row>
    <row r="21" spans="14:19" x14ac:dyDescent="0.25">
      <c r="N21" s="16" t="str">
        <f>IF(Values!$C3="","",Values!$C3)</f>
        <v>Network Topology and Connectivity</v>
      </c>
      <c r="O21" cm="1">
        <f t="array" ref="O21">IF($N21="","",SUMPRODUCT(--(Checklist!$A$5:$A$500=$N21)*--(Checklist!$E$5:$E$500=O$19)))</f>
        <v>17</v>
      </c>
      <c r="P21" cm="1">
        <f t="array" ref="P21">IF($N21="","",SUMPRODUCT(--(Checklist!$A$5:$A$500=$N21)*--(Checklist!$E$5:$E$500=P$19)))</f>
        <v>0</v>
      </c>
      <c r="Q21" cm="1">
        <f t="array" ref="Q21">IF($N21="","",SUMPRODUCT(--(Checklist!$A$5:$A$500=$N21)*(--(Checklist!$E$5:$E$500=Values!$B$4)+--(Checklist!$E$5:$E$500=Values!$B$5))))</f>
        <v>0</v>
      </c>
      <c r="R21">
        <f t="shared" ref="R21:R26" si="4">IF($N21="","",SUM(O21:Q21))</f>
        <v>17</v>
      </c>
      <c r="S21" s="18">
        <f t="shared" ref="S21:S26" si="5">IF($N21="","",Q21/R21)</f>
        <v>0</v>
      </c>
    </row>
    <row r="22" spans="14:19" x14ac:dyDescent="0.25">
      <c r="N22" s="16" t="str">
        <f>IF(Values!$C4="","",Values!$C4)</f>
        <v>BC and DR</v>
      </c>
      <c r="O22" cm="1">
        <f t="array" ref="O22">IF($N22="","",SUMPRODUCT(--(Checklist!$A$5:$A$500=$N22)*--(Checklist!$E$5:$E$500=O$19)))</f>
        <v>7</v>
      </c>
      <c r="P22" cm="1">
        <f t="array" ref="P22">IF($N22="","",SUMPRODUCT(--(Checklist!$A$5:$A$500=$N22)*--(Checklist!$E$5:$E$500=P$19)))</f>
        <v>0</v>
      </c>
      <c r="Q22" cm="1">
        <f t="array" ref="Q22">IF($N22="","",SUMPRODUCT(--(Checklist!$A$5:$A$500=$N22)*(--(Checklist!$E$5:$E$500=Values!$B$4)+--(Checklist!$E$5:$E$500=Values!$B$5))))</f>
        <v>0</v>
      </c>
      <c r="R22">
        <f t="shared" si="4"/>
        <v>7</v>
      </c>
      <c r="S22" s="18">
        <f t="shared" si="5"/>
        <v>0</v>
      </c>
    </row>
    <row r="23" spans="14:19" x14ac:dyDescent="0.25">
      <c r="N23" s="16" t="str">
        <f>IF(Values!$C5="","",Values!$C5)</f>
        <v>Governance and Security</v>
      </c>
      <c r="O23" cm="1">
        <f t="array" ref="O23">IF($N23="","",SUMPRODUCT(--(Checklist!$A$5:$A$500=$N23)*--(Checklist!$E$5:$E$500=O$19)))</f>
        <v>10</v>
      </c>
      <c r="P23" cm="1">
        <f t="array" ref="P23">IF($N23="","",SUMPRODUCT(--(Checklist!$A$5:$A$500=$N23)*--(Checklist!$E$5:$E$500=P$19)))</f>
        <v>0</v>
      </c>
      <c r="Q23" cm="1">
        <f t="array" ref="Q23">IF($N23="","",SUMPRODUCT(--(Checklist!$A$5:$A$500=$N23)*(--(Checklist!$E$5:$E$500=Values!$B$4)+--(Checklist!$E$5:$E$500=Values!$B$5))))</f>
        <v>0</v>
      </c>
      <c r="R23">
        <f t="shared" si="4"/>
        <v>10</v>
      </c>
      <c r="S23" s="18">
        <f t="shared" si="5"/>
        <v>0</v>
      </c>
    </row>
    <row r="24" spans="14:19" x14ac:dyDescent="0.25">
      <c r="N24" s="16" t="str">
        <f>IF(Values!$C6="","",Values!$C6)</f>
        <v>Cost Governance</v>
      </c>
      <c r="O24" cm="1">
        <f t="array" ref="O24">IF($N24="","",SUMPRODUCT(--(Checklist!$A$5:$A$500=$N24)*--(Checklist!$E$5:$E$500=O$19)))</f>
        <v>1</v>
      </c>
      <c r="P24" cm="1">
        <f t="array" ref="P24">IF($N24="","",SUMPRODUCT(--(Checklist!$A$5:$A$500=$N24)*--(Checklist!$E$5:$E$500=P$19)))</f>
        <v>0</v>
      </c>
      <c r="Q24" cm="1">
        <f t="array" ref="Q24">IF($N24="","",SUMPRODUCT(--(Checklist!$A$5:$A$500=$N24)*(--(Checklist!$E$5:$E$500=Values!$B$4)+--(Checklist!$E$5:$E$500=Values!$B$5))))</f>
        <v>0</v>
      </c>
      <c r="R24">
        <f t="shared" si="4"/>
        <v>1</v>
      </c>
      <c r="S24" s="18">
        <f t="shared" si="5"/>
        <v>0</v>
      </c>
    </row>
    <row r="25" spans="14:19" x14ac:dyDescent="0.25">
      <c r="N25" s="16" t="str">
        <f>IF(Values!$C7="","",Values!$C7)</f>
        <v>Operations</v>
      </c>
      <c r="O25" cm="1">
        <f t="array" ref="O25">IF($N25="","",SUMPRODUCT(--(Checklist!$A$5:$A$500=$N25)*--(Checklist!$E$5:$E$500=O$19)))</f>
        <v>32</v>
      </c>
      <c r="P25" cm="1">
        <f t="array" ref="P25">IF($N25="","",SUMPRODUCT(--(Checklist!$A$5:$A$500=$N25)*--(Checklist!$E$5:$E$500=P$19)))</f>
        <v>0</v>
      </c>
      <c r="Q25" cm="1">
        <f t="array" ref="Q25">IF($N25="","",SUMPRODUCT(--(Checklist!$A$5:$A$500=$N25)*(--(Checklist!$E$5:$E$500=Values!$B$4)+--(Checklist!$E$5:$E$500=Values!$B$5))))</f>
        <v>0</v>
      </c>
      <c r="R25">
        <f t="shared" si="4"/>
        <v>32</v>
      </c>
      <c r="S25" s="18">
        <f t="shared" si="5"/>
        <v>0</v>
      </c>
    </row>
    <row r="26" spans="14:19" x14ac:dyDescent="0.25">
      <c r="N26" s="16" t="str">
        <f>IF(Values!$C8="","",Values!$C8)</f>
        <v>Application Deployment</v>
      </c>
      <c r="O26" cm="1">
        <f t="array" ref="O26">IF($N26="","",SUMPRODUCT(--(Checklist!$A$5:$A$500=$N26)*--(Checklist!$E$5:$E$500=O$19)))</f>
        <v>4</v>
      </c>
      <c r="P26" cm="1">
        <f t="array" ref="P26">IF($N26="","",SUMPRODUCT(--(Checklist!$A$5:$A$500=$N26)*--(Checklist!$E$5:$E$500=P$19)))</f>
        <v>0</v>
      </c>
      <c r="Q26" cm="1">
        <f t="array" ref="Q26">IF($N26="","",SUMPRODUCT(--(Checklist!$A$5:$A$500=$N26)*(--(Checklist!$E$5:$E$500=Values!$B$4)+--(Checklist!$E$5:$E$500=Values!$B$5))))</f>
        <v>0</v>
      </c>
      <c r="R26">
        <f t="shared" si="4"/>
        <v>4</v>
      </c>
      <c r="S26" s="18">
        <f t="shared" si="5"/>
        <v>0</v>
      </c>
    </row>
    <row r="27" spans="14:19" x14ac:dyDescent="0.25">
      <c r="O27">
        <f>SUM(O20:O26)</f>
        <v>77</v>
      </c>
      <c r="P27">
        <f>SUM(P20:P26)</f>
        <v>0</v>
      </c>
      <c r="Q27">
        <f>SUM(Q20:Q26)</f>
        <v>0</v>
      </c>
      <c r="R27" s="16">
        <f>SUM(R20:R26)</f>
        <v>77</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filterMode="1"/>
  <dimension ref="A1:G221"/>
  <sheetViews>
    <sheetView showGridLines="0" tabSelected="1" zoomScale="80" zoomScaleNormal="80" workbookViewId="0">
      <selection activeCell="A7" sqref="A7"/>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64.5703125" style="2" customWidth="1"/>
    <col min="7" max="7" width="18.42578125" style="2" customWidth="1"/>
    <col min="8" max="16384" width="9" style="2"/>
  </cols>
  <sheetData>
    <row r="1" spans="1:7" ht="121.9" customHeight="1" x14ac:dyDescent="0.3">
      <c r="A1" s="22"/>
      <c r="B1" s="22"/>
      <c r="C1" s="15" t="s">
        <v>18</v>
      </c>
    </row>
    <row r="2" spans="1:7" s="7" customFormat="1" x14ac:dyDescent="0.25">
      <c r="A2" s="5" t="s">
        <v>0</v>
      </c>
      <c r="B2" s="6"/>
      <c r="C2" s="5"/>
      <c r="D2" s="6"/>
      <c r="E2" s="6"/>
      <c r="F2" s="6"/>
      <c r="G2" s="6"/>
    </row>
    <row r="3" spans="1:7" x14ac:dyDescent="0.25">
      <c r="A3" s="4"/>
      <c r="B3" s="4"/>
      <c r="C3" s="9"/>
      <c r="D3" s="4"/>
      <c r="E3" s="4"/>
      <c r="F3" s="4"/>
      <c r="G3" s="4"/>
    </row>
    <row r="4" spans="1:7" s="8" customFormat="1" ht="25.5" x14ac:dyDescent="0.25">
      <c r="A4" s="8" t="s">
        <v>1</v>
      </c>
      <c r="B4" s="8" t="s">
        <v>2</v>
      </c>
      <c r="C4" s="8" t="s">
        <v>3</v>
      </c>
      <c r="D4" s="8" t="s">
        <v>4</v>
      </c>
      <c r="E4" s="8" t="s">
        <v>5</v>
      </c>
      <c r="F4" s="8" t="s">
        <v>6</v>
      </c>
      <c r="G4" s="8" t="s">
        <v>19</v>
      </c>
    </row>
    <row r="5" spans="1:7" ht="16.5" hidden="1" customHeight="1" x14ac:dyDescent="0.25">
      <c r="A5" s="2" t="s">
        <v>22</v>
      </c>
      <c r="B5" s="2" t="s">
        <v>23</v>
      </c>
      <c r="C5" s="2" t="s">
        <v>24</v>
      </c>
      <c r="D5" s="2" t="s">
        <v>7</v>
      </c>
      <c r="E5" s="2" t="s">
        <v>8</v>
      </c>
      <c r="G5" s="21" t="s">
        <v>19</v>
      </c>
    </row>
    <row r="6" spans="1:7" ht="16.5" hidden="1" customHeight="1" x14ac:dyDescent="0.25">
      <c r="A6" s="2" t="s">
        <v>22</v>
      </c>
      <c r="B6" s="2" t="s">
        <v>25</v>
      </c>
      <c r="C6" s="2" t="s">
        <v>26</v>
      </c>
      <c r="D6" s="2" t="s">
        <v>7</v>
      </c>
      <c r="E6" s="2" t="s">
        <v>8</v>
      </c>
      <c r="G6" s="21" t="s">
        <v>19</v>
      </c>
    </row>
    <row r="7" spans="1:7" ht="16.5" hidden="1" customHeight="1" x14ac:dyDescent="0.25">
      <c r="A7" s="2" t="s">
        <v>22</v>
      </c>
      <c r="B7" s="2" t="s">
        <v>25</v>
      </c>
      <c r="C7" s="2" t="s">
        <v>27</v>
      </c>
      <c r="D7" s="2" t="s">
        <v>10</v>
      </c>
      <c r="E7" s="2" t="s">
        <v>8</v>
      </c>
      <c r="G7" s="21" t="s">
        <v>19</v>
      </c>
    </row>
    <row r="8" spans="1:7" ht="16.5" hidden="1" customHeight="1" x14ac:dyDescent="0.25">
      <c r="A8" s="2" t="s">
        <v>22</v>
      </c>
      <c r="B8" s="2" t="s">
        <v>28</v>
      </c>
      <c r="C8" s="2" t="s">
        <v>29</v>
      </c>
      <c r="D8" s="2" t="s">
        <v>10</v>
      </c>
      <c r="E8" s="2" t="s">
        <v>8</v>
      </c>
      <c r="F8" s="1"/>
      <c r="G8" s="21" t="s">
        <v>19</v>
      </c>
    </row>
    <row r="9" spans="1:7" ht="16.5" hidden="1" customHeight="1" x14ac:dyDescent="0.25">
      <c r="A9" s="2" t="s">
        <v>22</v>
      </c>
      <c r="B9" s="2" t="s">
        <v>28</v>
      </c>
      <c r="C9" s="2" t="s">
        <v>30</v>
      </c>
      <c r="D9" s="2" t="s">
        <v>7</v>
      </c>
      <c r="E9" s="2" t="s">
        <v>8</v>
      </c>
      <c r="G9" s="21" t="s">
        <v>19</v>
      </c>
    </row>
    <row r="10" spans="1:7" ht="16.5" hidden="1" customHeight="1" x14ac:dyDescent="0.25">
      <c r="A10" s="2" t="s">
        <v>22</v>
      </c>
      <c r="B10" s="2" t="s">
        <v>28</v>
      </c>
      <c r="C10" s="2" t="s">
        <v>31</v>
      </c>
      <c r="D10" s="2" t="s">
        <v>9</v>
      </c>
      <c r="E10" s="2" t="s">
        <v>8</v>
      </c>
      <c r="F10" s="1"/>
      <c r="G10" s="21" t="s">
        <v>19</v>
      </c>
    </row>
    <row r="11" spans="1:7" ht="16.5" hidden="1" customHeight="1" x14ac:dyDescent="0.25">
      <c r="A11" s="2" t="s">
        <v>22</v>
      </c>
      <c r="B11" s="2" t="s">
        <v>28</v>
      </c>
      <c r="C11" s="2" t="s">
        <v>32</v>
      </c>
      <c r="D11" s="2" t="s">
        <v>7</v>
      </c>
      <c r="E11" s="2" t="s">
        <v>8</v>
      </c>
      <c r="G11" s="21" t="s">
        <v>19</v>
      </c>
    </row>
    <row r="12" spans="1:7" ht="16.5" hidden="1" customHeight="1" x14ac:dyDescent="0.25">
      <c r="A12" s="2" t="s">
        <v>33</v>
      </c>
      <c r="B12" s="2" t="s">
        <v>14</v>
      </c>
      <c r="C12" s="2" t="s">
        <v>34</v>
      </c>
      <c r="D12" s="2" t="s">
        <v>7</v>
      </c>
      <c r="E12" s="2" t="s">
        <v>8</v>
      </c>
      <c r="G12" s="21" t="s">
        <v>19</v>
      </c>
    </row>
    <row r="13" spans="1:7" ht="16.5" hidden="1" customHeight="1" x14ac:dyDescent="0.25">
      <c r="A13" s="2" t="s">
        <v>33</v>
      </c>
      <c r="B13" s="2" t="s">
        <v>14</v>
      </c>
      <c r="C13" s="1" t="s">
        <v>35</v>
      </c>
      <c r="D13" s="2" t="s">
        <v>10</v>
      </c>
      <c r="E13" s="2" t="s">
        <v>8</v>
      </c>
      <c r="G13" s="21" t="s">
        <v>19</v>
      </c>
    </row>
    <row r="14" spans="1:7" ht="16.5" hidden="1" customHeight="1" x14ac:dyDescent="0.25">
      <c r="A14" s="2" t="s">
        <v>33</v>
      </c>
      <c r="B14" s="2" t="s">
        <v>14</v>
      </c>
      <c r="C14" s="2" t="s">
        <v>36</v>
      </c>
      <c r="D14" s="2" t="s">
        <v>10</v>
      </c>
      <c r="E14" s="2" t="s">
        <v>8</v>
      </c>
      <c r="G14" s="21" t="s">
        <v>19</v>
      </c>
    </row>
    <row r="15" spans="1:7" ht="16.5" hidden="1" customHeight="1" x14ac:dyDescent="0.25">
      <c r="A15" s="2" t="s">
        <v>33</v>
      </c>
      <c r="B15" s="2" t="s">
        <v>14</v>
      </c>
      <c r="C15" s="2" t="s">
        <v>37</v>
      </c>
      <c r="D15" s="2" t="s">
        <v>10</v>
      </c>
      <c r="E15" s="2" t="s">
        <v>8</v>
      </c>
      <c r="G15" s="21" t="s">
        <v>19</v>
      </c>
    </row>
    <row r="16" spans="1:7" ht="16.5" hidden="1" customHeight="1" x14ac:dyDescent="0.25">
      <c r="A16" s="2" t="s">
        <v>33</v>
      </c>
      <c r="B16" s="2" t="s">
        <v>14</v>
      </c>
      <c r="C16" s="2" t="s">
        <v>38</v>
      </c>
      <c r="D16" s="2" t="s">
        <v>7</v>
      </c>
      <c r="E16" s="2" t="s">
        <v>8</v>
      </c>
      <c r="G16" s="21" t="s">
        <v>19</v>
      </c>
    </row>
    <row r="17" spans="1:7" ht="16.5" hidden="1" customHeight="1" x14ac:dyDescent="0.25">
      <c r="A17" s="2" t="s">
        <v>33</v>
      </c>
      <c r="B17" s="2" t="s">
        <v>14</v>
      </c>
      <c r="C17" s="2" t="s">
        <v>39</v>
      </c>
      <c r="D17" s="2" t="s">
        <v>10</v>
      </c>
      <c r="E17" s="2" t="s">
        <v>8</v>
      </c>
      <c r="G17" s="21" t="s">
        <v>19</v>
      </c>
    </row>
    <row r="18" spans="1:7" ht="16.5" hidden="1" customHeight="1" x14ac:dyDescent="0.25">
      <c r="A18" s="2" t="s">
        <v>40</v>
      </c>
      <c r="B18" s="2" t="s">
        <v>41</v>
      </c>
      <c r="C18" s="2" t="s">
        <v>42</v>
      </c>
      <c r="D18" s="2" t="s">
        <v>7</v>
      </c>
      <c r="E18" s="2" t="s">
        <v>8</v>
      </c>
      <c r="G18" s="21" t="s">
        <v>19</v>
      </c>
    </row>
    <row r="19" spans="1:7" ht="16.5" hidden="1" customHeight="1" x14ac:dyDescent="0.25">
      <c r="A19" s="2" t="s">
        <v>40</v>
      </c>
      <c r="B19" s="2" t="s">
        <v>41</v>
      </c>
      <c r="C19" s="2" t="s">
        <v>43</v>
      </c>
      <c r="D19" s="2" t="s">
        <v>7</v>
      </c>
      <c r="E19" s="2" t="s">
        <v>8</v>
      </c>
      <c r="G19" s="21" t="s">
        <v>19</v>
      </c>
    </row>
    <row r="20" spans="1:7" ht="16.5" hidden="1" customHeight="1" x14ac:dyDescent="0.25">
      <c r="A20" s="2" t="s">
        <v>40</v>
      </c>
      <c r="B20" s="2" t="s">
        <v>41</v>
      </c>
      <c r="C20" s="2" t="s">
        <v>44</v>
      </c>
      <c r="D20" s="2" t="s">
        <v>7</v>
      </c>
      <c r="E20" s="2" t="s">
        <v>8</v>
      </c>
      <c r="F20" s="1"/>
      <c r="G20" s="21" t="s">
        <v>19</v>
      </c>
    </row>
    <row r="21" spans="1:7" ht="16.5" hidden="1" customHeight="1" x14ac:dyDescent="0.25">
      <c r="A21" s="2" t="s">
        <v>40</v>
      </c>
      <c r="B21" s="2" t="s">
        <v>41</v>
      </c>
      <c r="C21" s="2" t="s">
        <v>45</v>
      </c>
      <c r="D21" s="2" t="s">
        <v>9</v>
      </c>
      <c r="E21" s="2" t="s">
        <v>8</v>
      </c>
      <c r="G21" s="21" t="s">
        <v>19</v>
      </c>
    </row>
    <row r="22" spans="1:7" ht="16.5" hidden="1" customHeight="1" x14ac:dyDescent="0.25">
      <c r="A22" s="2" t="s">
        <v>40</v>
      </c>
      <c r="B22" s="2" t="s">
        <v>16</v>
      </c>
      <c r="C22" s="2" t="s">
        <v>46</v>
      </c>
      <c r="D22" s="2" t="s">
        <v>7</v>
      </c>
      <c r="E22" s="2" t="s">
        <v>8</v>
      </c>
      <c r="G22" s="21" t="s">
        <v>19</v>
      </c>
    </row>
    <row r="23" spans="1:7" ht="16.5" hidden="1" customHeight="1" x14ac:dyDescent="0.25">
      <c r="A23" s="2" t="s">
        <v>40</v>
      </c>
      <c r="B23" s="2" t="s">
        <v>16</v>
      </c>
      <c r="C23" s="2" t="s">
        <v>47</v>
      </c>
      <c r="D23" s="2" t="s">
        <v>10</v>
      </c>
      <c r="E23" s="2" t="s">
        <v>8</v>
      </c>
      <c r="G23" s="21" t="s">
        <v>19</v>
      </c>
    </row>
    <row r="24" spans="1:7" ht="16.5" hidden="1" customHeight="1" x14ac:dyDescent="0.25">
      <c r="A24" s="2" t="s">
        <v>40</v>
      </c>
      <c r="B24" s="2" t="s">
        <v>48</v>
      </c>
      <c r="C24" s="2" t="s">
        <v>49</v>
      </c>
      <c r="D24" s="2" t="s">
        <v>10</v>
      </c>
      <c r="E24" s="2" t="s">
        <v>8</v>
      </c>
      <c r="G24" s="21" t="s">
        <v>19</v>
      </c>
    </row>
    <row r="25" spans="1:7" ht="16.5" hidden="1" customHeight="1" x14ac:dyDescent="0.25">
      <c r="A25" s="2" t="s">
        <v>40</v>
      </c>
      <c r="B25" s="2" t="s">
        <v>50</v>
      </c>
      <c r="C25" s="2" t="s">
        <v>51</v>
      </c>
      <c r="D25" s="2" t="s">
        <v>10</v>
      </c>
      <c r="E25" s="2" t="s">
        <v>8</v>
      </c>
      <c r="G25" s="21" t="s">
        <v>19</v>
      </c>
    </row>
    <row r="26" spans="1:7" ht="16.5" hidden="1" customHeight="1" x14ac:dyDescent="0.25">
      <c r="A26" s="2" t="s">
        <v>40</v>
      </c>
      <c r="B26" s="2" t="s">
        <v>52</v>
      </c>
      <c r="C26" s="2" t="s">
        <v>53</v>
      </c>
      <c r="D26" s="2" t="s">
        <v>10</v>
      </c>
      <c r="E26" s="2" t="s">
        <v>8</v>
      </c>
      <c r="G26" s="21" t="s">
        <v>19</v>
      </c>
    </row>
    <row r="27" spans="1:7" ht="16.5" hidden="1" customHeight="1" x14ac:dyDescent="0.25">
      <c r="A27" s="2" t="s">
        <v>40</v>
      </c>
      <c r="B27" s="2" t="s">
        <v>16</v>
      </c>
      <c r="C27" s="2" t="s">
        <v>54</v>
      </c>
      <c r="D27" s="2" t="s">
        <v>7</v>
      </c>
      <c r="E27" s="2" t="s">
        <v>8</v>
      </c>
      <c r="G27" s="21" t="s">
        <v>19</v>
      </c>
    </row>
    <row r="28" spans="1:7" ht="16.5" hidden="1" customHeight="1" x14ac:dyDescent="0.25">
      <c r="A28" s="2" t="s">
        <v>40</v>
      </c>
      <c r="B28" s="2" t="s">
        <v>16</v>
      </c>
      <c r="C28" s="2" t="s">
        <v>55</v>
      </c>
      <c r="D28" s="2" t="s">
        <v>7</v>
      </c>
      <c r="E28" s="2" t="s">
        <v>8</v>
      </c>
      <c r="G28" s="21" t="s">
        <v>19</v>
      </c>
    </row>
    <row r="29" spans="1:7" ht="16.5" hidden="1" customHeight="1" x14ac:dyDescent="0.25">
      <c r="A29" s="2" t="s">
        <v>40</v>
      </c>
      <c r="B29" s="2" t="s">
        <v>16</v>
      </c>
      <c r="C29" s="2" t="s">
        <v>56</v>
      </c>
      <c r="D29" s="2" t="s">
        <v>7</v>
      </c>
      <c r="E29" s="2" t="s">
        <v>8</v>
      </c>
      <c r="G29" s="21" t="s">
        <v>19</v>
      </c>
    </row>
    <row r="30" spans="1:7" ht="16.5" hidden="1" customHeight="1" x14ac:dyDescent="0.25">
      <c r="A30" s="2" t="s">
        <v>40</v>
      </c>
      <c r="B30" s="2" t="s">
        <v>16</v>
      </c>
      <c r="C30" s="2" t="s">
        <v>57</v>
      </c>
      <c r="D30" s="2" t="s">
        <v>7</v>
      </c>
      <c r="E30" s="2" t="s">
        <v>8</v>
      </c>
      <c r="F30" s="1"/>
      <c r="G30" s="21" t="s">
        <v>19</v>
      </c>
    </row>
    <row r="31" spans="1:7" ht="16.5" hidden="1" customHeight="1" x14ac:dyDescent="0.25">
      <c r="A31" s="2" t="s">
        <v>40</v>
      </c>
      <c r="B31" s="2" t="s">
        <v>16</v>
      </c>
      <c r="C31" s="2" t="s">
        <v>58</v>
      </c>
      <c r="D31" s="2" t="s">
        <v>10</v>
      </c>
      <c r="E31" s="2" t="s">
        <v>8</v>
      </c>
      <c r="G31" s="21" t="s">
        <v>19</v>
      </c>
    </row>
    <row r="32" spans="1:7" ht="16.5" hidden="1" customHeight="1" x14ac:dyDescent="0.25">
      <c r="A32" s="2" t="s">
        <v>40</v>
      </c>
      <c r="B32" s="2" t="s">
        <v>50</v>
      </c>
      <c r="C32" s="2" t="s">
        <v>59</v>
      </c>
      <c r="D32" s="2" t="s">
        <v>7</v>
      </c>
      <c r="E32" s="2" t="s">
        <v>8</v>
      </c>
      <c r="G32" s="21" t="s">
        <v>19</v>
      </c>
    </row>
    <row r="33" spans="1:7" ht="16.5" hidden="1" customHeight="1" x14ac:dyDescent="0.25">
      <c r="A33" s="2" t="s">
        <v>40</v>
      </c>
      <c r="B33" s="2" t="s">
        <v>28</v>
      </c>
      <c r="C33" s="2" t="s">
        <v>60</v>
      </c>
      <c r="D33" s="2" t="s">
        <v>10</v>
      </c>
      <c r="E33" s="2" t="s">
        <v>8</v>
      </c>
      <c r="G33" s="21" t="s">
        <v>19</v>
      </c>
    </row>
    <row r="34" spans="1:7" ht="16.5" hidden="1" customHeight="1" x14ac:dyDescent="0.25">
      <c r="A34" s="2" t="s">
        <v>40</v>
      </c>
      <c r="B34" s="2" t="s">
        <v>16</v>
      </c>
      <c r="C34" s="2" t="s">
        <v>61</v>
      </c>
      <c r="D34" s="2" t="s">
        <v>10</v>
      </c>
      <c r="E34" s="2" t="s">
        <v>8</v>
      </c>
      <c r="F34" s="1"/>
      <c r="G34" s="21" t="s">
        <v>19</v>
      </c>
    </row>
    <row r="35" spans="1:7" ht="16.5" hidden="1" customHeight="1" x14ac:dyDescent="0.25">
      <c r="A35" s="1" t="s">
        <v>62</v>
      </c>
      <c r="B35" s="2" t="s">
        <v>17</v>
      </c>
      <c r="C35" s="2" t="s">
        <v>63</v>
      </c>
      <c r="D35" s="2" t="s">
        <v>10</v>
      </c>
      <c r="E35" s="2" t="s">
        <v>8</v>
      </c>
      <c r="G35" s="21" t="s">
        <v>19</v>
      </c>
    </row>
    <row r="36" spans="1:7" ht="16.5" hidden="1" customHeight="1" x14ac:dyDescent="0.25">
      <c r="A36" s="1" t="s">
        <v>62</v>
      </c>
      <c r="B36" s="2" t="s">
        <v>17</v>
      </c>
      <c r="C36" s="2" t="s">
        <v>64</v>
      </c>
      <c r="D36" s="2" t="s">
        <v>10</v>
      </c>
      <c r="E36" s="2" t="s">
        <v>8</v>
      </c>
      <c r="G36" s="21" t="s">
        <v>19</v>
      </c>
    </row>
    <row r="37" spans="1:7" ht="16.5" hidden="1" customHeight="1" x14ac:dyDescent="0.25">
      <c r="A37" s="1" t="s">
        <v>62</v>
      </c>
      <c r="B37" s="2" t="s">
        <v>17</v>
      </c>
      <c r="C37" s="2" t="s">
        <v>65</v>
      </c>
      <c r="D37" s="2" t="s">
        <v>7</v>
      </c>
      <c r="E37" s="2" t="s">
        <v>8</v>
      </c>
      <c r="G37" s="21" t="s">
        <v>19</v>
      </c>
    </row>
    <row r="38" spans="1:7" ht="16.5" hidden="1" customHeight="1" x14ac:dyDescent="0.25">
      <c r="A38" s="1" t="s">
        <v>62</v>
      </c>
      <c r="B38" s="2" t="s">
        <v>66</v>
      </c>
      <c r="C38" s="2" t="s">
        <v>67</v>
      </c>
      <c r="D38" s="2" t="s">
        <v>10</v>
      </c>
      <c r="E38" s="2" t="s">
        <v>8</v>
      </c>
      <c r="G38" s="21" t="s">
        <v>19</v>
      </c>
    </row>
    <row r="39" spans="1:7" ht="16.5" hidden="1" customHeight="1" x14ac:dyDescent="0.25">
      <c r="A39" s="1" t="s">
        <v>62</v>
      </c>
      <c r="B39" s="2" t="s">
        <v>66</v>
      </c>
      <c r="C39" s="2" t="s">
        <v>68</v>
      </c>
      <c r="D39" s="2" t="s">
        <v>10</v>
      </c>
      <c r="E39" s="2" t="s">
        <v>8</v>
      </c>
      <c r="G39" s="21" t="s">
        <v>19</v>
      </c>
    </row>
    <row r="40" spans="1:7" ht="16.5" hidden="1" customHeight="1" x14ac:dyDescent="0.25">
      <c r="A40" s="1" t="s">
        <v>62</v>
      </c>
      <c r="B40" s="2" t="s">
        <v>66</v>
      </c>
      <c r="C40" s="2" t="s">
        <v>69</v>
      </c>
      <c r="D40" s="2" t="s">
        <v>9</v>
      </c>
      <c r="E40" s="2" t="s">
        <v>8</v>
      </c>
      <c r="G40" s="21" t="s">
        <v>19</v>
      </c>
    </row>
    <row r="41" spans="1:7" ht="16.5" hidden="1" customHeight="1" x14ac:dyDescent="0.25">
      <c r="A41" s="1" t="s">
        <v>62</v>
      </c>
      <c r="B41" s="2" t="s">
        <v>66</v>
      </c>
      <c r="C41" s="1" t="s">
        <v>70</v>
      </c>
      <c r="D41" s="2" t="s">
        <v>10</v>
      </c>
      <c r="E41" s="2" t="s">
        <v>8</v>
      </c>
      <c r="G41" s="21" t="s">
        <v>19</v>
      </c>
    </row>
    <row r="42" spans="1:7" ht="16.5" hidden="1" customHeight="1" x14ac:dyDescent="0.25">
      <c r="A42" s="1" t="s">
        <v>62</v>
      </c>
      <c r="B42" s="2" t="s">
        <v>66</v>
      </c>
      <c r="C42" s="2" t="s">
        <v>71</v>
      </c>
      <c r="D42" s="2" t="s">
        <v>10</v>
      </c>
      <c r="E42" s="2" t="s">
        <v>8</v>
      </c>
      <c r="G42" s="21" t="s">
        <v>19</v>
      </c>
    </row>
    <row r="43" spans="1:7" ht="16.5" hidden="1" customHeight="1" x14ac:dyDescent="0.25">
      <c r="A43" s="1" t="s">
        <v>62</v>
      </c>
      <c r="B43" s="2" t="s">
        <v>66</v>
      </c>
      <c r="C43" s="2" t="s">
        <v>72</v>
      </c>
      <c r="D43" s="2" t="s">
        <v>10</v>
      </c>
      <c r="E43" s="2" t="s">
        <v>8</v>
      </c>
      <c r="G43" s="21" t="s">
        <v>19</v>
      </c>
    </row>
    <row r="44" spans="1:7" ht="16.5" hidden="1" customHeight="1" x14ac:dyDescent="0.25">
      <c r="A44" s="1" t="s">
        <v>62</v>
      </c>
      <c r="B44" s="2" t="s">
        <v>66</v>
      </c>
      <c r="C44" s="2" t="s">
        <v>73</v>
      </c>
      <c r="D44" s="2" t="s">
        <v>7</v>
      </c>
      <c r="E44" s="2" t="s">
        <v>8</v>
      </c>
      <c r="G44" s="21" t="s">
        <v>19</v>
      </c>
    </row>
    <row r="45" spans="1:7" ht="16.5" hidden="1" customHeight="1" x14ac:dyDescent="0.25">
      <c r="A45" s="1" t="s">
        <v>74</v>
      </c>
      <c r="B45" s="2" t="s">
        <v>52</v>
      </c>
      <c r="C45" s="2" t="s">
        <v>75</v>
      </c>
      <c r="D45" s="2" t="s">
        <v>9</v>
      </c>
      <c r="E45" s="2" t="s">
        <v>8</v>
      </c>
      <c r="G45" s="21" t="s">
        <v>19</v>
      </c>
    </row>
    <row r="46" spans="1:7" ht="16.5" customHeight="1" x14ac:dyDescent="0.25">
      <c r="A46" s="1" t="s">
        <v>76</v>
      </c>
      <c r="B46" s="2" t="s">
        <v>77</v>
      </c>
      <c r="C46" s="2" t="s">
        <v>78</v>
      </c>
      <c r="D46" s="2" t="s">
        <v>7</v>
      </c>
      <c r="E46" s="2" t="s">
        <v>8</v>
      </c>
      <c r="G46" s="21" t="s">
        <v>19</v>
      </c>
    </row>
    <row r="47" spans="1:7" ht="16.5" customHeight="1" x14ac:dyDescent="0.25">
      <c r="A47" s="1" t="s">
        <v>76</v>
      </c>
      <c r="B47" s="2" t="s">
        <v>77</v>
      </c>
      <c r="C47" s="2" t="s">
        <v>79</v>
      </c>
      <c r="D47" s="2" t="s">
        <v>7</v>
      </c>
      <c r="E47" s="2" t="s">
        <v>8</v>
      </c>
      <c r="G47" s="21" t="s">
        <v>19</v>
      </c>
    </row>
    <row r="48" spans="1:7" ht="16.5" customHeight="1" x14ac:dyDescent="0.25">
      <c r="A48" s="1" t="s">
        <v>76</v>
      </c>
      <c r="B48" s="2" t="s">
        <v>77</v>
      </c>
      <c r="C48" s="2" t="s">
        <v>80</v>
      </c>
      <c r="D48" s="2" t="s">
        <v>10</v>
      </c>
      <c r="E48" s="2" t="s">
        <v>8</v>
      </c>
      <c r="G48" s="21" t="s">
        <v>19</v>
      </c>
    </row>
    <row r="49" spans="1:7" ht="16.5" customHeight="1" x14ac:dyDescent="0.25">
      <c r="A49" s="1" t="s">
        <v>76</v>
      </c>
      <c r="B49" s="2" t="s">
        <v>77</v>
      </c>
      <c r="C49" s="2" t="s">
        <v>81</v>
      </c>
      <c r="D49" s="2" t="s">
        <v>10</v>
      </c>
      <c r="E49" s="2" t="s">
        <v>8</v>
      </c>
      <c r="G49" s="21" t="s">
        <v>19</v>
      </c>
    </row>
    <row r="50" spans="1:7" ht="16.5" customHeight="1" x14ac:dyDescent="0.25">
      <c r="A50" s="1" t="s">
        <v>76</v>
      </c>
      <c r="B50" s="2" t="s">
        <v>77</v>
      </c>
      <c r="C50" s="2" t="s">
        <v>82</v>
      </c>
      <c r="D50" s="2" t="s">
        <v>10</v>
      </c>
      <c r="E50" s="2" t="s">
        <v>8</v>
      </c>
      <c r="G50" s="21" t="s">
        <v>19</v>
      </c>
    </row>
    <row r="51" spans="1:7" ht="16.5" customHeight="1" x14ac:dyDescent="0.25">
      <c r="A51" s="1" t="s">
        <v>76</v>
      </c>
      <c r="B51" s="2" t="s">
        <v>66</v>
      </c>
      <c r="C51" s="2" t="s">
        <v>83</v>
      </c>
      <c r="D51" s="2" t="s">
        <v>9</v>
      </c>
      <c r="E51" s="2" t="s">
        <v>8</v>
      </c>
      <c r="G51" s="21" t="s">
        <v>19</v>
      </c>
    </row>
    <row r="52" spans="1:7" ht="16.5" customHeight="1" x14ac:dyDescent="0.25">
      <c r="A52" s="1" t="s">
        <v>76</v>
      </c>
      <c r="B52" s="2" t="s">
        <v>66</v>
      </c>
      <c r="C52" s="2" t="s">
        <v>84</v>
      </c>
      <c r="D52" s="2" t="s">
        <v>9</v>
      </c>
      <c r="E52" s="2" t="s">
        <v>8</v>
      </c>
      <c r="G52" s="21" t="s">
        <v>19</v>
      </c>
    </row>
    <row r="53" spans="1:7" ht="16.5" customHeight="1" x14ac:dyDescent="0.25">
      <c r="A53" s="1" t="s">
        <v>76</v>
      </c>
      <c r="B53" s="2" t="s">
        <v>15</v>
      </c>
      <c r="C53" s="2" t="s">
        <v>85</v>
      </c>
      <c r="D53" s="2" t="s">
        <v>7</v>
      </c>
      <c r="E53" s="2" t="s">
        <v>8</v>
      </c>
      <c r="G53" s="21" t="s">
        <v>19</v>
      </c>
    </row>
    <row r="54" spans="1:7" ht="16.5" customHeight="1" x14ac:dyDescent="0.25">
      <c r="A54" s="1" t="s">
        <v>76</v>
      </c>
      <c r="B54" s="2" t="s">
        <v>15</v>
      </c>
      <c r="C54" s="2" t="s">
        <v>86</v>
      </c>
      <c r="D54" s="2" t="s">
        <v>7</v>
      </c>
      <c r="E54" s="2" t="s">
        <v>8</v>
      </c>
      <c r="G54" s="21" t="s">
        <v>19</v>
      </c>
    </row>
    <row r="55" spans="1:7" ht="16.5" customHeight="1" x14ac:dyDescent="0.25">
      <c r="A55" s="1" t="s">
        <v>76</v>
      </c>
      <c r="B55" s="2" t="s">
        <v>87</v>
      </c>
      <c r="C55" s="2" t="s">
        <v>88</v>
      </c>
      <c r="D55" s="2" t="s">
        <v>7</v>
      </c>
      <c r="E55" s="2" t="s">
        <v>8</v>
      </c>
      <c r="G55" s="21" t="s">
        <v>19</v>
      </c>
    </row>
    <row r="56" spans="1:7" ht="16.5" customHeight="1" x14ac:dyDescent="0.25">
      <c r="A56" s="1" t="s">
        <v>76</v>
      </c>
      <c r="B56" s="2" t="s">
        <v>66</v>
      </c>
      <c r="C56" s="1" t="s">
        <v>89</v>
      </c>
      <c r="D56" s="2" t="s">
        <v>7</v>
      </c>
      <c r="E56" s="2" t="s">
        <v>8</v>
      </c>
      <c r="G56" s="21" t="s">
        <v>19</v>
      </c>
    </row>
    <row r="57" spans="1:7" ht="16.5" customHeight="1" x14ac:dyDescent="0.25">
      <c r="A57" s="1" t="s">
        <v>76</v>
      </c>
      <c r="B57" s="2" t="s">
        <v>66</v>
      </c>
      <c r="C57" s="1" t="s">
        <v>90</v>
      </c>
      <c r="D57" s="2" t="s">
        <v>7</v>
      </c>
      <c r="E57" s="2" t="s">
        <v>8</v>
      </c>
      <c r="G57" s="21" t="s">
        <v>19</v>
      </c>
    </row>
    <row r="58" spans="1:7" ht="16.5" customHeight="1" x14ac:dyDescent="0.25">
      <c r="A58" s="1" t="s">
        <v>76</v>
      </c>
      <c r="B58" s="2" t="s">
        <v>66</v>
      </c>
      <c r="C58" s="2" t="s">
        <v>91</v>
      </c>
      <c r="D58" s="2" t="s">
        <v>9</v>
      </c>
      <c r="E58" s="2" t="s">
        <v>8</v>
      </c>
      <c r="G58" s="21" t="s">
        <v>19</v>
      </c>
    </row>
    <row r="59" spans="1:7" ht="16.5" customHeight="1" x14ac:dyDescent="0.25">
      <c r="A59" s="1" t="s">
        <v>76</v>
      </c>
      <c r="B59" s="2" t="s">
        <v>52</v>
      </c>
      <c r="C59" s="1" t="s">
        <v>92</v>
      </c>
      <c r="D59" s="2" t="s">
        <v>9</v>
      </c>
      <c r="E59" s="2" t="s">
        <v>8</v>
      </c>
      <c r="G59" s="21" t="s">
        <v>19</v>
      </c>
    </row>
    <row r="60" spans="1:7" ht="16.5" customHeight="1" x14ac:dyDescent="0.25">
      <c r="A60" s="1" t="s">
        <v>76</v>
      </c>
      <c r="B60" s="2" t="s">
        <v>52</v>
      </c>
      <c r="C60" s="2" t="s">
        <v>93</v>
      </c>
      <c r="D60" s="2" t="s">
        <v>9</v>
      </c>
      <c r="E60" s="2" t="s">
        <v>8</v>
      </c>
      <c r="G60" s="21" t="s">
        <v>19</v>
      </c>
    </row>
    <row r="61" spans="1:7" ht="16.5" customHeight="1" x14ac:dyDescent="0.25">
      <c r="A61" s="1" t="s">
        <v>76</v>
      </c>
      <c r="B61" s="2" t="s">
        <v>52</v>
      </c>
      <c r="C61" s="2" t="s">
        <v>94</v>
      </c>
      <c r="D61" s="2" t="s">
        <v>9</v>
      </c>
      <c r="E61" s="2" t="s">
        <v>8</v>
      </c>
      <c r="G61" s="21" t="s">
        <v>19</v>
      </c>
    </row>
    <row r="62" spans="1:7" ht="16.5" customHeight="1" x14ac:dyDescent="0.25">
      <c r="A62" s="1" t="s">
        <v>76</v>
      </c>
      <c r="B62" s="2" t="s">
        <v>66</v>
      </c>
      <c r="C62" s="2" t="s">
        <v>120</v>
      </c>
      <c r="D62" s="2" t="s">
        <v>7</v>
      </c>
      <c r="E62" s="2" t="s">
        <v>8</v>
      </c>
      <c r="G62" s="21" t="s">
        <v>19</v>
      </c>
    </row>
    <row r="63" spans="1:7" ht="16.5" customHeight="1" x14ac:dyDescent="0.25">
      <c r="A63" s="1" t="s">
        <v>76</v>
      </c>
      <c r="B63" s="2" t="s">
        <v>66</v>
      </c>
      <c r="C63" s="2" t="s">
        <v>121</v>
      </c>
      <c r="D63" s="2" t="s">
        <v>9</v>
      </c>
      <c r="E63" s="2" t="s">
        <v>8</v>
      </c>
      <c r="G63" s="21" t="s">
        <v>19</v>
      </c>
    </row>
    <row r="64" spans="1:7" ht="16.5" customHeight="1" x14ac:dyDescent="0.25">
      <c r="A64" s="1" t="s">
        <v>76</v>
      </c>
      <c r="B64" s="2" t="s">
        <v>66</v>
      </c>
      <c r="C64" s="2" t="s">
        <v>95</v>
      </c>
      <c r="D64" s="2" t="s">
        <v>10</v>
      </c>
      <c r="E64" s="2" t="s">
        <v>8</v>
      </c>
      <c r="F64" s="1"/>
      <c r="G64" s="21" t="s">
        <v>19</v>
      </c>
    </row>
    <row r="65" spans="1:7" ht="16.5" customHeight="1" x14ac:dyDescent="0.25">
      <c r="A65" s="1" t="s">
        <v>76</v>
      </c>
      <c r="B65" s="2" t="s">
        <v>66</v>
      </c>
      <c r="C65" s="1" t="s">
        <v>96</v>
      </c>
      <c r="D65" s="2" t="s">
        <v>9</v>
      </c>
      <c r="E65" s="2" t="s">
        <v>8</v>
      </c>
      <c r="G65" s="21" t="s">
        <v>19</v>
      </c>
    </row>
    <row r="66" spans="1:7" ht="16.5" customHeight="1" x14ac:dyDescent="0.25">
      <c r="A66" s="1" t="s">
        <v>76</v>
      </c>
      <c r="B66" s="2" t="s">
        <v>66</v>
      </c>
      <c r="C66" s="2" t="s">
        <v>97</v>
      </c>
      <c r="D66" s="2" t="s">
        <v>9</v>
      </c>
      <c r="E66" s="2" t="s">
        <v>8</v>
      </c>
      <c r="G66" s="21" t="s">
        <v>19</v>
      </c>
    </row>
    <row r="67" spans="1:7" ht="16.5" customHeight="1" x14ac:dyDescent="0.25">
      <c r="A67" s="1" t="s">
        <v>76</v>
      </c>
      <c r="B67" s="2" t="s">
        <v>15</v>
      </c>
      <c r="C67" s="2" t="s">
        <v>98</v>
      </c>
      <c r="D67" s="2" t="s">
        <v>10</v>
      </c>
      <c r="E67" s="2" t="s">
        <v>8</v>
      </c>
      <c r="G67" s="21" t="s">
        <v>19</v>
      </c>
    </row>
    <row r="68" spans="1:7" ht="16.5" customHeight="1" x14ac:dyDescent="0.25">
      <c r="A68" s="1" t="s">
        <v>76</v>
      </c>
      <c r="B68" s="2" t="s">
        <v>15</v>
      </c>
      <c r="C68" s="2" t="s">
        <v>99</v>
      </c>
      <c r="D68" s="2" t="s">
        <v>10</v>
      </c>
      <c r="E68" s="2" t="s">
        <v>8</v>
      </c>
      <c r="G68" s="21" t="s">
        <v>19</v>
      </c>
    </row>
    <row r="69" spans="1:7" ht="16.5" customHeight="1" x14ac:dyDescent="0.25">
      <c r="A69" s="1" t="s">
        <v>76</v>
      </c>
      <c r="B69" s="2" t="s">
        <v>15</v>
      </c>
      <c r="C69" s="2" t="s">
        <v>100</v>
      </c>
      <c r="D69" s="2" t="s">
        <v>10</v>
      </c>
      <c r="E69" s="2" t="s">
        <v>8</v>
      </c>
      <c r="G69" s="21" t="s">
        <v>19</v>
      </c>
    </row>
    <row r="70" spans="1:7" ht="16.5" customHeight="1" x14ac:dyDescent="0.25">
      <c r="A70" s="1" t="s">
        <v>76</v>
      </c>
      <c r="B70" s="2" t="s">
        <v>15</v>
      </c>
      <c r="C70" s="2" t="s">
        <v>101</v>
      </c>
      <c r="D70" s="2" t="s">
        <v>10</v>
      </c>
      <c r="E70" s="2" t="s">
        <v>8</v>
      </c>
      <c r="G70" s="21" t="s">
        <v>19</v>
      </c>
    </row>
    <row r="71" spans="1:7" ht="16.5" customHeight="1" x14ac:dyDescent="0.25">
      <c r="A71" s="1" t="s">
        <v>76</v>
      </c>
      <c r="B71" s="2" t="s">
        <v>66</v>
      </c>
      <c r="C71" s="2" t="s">
        <v>102</v>
      </c>
      <c r="D71" s="2" t="s">
        <v>9</v>
      </c>
      <c r="E71" s="2" t="s">
        <v>8</v>
      </c>
      <c r="G71" s="21" t="s">
        <v>19</v>
      </c>
    </row>
    <row r="72" spans="1:7" ht="16.5" customHeight="1" x14ac:dyDescent="0.25">
      <c r="A72" s="1" t="s">
        <v>76</v>
      </c>
      <c r="B72" s="2" t="s">
        <v>48</v>
      </c>
      <c r="C72" s="2" t="s">
        <v>103</v>
      </c>
      <c r="D72" s="2" t="s">
        <v>10</v>
      </c>
      <c r="E72" s="2" t="s">
        <v>8</v>
      </c>
      <c r="G72" s="21" t="s">
        <v>19</v>
      </c>
    </row>
    <row r="73" spans="1:7" ht="16.5" customHeight="1" x14ac:dyDescent="0.25">
      <c r="A73" s="1" t="s">
        <v>76</v>
      </c>
      <c r="B73" s="2" t="s">
        <v>48</v>
      </c>
      <c r="C73" s="2" t="s">
        <v>104</v>
      </c>
      <c r="D73" s="2" t="s">
        <v>10</v>
      </c>
      <c r="E73" s="2" t="s">
        <v>8</v>
      </c>
      <c r="G73" s="21" t="s">
        <v>19</v>
      </c>
    </row>
    <row r="74" spans="1:7" ht="16.5" customHeight="1" x14ac:dyDescent="0.25">
      <c r="A74" s="1" t="s">
        <v>76</v>
      </c>
      <c r="B74" s="2" t="s">
        <v>48</v>
      </c>
      <c r="C74" s="2" t="s">
        <v>105</v>
      </c>
      <c r="D74" s="2" t="s">
        <v>7</v>
      </c>
      <c r="E74" s="2" t="s">
        <v>8</v>
      </c>
      <c r="G74" s="21" t="s">
        <v>19</v>
      </c>
    </row>
    <row r="75" spans="1:7" ht="16.5" customHeight="1" x14ac:dyDescent="0.25">
      <c r="A75" s="1" t="s">
        <v>76</v>
      </c>
      <c r="B75" s="2" t="s">
        <v>106</v>
      </c>
      <c r="C75" s="2" t="s">
        <v>107</v>
      </c>
      <c r="D75" s="2" t="s">
        <v>7</v>
      </c>
      <c r="E75" s="2" t="s">
        <v>8</v>
      </c>
      <c r="F75" s="1"/>
      <c r="G75" s="21" t="s">
        <v>19</v>
      </c>
    </row>
    <row r="76" spans="1:7" ht="16.5" customHeight="1" x14ac:dyDescent="0.25">
      <c r="A76" s="1" t="s">
        <v>76</v>
      </c>
      <c r="B76" s="2" t="s">
        <v>106</v>
      </c>
      <c r="C76" s="2" t="s">
        <v>108</v>
      </c>
      <c r="D76" s="2" t="s">
        <v>10</v>
      </c>
      <c r="E76" s="2" t="s">
        <v>8</v>
      </c>
      <c r="G76" s="21" t="s">
        <v>19</v>
      </c>
    </row>
    <row r="77" spans="1:7" ht="16.5" customHeight="1" x14ac:dyDescent="0.25">
      <c r="A77" s="1" t="s">
        <v>76</v>
      </c>
      <c r="B77" s="2" t="s">
        <v>106</v>
      </c>
      <c r="C77" s="2" t="s">
        <v>109</v>
      </c>
      <c r="D77" s="2" t="s">
        <v>7</v>
      </c>
      <c r="E77" s="2" t="s">
        <v>8</v>
      </c>
      <c r="G77" s="21" t="s">
        <v>19</v>
      </c>
    </row>
    <row r="78" spans="1:7" ht="16.5" hidden="1" customHeight="1" x14ac:dyDescent="0.25">
      <c r="A78" s="1" t="s">
        <v>110</v>
      </c>
      <c r="B78" s="2" t="s">
        <v>111</v>
      </c>
      <c r="C78" s="2" t="s">
        <v>112</v>
      </c>
      <c r="D78" s="2" t="s">
        <v>10</v>
      </c>
      <c r="E78" s="2" t="s">
        <v>8</v>
      </c>
      <c r="G78" s="21" t="s">
        <v>19</v>
      </c>
    </row>
    <row r="79" spans="1:7" ht="16.5" hidden="1" customHeight="1" x14ac:dyDescent="0.25">
      <c r="A79" s="1" t="s">
        <v>110</v>
      </c>
      <c r="B79" s="2" t="s">
        <v>113</v>
      </c>
      <c r="C79" s="2" t="s">
        <v>114</v>
      </c>
      <c r="D79" s="2" t="s">
        <v>10</v>
      </c>
      <c r="E79" s="2" t="s">
        <v>8</v>
      </c>
      <c r="G79" s="21" t="s">
        <v>19</v>
      </c>
    </row>
    <row r="80" spans="1:7" ht="16.5" hidden="1" customHeight="1" x14ac:dyDescent="0.25">
      <c r="A80" s="1" t="s">
        <v>110</v>
      </c>
      <c r="B80" s="2" t="s">
        <v>113</v>
      </c>
      <c r="C80" s="2" t="s">
        <v>115</v>
      </c>
      <c r="D80" s="2" t="s">
        <v>9</v>
      </c>
      <c r="E80" s="2" t="s">
        <v>8</v>
      </c>
      <c r="G80" s="21" t="s">
        <v>19</v>
      </c>
    </row>
    <row r="81" spans="1:7" ht="16.5" hidden="1" customHeight="1" x14ac:dyDescent="0.25">
      <c r="A81" s="1" t="s">
        <v>110</v>
      </c>
      <c r="B81" s="2" t="s">
        <v>113</v>
      </c>
      <c r="C81" s="1" t="s">
        <v>116</v>
      </c>
      <c r="D81" s="2" t="s">
        <v>9</v>
      </c>
      <c r="E81" s="2" t="s">
        <v>8</v>
      </c>
      <c r="G81" s="21" t="s">
        <v>19</v>
      </c>
    </row>
    <row r="82" spans="1:7" ht="16.5" hidden="1" customHeight="1" x14ac:dyDescent="0.25">
      <c r="B82" s="2"/>
      <c r="G82" s="14"/>
    </row>
    <row r="83" spans="1:7" ht="16.5" hidden="1" customHeight="1" x14ac:dyDescent="0.25">
      <c r="B83" s="2"/>
      <c r="G83" s="14"/>
    </row>
    <row r="84" spans="1:7" ht="16.5" hidden="1" customHeight="1" x14ac:dyDescent="0.25">
      <c r="B84" s="2"/>
      <c r="G84" s="14"/>
    </row>
    <row r="85" spans="1:7" ht="16.5" hidden="1" customHeight="1" x14ac:dyDescent="0.25">
      <c r="B85" s="2"/>
      <c r="C85" s="1"/>
      <c r="G85" s="14"/>
    </row>
    <row r="86" spans="1:7" ht="16.5" hidden="1" customHeight="1" x14ac:dyDescent="0.25">
      <c r="B86" s="2"/>
      <c r="G86" s="14"/>
    </row>
    <row r="87" spans="1:7" ht="16.5" hidden="1" customHeight="1" x14ac:dyDescent="0.25">
      <c r="B87" s="2"/>
      <c r="C87" s="1"/>
      <c r="G87" s="14"/>
    </row>
    <row r="88" spans="1:7" ht="16.5" hidden="1" customHeight="1" x14ac:dyDescent="0.25">
      <c r="B88" s="2"/>
      <c r="G88" s="14"/>
    </row>
    <row r="89" spans="1:7" ht="16.5" hidden="1" customHeight="1" x14ac:dyDescent="0.25">
      <c r="B89" s="2"/>
      <c r="G89" s="14"/>
    </row>
    <row r="90" spans="1:7" ht="16.5" hidden="1" customHeight="1" x14ac:dyDescent="0.25">
      <c r="B90" s="2"/>
      <c r="G90" s="14"/>
    </row>
    <row r="91" spans="1:7" ht="16.5" hidden="1" customHeight="1" x14ac:dyDescent="0.25">
      <c r="B91" s="2"/>
      <c r="G91" s="14"/>
    </row>
    <row r="92" spans="1:7" ht="15.75" hidden="1" customHeight="1" x14ac:dyDescent="0.25">
      <c r="B92" s="2"/>
      <c r="C92" s="1"/>
      <c r="G92" s="14"/>
    </row>
    <row r="93" spans="1:7" ht="16.5" hidden="1" customHeight="1" x14ac:dyDescent="0.25">
      <c r="B93" s="2"/>
      <c r="G93" s="14"/>
    </row>
    <row r="94" spans="1:7" ht="16.5" hidden="1" customHeight="1" x14ac:dyDescent="0.25">
      <c r="B94" s="2"/>
      <c r="G94" s="14"/>
    </row>
    <row r="95" spans="1:7" ht="16.5" hidden="1" customHeight="1" x14ac:dyDescent="0.25">
      <c r="B95" s="2"/>
      <c r="G95" s="14"/>
    </row>
    <row r="96" spans="1:7" ht="16.5" hidden="1" customHeight="1" x14ac:dyDescent="0.25">
      <c r="B96" s="2"/>
      <c r="G96" s="14"/>
    </row>
    <row r="97" spans="2:7" ht="16.5" hidden="1" customHeight="1" x14ac:dyDescent="0.25">
      <c r="B97" s="2"/>
      <c r="G97" s="14"/>
    </row>
    <row r="98" spans="2:7" ht="16.5" hidden="1" customHeight="1" x14ac:dyDescent="0.25">
      <c r="B98" s="2"/>
      <c r="G98" s="14"/>
    </row>
    <row r="99" spans="2:7" ht="16.5" hidden="1" customHeight="1" x14ac:dyDescent="0.25">
      <c r="B99" s="2"/>
      <c r="G99" s="14"/>
    </row>
    <row r="100" spans="2:7" ht="16.5" hidden="1" customHeight="1" x14ac:dyDescent="0.25">
      <c r="B100" s="2"/>
      <c r="G100" s="14"/>
    </row>
    <row r="101" spans="2:7" ht="16.5" hidden="1" customHeight="1" x14ac:dyDescent="0.25">
      <c r="B101" s="2"/>
      <c r="G101" s="14"/>
    </row>
    <row r="102" spans="2:7" ht="16.5" hidden="1" customHeight="1" x14ac:dyDescent="0.25">
      <c r="B102" s="2"/>
      <c r="G102" s="14"/>
    </row>
    <row r="103" spans="2:7" ht="16.5" hidden="1" customHeight="1" x14ac:dyDescent="0.25">
      <c r="B103" s="2"/>
      <c r="G103" s="14"/>
    </row>
    <row r="104" spans="2:7" ht="16.5" hidden="1" customHeight="1" x14ac:dyDescent="0.25">
      <c r="B104" s="2"/>
      <c r="G104" s="14"/>
    </row>
    <row r="105" spans="2:7" ht="16.5" hidden="1" customHeight="1" x14ac:dyDescent="0.25">
      <c r="B105" s="2"/>
      <c r="G105" s="14"/>
    </row>
    <row r="106" spans="2:7" ht="16.5" hidden="1" customHeight="1" x14ac:dyDescent="0.25">
      <c r="B106" s="2"/>
      <c r="G106" s="14"/>
    </row>
    <row r="107" spans="2:7" ht="16.5" hidden="1" customHeight="1" x14ac:dyDescent="0.25">
      <c r="B107" s="2"/>
      <c r="F107" s="1"/>
      <c r="G107" s="14"/>
    </row>
    <row r="108" spans="2:7" ht="16.5" hidden="1" customHeight="1" x14ac:dyDescent="0.25">
      <c r="B108" s="2"/>
      <c r="G108" s="14"/>
    </row>
    <row r="109" spans="2:7" ht="16.5" hidden="1" customHeight="1" x14ac:dyDescent="0.25">
      <c r="B109" s="2"/>
      <c r="G109" s="14"/>
    </row>
    <row r="110" spans="2:7" ht="16.5" hidden="1" customHeight="1" x14ac:dyDescent="0.25">
      <c r="B110" s="2"/>
      <c r="G110" s="14"/>
    </row>
    <row r="111" spans="2:7" ht="16.5" hidden="1" customHeight="1" x14ac:dyDescent="0.25">
      <c r="B111" s="2"/>
      <c r="G111" s="14"/>
    </row>
    <row r="112" spans="2:7" ht="16.5" hidden="1" customHeight="1" x14ac:dyDescent="0.25">
      <c r="B112" s="2"/>
      <c r="G112" s="14"/>
    </row>
    <row r="113" spans="2:7" ht="16.5" hidden="1" customHeight="1" x14ac:dyDescent="0.25">
      <c r="B113" s="2"/>
      <c r="G113" s="14"/>
    </row>
    <row r="114" spans="2:7" ht="16.5" hidden="1" customHeight="1" x14ac:dyDescent="0.25">
      <c r="B114" s="2"/>
      <c r="F114" s="1"/>
      <c r="G114" s="14"/>
    </row>
    <row r="115" spans="2:7" ht="16.5" hidden="1" customHeight="1" x14ac:dyDescent="0.25">
      <c r="B115" s="2"/>
      <c r="G115" s="14"/>
    </row>
    <row r="116" spans="2:7" ht="16.5" hidden="1" customHeight="1" x14ac:dyDescent="0.25">
      <c r="B116" s="2"/>
      <c r="G116" s="14"/>
    </row>
    <row r="117" spans="2:7" ht="16.5" hidden="1" customHeight="1" x14ac:dyDescent="0.25">
      <c r="B117" s="2"/>
      <c r="F117" s="1"/>
      <c r="G117" s="14"/>
    </row>
    <row r="118" spans="2:7" ht="16.5" hidden="1" customHeight="1" x14ac:dyDescent="0.25">
      <c r="B118" s="2"/>
      <c r="G118" s="14"/>
    </row>
    <row r="119" spans="2:7" ht="16.5" hidden="1" customHeight="1" x14ac:dyDescent="0.25">
      <c r="B119" s="2"/>
      <c r="G119" s="14"/>
    </row>
    <row r="120" spans="2:7" ht="16.5" hidden="1" customHeight="1" x14ac:dyDescent="0.25">
      <c r="B120" s="2"/>
      <c r="F120" s="1"/>
      <c r="G120" s="14"/>
    </row>
    <row r="121" spans="2:7" ht="16.5" hidden="1" customHeight="1" x14ac:dyDescent="0.25">
      <c r="B121" s="2"/>
      <c r="G121" s="14"/>
    </row>
    <row r="122" spans="2:7" ht="16.5" hidden="1" customHeight="1" x14ac:dyDescent="0.25">
      <c r="B122" s="2"/>
      <c r="G122" s="14"/>
    </row>
    <row r="123" spans="2:7" ht="16.5" hidden="1" customHeight="1" x14ac:dyDescent="0.25">
      <c r="B123" s="2"/>
      <c r="G123" s="14"/>
    </row>
    <row r="124" spans="2:7" ht="16.5" hidden="1" customHeight="1" x14ac:dyDescent="0.25">
      <c r="B124" s="2"/>
      <c r="F124" s="1"/>
      <c r="G124" s="14"/>
    </row>
    <row r="125" spans="2:7" ht="16.5" hidden="1" customHeight="1" x14ac:dyDescent="0.25">
      <c r="B125" s="2"/>
      <c r="F125" s="1"/>
      <c r="G125" s="14"/>
    </row>
    <row r="126" spans="2:7" ht="16.5" hidden="1" customHeight="1" x14ac:dyDescent="0.25">
      <c r="B126" s="2"/>
      <c r="F126" s="1"/>
      <c r="G126" s="14"/>
    </row>
    <row r="127" spans="2:7" ht="16.5" hidden="1" customHeight="1" x14ac:dyDescent="0.25">
      <c r="B127" s="2"/>
      <c r="F127" s="1"/>
      <c r="G127" s="14"/>
    </row>
    <row r="128" spans="2:7" ht="16.5" hidden="1" customHeight="1" x14ac:dyDescent="0.25">
      <c r="B128" s="2"/>
      <c r="G128" s="14"/>
    </row>
    <row r="129" spans="2:7" ht="16.5" hidden="1" customHeight="1" x14ac:dyDescent="0.25">
      <c r="B129" s="2"/>
      <c r="F129" s="1"/>
      <c r="G129" s="14"/>
    </row>
    <row r="130" spans="2:7" ht="16.5" hidden="1" customHeight="1" x14ac:dyDescent="0.25">
      <c r="B130" s="2"/>
      <c r="F130" s="1"/>
      <c r="G130" s="14"/>
    </row>
    <row r="131" spans="2:7" ht="16.5" hidden="1" customHeight="1" x14ac:dyDescent="0.25">
      <c r="B131" s="2"/>
      <c r="F131" s="1"/>
      <c r="G131" s="14"/>
    </row>
    <row r="132" spans="2:7" ht="16.5" hidden="1" customHeight="1" x14ac:dyDescent="0.25">
      <c r="B132" s="2"/>
      <c r="F132" s="1"/>
      <c r="G132" s="14"/>
    </row>
    <row r="133" spans="2:7" ht="16.5" hidden="1" customHeight="1" x14ac:dyDescent="0.25">
      <c r="B133" s="2"/>
      <c r="G133" s="14"/>
    </row>
    <row r="134" spans="2:7" ht="16.5" hidden="1" customHeight="1" x14ac:dyDescent="0.25">
      <c r="B134" s="2"/>
      <c r="G134" s="14"/>
    </row>
    <row r="135" spans="2:7" ht="16.5" hidden="1" customHeight="1" x14ac:dyDescent="0.25">
      <c r="B135" s="2"/>
      <c r="F135" s="1"/>
      <c r="G135" s="14"/>
    </row>
    <row r="136" spans="2:7" ht="16.5" hidden="1" customHeight="1" x14ac:dyDescent="0.25">
      <c r="B136" s="2"/>
      <c r="G136" s="14"/>
    </row>
    <row r="137" spans="2:7" ht="16.5" hidden="1" customHeight="1" x14ac:dyDescent="0.25">
      <c r="B137" s="2"/>
      <c r="G137" s="14"/>
    </row>
    <row r="138" spans="2:7" ht="16.5" hidden="1" customHeight="1" x14ac:dyDescent="0.25">
      <c r="B138" s="2"/>
      <c r="G138" s="14"/>
    </row>
    <row r="139" spans="2:7" ht="16.5" hidden="1" customHeight="1" x14ac:dyDescent="0.25">
      <c r="B139" s="2"/>
      <c r="G139" s="14"/>
    </row>
    <row r="140" spans="2:7" ht="16.5" hidden="1" customHeight="1" x14ac:dyDescent="0.25">
      <c r="B140" s="2"/>
      <c r="G140" s="14"/>
    </row>
    <row r="141" spans="2:7" ht="16.5" hidden="1" customHeight="1" x14ac:dyDescent="0.25">
      <c r="B141" s="2"/>
      <c r="G141" s="14"/>
    </row>
    <row r="142" spans="2:7" ht="16.5" hidden="1" customHeight="1" x14ac:dyDescent="0.25">
      <c r="B142" s="2"/>
      <c r="G142" s="14"/>
    </row>
    <row r="143" spans="2:7" ht="16.5" hidden="1" customHeight="1" x14ac:dyDescent="0.25">
      <c r="B143" s="2"/>
      <c r="G143" s="14"/>
    </row>
    <row r="144" spans="2:7" ht="16.5" hidden="1" customHeight="1" x14ac:dyDescent="0.25">
      <c r="B144" s="2"/>
      <c r="G144" s="14"/>
    </row>
    <row r="145" spans="2:7" ht="16.5" hidden="1" customHeight="1" x14ac:dyDescent="0.25">
      <c r="B145" s="2"/>
      <c r="G145" s="14"/>
    </row>
    <row r="146" spans="2:7" ht="16.5" hidden="1" customHeight="1" x14ac:dyDescent="0.25">
      <c r="B146" s="2"/>
      <c r="G146" s="14"/>
    </row>
    <row r="147" spans="2:7" ht="16.5" hidden="1" customHeight="1" x14ac:dyDescent="0.25">
      <c r="B147" s="2"/>
      <c r="G147" s="14"/>
    </row>
    <row r="148" spans="2:7" ht="16.5" hidden="1" customHeight="1" x14ac:dyDescent="0.25">
      <c r="B148" s="2"/>
      <c r="G148" s="14"/>
    </row>
    <row r="149" spans="2:7" ht="16.5" hidden="1" customHeight="1" x14ac:dyDescent="0.25">
      <c r="B149" s="2"/>
      <c r="F149" s="1"/>
      <c r="G149" s="14"/>
    </row>
    <row r="150" spans="2:7" ht="16.5" hidden="1" customHeight="1" x14ac:dyDescent="0.25">
      <c r="B150" s="2"/>
      <c r="F150" s="1"/>
      <c r="G150" s="14"/>
    </row>
    <row r="151" spans="2:7" ht="16.5" hidden="1" customHeight="1" x14ac:dyDescent="0.25">
      <c r="B151" s="2"/>
      <c r="F151" s="1"/>
      <c r="G151" s="14"/>
    </row>
    <row r="152" spans="2:7" ht="16.5" hidden="1" customHeight="1" x14ac:dyDescent="0.25">
      <c r="B152" s="2"/>
      <c r="C152" s="1"/>
      <c r="F152" s="1"/>
      <c r="G152" s="14"/>
    </row>
    <row r="153" spans="2:7" ht="16.5" hidden="1" customHeight="1" x14ac:dyDescent="0.25">
      <c r="B153" s="2"/>
      <c r="C153" s="1"/>
      <c r="F153" s="1"/>
      <c r="G153" s="14"/>
    </row>
    <row r="154" spans="2:7" ht="16.5" hidden="1" customHeight="1" x14ac:dyDescent="0.25">
      <c r="B154" s="2"/>
      <c r="C154" s="1"/>
      <c r="F154" s="1"/>
      <c r="G154" s="14"/>
    </row>
    <row r="155" spans="2:7" ht="16.5" hidden="1" customHeight="1" x14ac:dyDescent="0.25">
      <c r="B155" s="2"/>
      <c r="F155" s="1"/>
      <c r="G155" s="14"/>
    </row>
    <row r="156" spans="2:7" ht="16.5" hidden="1" customHeight="1" x14ac:dyDescent="0.25">
      <c r="B156" s="2"/>
      <c r="F156" s="1"/>
      <c r="G156" s="14"/>
    </row>
    <row r="157" spans="2:7" ht="16.5" hidden="1" customHeight="1" x14ac:dyDescent="0.25">
      <c r="B157" s="2"/>
      <c r="F157" s="1"/>
      <c r="G157" s="14"/>
    </row>
    <row r="158" spans="2:7" ht="16.5" hidden="1" customHeight="1" x14ac:dyDescent="0.25">
      <c r="B158" s="2"/>
      <c r="F158" s="1"/>
      <c r="G158" s="14"/>
    </row>
    <row r="159" spans="2:7" ht="16.5" hidden="1" customHeight="1" x14ac:dyDescent="0.25">
      <c r="B159" s="2"/>
      <c r="F159" s="1"/>
      <c r="G159" s="14"/>
    </row>
    <row r="160" spans="2:7" ht="16.5" hidden="1" customHeight="1" x14ac:dyDescent="0.25">
      <c r="B160" s="2"/>
      <c r="G160" s="14"/>
    </row>
    <row r="161" spans="1:7" ht="16.5" hidden="1" customHeight="1" x14ac:dyDescent="0.25">
      <c r="B161" s="2"/>
      <c r="G161" s="14"/>
    </row>
    <row r="162" spans="1:7" ht="16.5" hidden="1" customHeight="1" x14ac:dyDescent="0.25">
      <c r="B162" s="2"/>
      <c r="G162" s="14"/>
    </row>
    <row r="163" spans="1:7" ht="16.5" hidden="1" customHeight="1" x14ac:dyDescent="0.25">
      <c r="B163" s="2"/>
      <c r="G163" s="14"/>
    </row>
    <row r="164" spans="1:7" ht="16.5" hidden="1" customHeight="1" x14ac:dyDescent="0.25">
      <c r="B164" s="2"/>
      <c r="F164" s="1"/>
      <c r="G164" s="14"/>
    </row>
    <row r="165" spans="1:7" ht="16.5" hidden="1" customHeight="1" x14ac:dyDescent="0.25">
      <c r="B165" s="2"/>
      <c r="G165" s="14"/>
    </row>
    <row r="166" spans="1:7" ht="16.5" hidden="1" customHeight="1" x14ac:dyDescent="0.25">
      <c r="B166" s="2"/>
      <c r="G166" s="14"/>
    </row>
    <row r="167" spans="1:7" ht="16.5" hidden="1" customHeight="1" x14ac:dyDescent="0.25">
      <c r="A167" s="2"/>
      <c r="B167" s="2"/>
      <c r="G167" s="3"/>
    </row>
    <row r="168" spans="1:7" ht="16.5" hidden="1" customHeight="1" x14ac:dyDescent="0.25">
      <c r="A168" s="2"/>
      <c r="B168" s="2"/>
      <c r="G168" s="3"/>
    </row>
    <row r="169" spans="1:7" ht="16.5" customHeight="1" x14ac:dyDescent="0.25"/>
    <row r="170" spans="1:7" ht="16.5" customHeight="1" x14ac:dyDescent="0.25"/>
    <row r="171" spans="1:7" ht="16.5" customHeight="1" x14ac:dyDescent="0.25"/>
    <row r="172" spans="1:7" ht="16.5" customHeight="1" x14ac:dyDescent="0.25"/>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G168" xr:uid="{40A4B7A3-F207-4AF4-8579-95FFC9A7072F}">
    <filterColumn colId="0">
      <filters>
        <filter val="Operations"/>
      </filters>
    </filterColumn>
  </autoFilter>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aks/private-clusters" xr:uid="{12BFBE1E-F1A0-4694-848D-445173FA019D}"/>
    <hyperlink ref="G10" r:id="rId2" tooltip="https://docs.microsoft.com/azure/aks/operator-best-practices-scheduler" xr:uid="{9EFE1196-B58E-4902-B407-B681E9CBB9D4}"/>
    <hyperlink ref="G55" r:id="rId3" tooltip="https://docs.microsoft.com/azure/azure-monitor/insights/container-insights-metric-alerts" xr:uid="{5C5659C4-9B65-4BFE-A718-15DED5745361}"/>
    <hyperlink ref="G8" r:id="rId4" tooltip="https://docs.microsoft.com/azure/aks/availability-zones" xr:uid="{E3824F40-6E7B-4830-AC30-8A6886EADD3A}"/>
    <hyperlink ref="G9" r:id="rId5" tooltip="https://docs.microsoft.com/azure/aks/uptime-sla" xr:uid="{FA9277F9-72A1-4567-B24B-AABE2221253A}"/>
    <hyperlink ref="G11" r:id="rId6" tooltip="https://docs.microsoft.com/azure/container-registry/container-registry-geo-replication" xr:uid="{B51C915A-D39C-42C3-872A-0C1A6420355C}"/>
    <hyperlink ref="G19" r:id="rId7" tooltip="https://docs.microsoft.com/azure/aks/configure-azure-cni" xr:uid="{1CE5AE29-633B-42A7-96DE-8C737F1079F3}"/>
    <hyperlink ref="G70" r:id="rId8" tooltip="https://docs.microsoft.com/azure/aks/load-balancer-standard" xr:uid="{A23A886B-D63A-4B6C-A511-4230B6C9839A}"/>
    <hyperlink ref="G21" r:id="rId9" tooltip="https://docs.microsoft.com/azure/aks/internal-lb" xr:uid="{EA90C2CF-0EA4-41DF-ABA4-72B082D3A146}"/>
    <hyperlink ref="G22" r:id="rId10" tooltip="https://docs.microsoft.com/azure/aks/limit-egress-traffic" xr:uid="{CF1FF0FB-7520-4308-9253-D6568663945C}"/>
    <hyperlink ref="G23" r:id="rId11" tooltip="https://docs.microsoft.com/azure/aks/api-server-authorized-ip-ranges" xr:uid="{7718847B-A888-4492-B510-466DCA1294E8}"/>
    <hyperlink ref="G30" r:id="rId12" tooltip="https://docs.microsoft.com/azure/aks/operator-best-practices-network" xr:uid="{3608799E-7EB3-4CCF-A550-F96257C3F3C6}"/>
    <hyperlink ref="G29" r:id="rId13" tooltip="https://docs.microsoft.com/azure/aks/operator-best-practices-network" xr:uid="{45229ED7-9A48-4D92-AA85-1721CEB55F33}"/>
    <hyperlink ref="G28" r:id="rId14" tooltip="https://docs.microsoft.com/azure/aks/use-network-policies" xr:uid="{4422B52B-7AFC-4C01-A341-F50E924F13BD}"/>
    <hyperlink ref="G26" r:id="rId15" tooltip="https://docs.microsoft.com/azure/private-link/private-link-overview" xr:uid="{B9C065E5-D812-472E-AB44-14A898555CA1}"/>
    <hyperlink ref="G31" r:id="rId16" tooltip="https://docs.microsoft.com/azure/virtual-network/ddos-protection-overview" xr:uid="{15B67C6C-FC2F-40BD-9C33-0D0A9543313D}"/>
    <hyperlink ref="G32" r:id="rId17" tooltip="https://docs.microsoft.com/azure/aks/http-application-routing" xr:uid="{95299A1B-57C6-4552-AF06-47F7BDA527ED}"/>
    <hyperlink ref="G33" r:id="rId18" tooltip="https://docs.microsoft.com/azure/expressroute/designing-for-disaster-recovery-with-expressroute-privatepeering" xr:uid="{A8775D02-A897-4B34-AB67-B51C7BE57DD4}"/>
    <hyperlink ref="G49" r:id="rId19" tooltip="https://docs.microsoft.com/azure/aks/operator-best-practices-storage" xr:uid="{0E81662B-D48E-40D2-BC5F-A3ACCF4C2C29}"/>
    <hyperlink ref="G38" r:id="rId20" tooltip="https://docs.microsoft.com/azure/governance/policy/concepts/policy-for-kubernetes" xr:uid="{1BFC620C-A96D-462D-A32C-ABC945A8C877}"/>
    <hyperlink ref="G39" r:id="rId21" tooltip="https://docs.microsoft.com/azure/aks/use-system-pools" xr:uid="{25C3978E-4B00-4603-986E-9D33C31EDA98}"/>
    <hyperlink ref="G41" r:id="rId22" tooltip="https://docs.microsoft.com/azure/container-registry/" xr:uid="{D4F0C3A9-273D-46E3-90CB-37591C284928}"/>
    <hyperlink ref="G43" r:id="rId23" tooltip="https://docs.microsoft.com/azure/security-center/container-security" xr:uid="{5B484FB0-7E82-4CC9-9765-4C1DD08587E6}"/>
    <hyperlink ref="G42" r:id="rId24" tooltip="https://docs.microsoft.com/azure/security-center/container-security" xr:uid="{24303444-234C-4A2C-A461-F4701709F17F}"/>
    <hyperlink ref="G52" r:id="rId25" tooltip="https://docs.microsoft.com/azure/aks/operator-best-practices-scheduler" xr:uid="{9EDAA9EC-CE52-4991-B340-716CDED3BDDE}"/>
    <hyperlink ref="G51" r:id="rId26" tooltip="https://docs.microsoft.com/azure/advisor/advisor-get-started" xr:uid="{43699A95-2A02-41AD-BB36-036FF56EA7B9}"/>
    <hyperlink ref="G53" r:id="rId27" tooltip="https://docs.microsoft.com/azure/azure-monitor/insights/container-insights-overview" xr:uid="{FCF63A72-DBCC-47EE-B733-17A6DF65488D}"/>
    <hyperlink ref="G54" r:id="rId28" tooltip="https://docs.microsoft.com/azure/azure-monitor/insights/container-insights-overview" xr:uid="{A42B9948-F9BF-491A-839E-C33A2246AD5D}"/>
    <hyperlink ref="G36" r:id="rId29" tooltip="https://docs.microsoft.com/azure/aks/use-managed-identity" xr:uid="{D02E6330-BE0D-4F33-BB82-76A9261287A0}"/>
    <hyperlink ref="G35" r:id="rId30" tooltip="https://github.com/Azure/secrets-store-csi-driver-provider-azure" xr:uid="{E005629C-5EBC-4BA7-85B7-4A76F5BE4DBA}"/>
    <hyperlink ref="G50" r:id="rId31" tooltip="https://docs.microsoft.com/azure/aks/availability-zones" xr:uid="{A77B8A61-BC52-40C0-B1A3-61529A8C70AC}"/>
    <hyperlink ref="G56" r:id="rId32" tooltip="https://docs.microsoft.com/azure/aks/supported-kubernetes-versions" xr:uid="{ECBAE105-09C0-4BFF-9942-D06EFF7D831D}"/>
    <hyperlink ref="G57" r:id="rId33" tooltip="https://docs.microsoft.com/azure/aks/node-updates-kured" xr:uid="{EF2EDD23-B16C-4689-981D-A29231B42D36}"/>
    <hyperlink ref="G58" r:id="rId34" tooltip="https://docs.microsoft.com/azure/architecture/example-scenario/bedrock/bedrock-automated-deployments" xr:uid="{69EB48AD-796B-48C3-9C55-C2BE02FC0FA3}"/>
    <hyperlink ref="G24" r:id="rId35" tooltip="https://docs.microsoft.com/azure/aks/concepts-network" xr:uid="{699ED637-9389-4AB0-96B8-EBE8CF83A1C4}"/>
    <hyperlink ref="G18" r:id="rId36" tooltip="https://docs.microsoft.com/azure/aks/operator-best-practices-network" xr:uid="{F4DBBF51-E6E0-4B93-B6E5-CC8551FE97A4}"/>
    <hyperlink ref="G80" r:id="rId37" tooltip="https://docs.microsoft.com/azure/azure-functions/functions-kubernetes-keda" xr:uid="{92B22801-6F11-4CC0-86C0-D320D4370395}"/>
    <hyperlink ref="G81" r:id="rId38" tooltip="https://dapr.io/" xr:uid="{3A7AACBE-8C73-4A95-A417-82A15D300D90}"/>
    <hyperlink ref="G79" r:id="rId39" tooltip="https://docs.microsoft.com/azure/architecture/reference-architectures/containers/aks/secure-baseline-aks" xr:uid="{CE3BFC77-AF01-46FC-8047-16DAFE7657E9}"/>
    <hyperlink ref="G78" r:id="rId40" tooltip="https://docs.microsoft.com/azure/developer/terraform/create-k8s-cluster-with-tf-and-aks" xr:uid="{6A8DDA81-39C9-457D-A995-BB3BD11D863C}"/>
    <hyperlink ref="G76" r:id="rId41" tooltip="https://docs.microsoft.com/azure/aks/operator-best-practices-scheduler" xr:uid="{B6AB48A1-D8EF-461B-994B-86DBB49CB7EB}"/>
    <hyperlink ref="G75" r:id="rId42" tooltip="https://docs.microsoft.com/azure/aks/operator-best-practices-scheduler" xr:uid="{19E1408D-2646-43B0-93AD-0C65E134EDDC}"/>
    <hyperlink ref="G73" r:id="rId43" tooltip="https://docs.microsoft.com/azure/aks/concepts-scale" xr:uid="{B3CA0976-D270-46EC-B8F3-25090B2DFB19}"/>
    <hyperlink ref="G72" r:id="rId44" tooltip="https://docs.microsoft.com/azure/aks/concepts-scale" xr:uid="{9B4A134A-8A68-42A8-819F-30F081C2F1A2}"/>
    <hyperlink ref="G60" r:id="rId45" tooltip="https://docs.microsoft.com/azure/aks/concepts-scale" xr:uid="{47917D35-001F-4B68-897C-B068AC9EAF53}"/>
    <hyperlink ref="G59" r:id="rId46" tooltip="https://docs.microsoft.com/azure/aks/spot-node-pool" xr:uid="{BA1A5450-444A-445B-913F-3D2EFEA0BA6F}"/>
    <hyperlink ref="G61" r:id="rId47" tooltip="https://kubecost.com/" xr:uid="{D3CC8ADD-A590-43E4-9252-DBD7772D0A09}"/>
    <hyperlink ref="G63" r:id="rId48" tooltip="https://docs.microsoft.com/azure/aks/cluster-configuration" xr:uid="{F582FF1B-76E4-460E-B31D-53A99A690187}"/>
    <hyperlink ref="G13" r:id="rId49" tooltip="https://docs.microsoft.com/azure/aks/managed-aad" xr:uid="{B002E8A4-1D17-47CF-9A23-D61C594C8ACC}"/>
    <hyperlink ref="G15" r:id="rId50" tooltip="https://docs.microsoft.com/azure/aks/manage-azure-rbac" xr:uid="{3E4FCCFA-97DF-4199-9E51-CFBF90803E56}"/>
    <hyperlink ref="G14" r:id="rId51" tooltip="https://docs.microsoft.com/azure/aks/control-kubeconfig-access" xr:uid="{721C2245-52A0-4F37-A529-42D15D2F33CE}"/>
    <hyperlink ref="G17" r:id="rId52" tooltip="https://docs.microsoft.com/azure/aks/operator-best-practices-identity" xr:uid="{ED855600-75A6-4C02-A656-1A8DFF7D5424}"/>
    <hyperlink ref="G16" r:id="rId53" tooltip="https://docs.microsoft.com/azure/aks/operator-best-practices-identity" xr:uid="{2A53BF92-EEB0-4ADA-8061-2FFFB82F1232}"/>
    <hyperlink ref="G62" r:id="rId54" tooltip="https://docs.microsoft.com/azure/aks/faq" xr:uid="{94F88D20-CED3-4A1E-8C18-8259898C7CDC}"/>
    <hyperlink ref="G74" r:id="rId55" tooltip="https://blog.cloudtrooper.net/2020/10/23/which-vm-size-should-i-choose-as-aks-node/" xr:uid="{AC98B02A-8281-4424-AA2A-C0CD79C8103A}"/>
    <hyperlink ref="G44" r:id="rId56" tooltip="https://docs.microsoft.com/azure/aks/operator-best-practices-cluster-isolation" xr:uid="{66DA32C4-48C9-4055-8836-CE97BD00DDFB}"/>
    <hyperlink ref="G64" r:id="rId57" tooltip="https://kubernetes.io/docs/setup/release/notes/" xr:uid="{21FA06D6-1B33-4CC4-BFDD-6AA1144C358B}"/>
    <hyperlink ref="G37" r:id="rId58" tooltip="https://docs.microsoft.com/azure/aks/update-credentials" xr:uid="{F551A76B-EE5A-48B6-BA1C-BAABFF5E9B1D}"/>
    <hyperlink ref="G47" r:id="rId59" tooltip="https://docs.microsoft.com/azure/virtual-machines/disks-types" xr:uid="{B94B4283-C5A5-46BC-95BB-D0B38DCA22EE}"/>
    <hyperlink ref="G34" r:id="rId60" tooltip="https://docs.microsoft.com/azure/aks/servicemesh-about" xr:uid="{3C133244-5EFD-40A9-8E26-E9F15AD32579}"/>
    <hyperlink ref="G48" r:id="rId61" tooltip="https://docs.microsoft.com/azure/aks/operator-best-practices-multi-region" xr:uid="{7BE3FCAA-269D-407A-AEAD-F6FCF1BB46EC}"/>
    <hyperlink ref="G20" r:id="rId62" tooltip="https://docs.microsoft.com/azure/aks/configure-azure-cni" xr:uid="{F5A18AC6-9595-4F3C-8843-32D0BF1ACCB9}"/>
    <hyperlink ref="G7" r:id="rId63" tooltip="https://docs.microsoft.com/azure/aks/operator-best-practices-multi-region" xr:uid="{DACDCE51-C78B-4A2D-AF4E-48336FE2B7BE}"/>
    <hyperlink ref="G45" r:id="rId64" tooltip="https://docs.microsoft.com/azure/cloud-adoption-framework/scenarios/aks/eslz-cost-governance-with-kubecost" xr:uid="{9A43BD96-0C36-4852-AAF3-61770A05F4C5}"/>
    <hyperlink ref="G40" r:id="rId65" tooltip="https://docs.microsoft.com/azure/aks/use-multiple-node-pools" xr:uid="{72E8CAFA-EAB6-49B5-A5F9-41BF24C6657D}"/>
    <hyperlink ref="G46" r:id="rId66" tooltip="https://docs.microsoft.com/azure/aks/cluster-configuration" xr:uid="{2681D468-22CD-4C78-B914-FD098108E348}"/>
    <hyperlink ref="G12" r:id="rId67" tooltip="https://docs.microsoft.com/azure/aks/use-managed-identity" xr:uid="{3FC237EF-03D7-41BB-AE2D-22505A16748D}"/>
    <hyperlink ref="G25" r:id="rId68" tooltip="https://azure.github.io/application-gateway-kubernetes-ingress/setup/install-existing/" xr:uid="{AD1BE910-0C02-4870-B2DA-23A0218CD2B9}"/>
    <hyperlink ref="G5" r:id="rId69" tooltip="https://docs.microsoft.com/azure/cloud-adoption-framework/ready/enterprise-scale/business-continuity-and-disaster-recovery" xr:uid="{6B313387-13DB-42AA-A1B5-F659766AD0D7}"/>
    <hyperlink ref="G6" r:id="rId70" tooltip="https://docs.microsoft.com/azure/cloud-adoption-framework/ready/enterprise-scale/business-continuity-and-disaster-recovery" xr:uid="{28D5C3F5-637C-4AAD-9355-1B595D80E221}"/>
    <hyperlink ref="G77" r:id="rId71" tooltip="https://docs.microsoft.com/azure/azure-resource-manager/management/azure-subscription-service-limits" xr:uid="{E5D98D8B-87FB-4632-AD5B-8B02679576AE}"/>
    <hyperlink ref="G71" r:id="rId72" tooltip="https://docs.microsoft.com/azure/aks/monitor-aks" xr:uid="{87FFE3BD-F066-49AF-A6CE-23DF0E6EE4F9}"/>
    <hyperlink ref="G69" r:id="rId73" tooltip="https://docs.microsoft.com/azure/virtual-machines/premium-storage-performance" xr:uid="{8099B1CA-928D-436A-85C4-2716C0FBF363}"/>
    <hyperlink ref="G68" r:id="rId74" tooltip="https://docs.microsoft.com/azure/aks/configure-azure-cni" xr:uid="{DCD138EC-C867-44ED-A1EC-86CE6FD6D7E6}"/>
    <hyperlink ref="G67" r:id="rId75" tooltip="https://docs.microsoft.com/azure/azure-monitor/containers/container-insights-analyze" xr:uid="{DDF8EC48-5F2D-4DD8-AB30-BCA764F6C32A}"/>
    <hyperlink ref="G66" r:id="rId76" tooltip="https://docs.microsoft.com/virtualization/windowscontainers/deploy-containers/version-compatibility?tabs=windows-server-20H2%2Cwindows-10-20H2" xr:uid="{1BBCEC40-6C1C-4809-A98D-9774CD3CBFAF}"/>
    <hyperlink ref="G65" r:id="rId77" tooltip="https://docs.microsoft.com/azure-stack/aks-hci/adapt-apps-mixed-os-clusters" xr:uid="{A07FB87D-C281-4789-8D1B-99A541B34A7F}"/>
  </hyperlinks>
  <pageMargins left="0.7" right="0.7" top="0.75" bottom="0.75" header="0.3" footer="0.3"/>
  <pageSetup paperSize="9" orientation="portrait" horizontalDpi="4294967293" r:id="rId78"/>
  <drawing r:id="rId79"/>
  <legacyDrawing r:id="rId80"/>
  <mc:AlternateContent xmlns:mc="http://schemas.openxmlformats.org/markup-compatibility/2006">
    <mc:Choice Requires="x14">
      <controls>
        <mc:AlternateContent xmlns:mc="http://schemas.openxmlformats.org/markup-compatibility/2006">
          <mc:Choice Requires="x14">
            <control shapeId="1025" r:id="rId81" name="Button 1">
              <controlPr defaultSize="0" print="0" autoFill="0" autoPict="0" macro="[0]!Sheet1.export_json">
                <anchor moveWithCells="1" sizeWithCells="1">
                  <from>
                    <xdr:col>2</xdr:col>
                    <xdr:colOff>8448675</xdr:colOff>
                    <xdr:row>0</xdr:row>
                    <xdr:rowOff>257175</xdr:rowOff>
                  </from>
                  <to>
                    <xdr:col>2</xdr:col>
                    <xdr:colOff>10467975</xdr:colOff>
                    <xdr:row>0</xdr:row>
                    <xdr:rowOff>514350</xdr:rowOff>
                  </to>
                </anchor>
              </controlPr>
            </control>
          </mc:Choice>
        </mc:AlternateContent>
        <mc:AlternateContent xmlns:mc="http://schemas.openxmlformats.org/markup-compatibility/2006">
          <mc:Choice Requires="x14">
            <control shapeId="1027" r:id="rId82" name="Button 3">
              <controlPr defaultSize="0" print="0" autoFill="0" autoPict="0" macro="[0]!Sheet1.import_checklist">
                <anchor moveWithCells="1">
                  <from>
                    <xdr:col>2</xdr:col>
                    <xdr:colOff>8458200</xdr:colOff>
                    <xdr:row>0</xdr:row>
                    <xdr:rowOff>628650</xdr:rowOff>
                  </from>
                  <to>
                    <xdr:col>3</xdr:col>
                    <xdr:colOff>0</xdr:colOff>
                    <xdr:row>0</xdr:row>
                    <xdr:rowOff>866775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C8"/>
  <sheetViews>
    <sheetView workbookViewId="0">
      <selection activeCell="C2" sqref="C2"/>
    </sheetView>
  </sheetViews>
  <sheetFormatPr defaultRowHeight="15" x14ac:dyDescent="0.25"/>
  <cols>
    <col min="2" max="2" width="10" bestFit="1" customWidth="1"/>
  </cols>
  <sheetData>
    <row r="1" spans="1:3" x14ac:dyDescent="0.25">
      <c r="A1" t="s">
        <v>4</v>
      </c>
      <c r="B1" t="s">
        <v>5</v>
      </c>
      <c r="C1" t="s">
        <v>21</v>
      </c>
    </row>
    <row r="2" spans="1:3" x14ac:dyDescent="0.25">
      <c r="A2" t="s">
        <v>7</v>
      </c>
      <c r="B2" s="13" t="s">
        <v>8</v>
      </c>
      <c r="C2" t="s">
        <v>33</v>
      </c>
    </row>
    <row r="3" spans="1:3" x14ac:dyDescent="0.25">
      <c r="A3" t="s">
        <v>10</v>
      </c>
      <c r="B3" s="10" t="s">
        <v>11</v>
      </c>
      <c r="C3" t="s">
        <v>40</v>
      </c>
    </row>
    <row r="4" spans="1:3" x14ac:dyDescent="0.25">
      <c r="A4" t="s">
        <v>9</v>
      </c>
      <c r="B4" s="11" t="s">
        <v>12</v>
      </c>
      <c r="C4" t="s">
        <v>22</v>
      </c>
    </row>
    <row r="5" spans="1:3" x14ac:dyDescent="0.25">
      <c r="B5" s="12" t="s">
        <v>13</v>
      </c>
      <c r="C5" t="s">
        <v>62</v>
      </c>
    </row>
    <row r="6" spans="1:3" x14ac:dyDescent="0.25">
      <c r="C6" t="s">
        <v>74</v>
      </c>
    </row>
    <row r="7" spans="1:3" x14ac:dyDescent="0.25">
      <c r="C7" t="s">
        <v>76</v>
      </c>
    </row>
    <row r="8" spans="1:3" x14ac:dyDescent="0.25">
      <c r="C8" t="s">
        <v>110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2021-10-08T09:42:23Z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