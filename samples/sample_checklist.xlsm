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amples\"/>
    </mc:Choice>
  </mc:AlternateContent>
  <xr:revisionPtr revIDLastSave="0" documentId="13_ncr:1_{F69D3949-D236-4993-9B9A-653A4D876C8E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Checklist!$A$4:$H$166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L10" i="7" s="1" a="1"/>
  <c r="L10" i="7" s="1"/>
  <c r="H11" i="7"/>
  <c r="I11" i="7" s="1" a="1"/>
  <c r="I11" i="7" s="1"/>
  <c r="H12" i="7"/>
  <c r="L12" i="7" s="1" a="1"/>
  <c r="L12" i="7" s="1"/>
  <c r="H6" i="7"/>
  <c r="L6" i="7" s="1" a="1"/>
  <c r="L6" i="7" s="1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R28" i="7" l="1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M14" i="7"/>
  <c r="F9" i="7"/>
  <c r="S29" i="7"/>
  <c r="D2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<sst xmlns="http://schemas.openxmlformats.org/spreadsheetml/2006/main" count="671" uniqueCount="151">
  <si>
    <t>Main Area</t>
  </si>
  <si>
    <t>Sub Area</t>
  </si>
  <si>
    <t>Question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</si>
  <si>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</si>
  <si>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</si>
  <si>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</si>
  <si>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</si>
  <si>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</si>
  <si>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</si>
  <si>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</si>
  <si>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</si>
  <si>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</si>
  <si>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</si>
  <si>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</si>
  <si>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</si>
  <si>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</si>
  <si>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</si>
  <si>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</si>
  <si>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</si>
  <si>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</si>
  <si>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</si>
  <si>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</si>
  <si>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https://raw.githubusercontent.com/Azure/review-checklists/main/samples/</t>
  </si>
  <si>
    <t>Identity</t>
  </si>
  <si>
    <t>Networking</t>
  </si>
  <si>
    <t>Management</t>
  </si>
  <si>
    <t>Monitoring</t>
  </si>
  <si>
    <t>Security</t>
  </si>
  <si>
    <t>Determine in which Azure region/s where WVD Host Pools will be deployed</t>
  </si>
  <si>
    <t>Determine if hybrid connectivity is required to connect to on-premise environment</t>
  </si>
  <si>
    <t>Did you evaluate latency between users location and Azure WVD infrastructure?</t>
  </si>
  <si>
    <t>Determine metadata location for WVD service</t>
  </si>
  <si>
    <t xml:space="preserve">Check Azure quotas and availability for specific VM SKU/size in the selected regions </t>
  </si>
  <si>
    <t>Check for Availability Zone (AZ) availability in the selected region</t>
  </si>
  <si>
    <t>Assess how many users will connect to WVD and from which regions</t>
  </si>
  <si>
    <t>Determine if all users will have the same set of applications and/or different Host Pool configurations and/or OS images</t>
  </si>
  <si>
    <t>Assess external dependencies for each Host Pool</t>
  </si>
  <si>
    <t>Review client OS used and WVD client type</t>
  </si>
  <si>
    <t>Check licensing requirements</t>
  </si>
  <si>
    <t>Run a PoC to test end-to-end user experience to verify impact caused by network latency</t>
  </si>
  <si>
    <t xml:space="preserve">Determine if users will access WVD using full desktops and/or remote applications </t>
  </si>
  <si>
    <t xml:space="preserve">All users will have the same RDP settings? </t>
  </si>
  <si>
    <t>Determine the Host Pool type to use</t>
  </si>
  <si>
    <t>For Personal Host Pool type, decide on the assignment type</t>
  </si>
  <si>
    <t>For Pooled Host Pool type, decide on the load balancing method</t>
  </si>
  <si>
    <t xml:space="preserve">Estimate the number of different Host Pools to deploy </t>
  </si>
  <si>
    <t>Run workload performance test to determine the best Azure VM SKU and size to use (determine the number of hosts per pool)</t>
  </si>
  <si>
    <t>Verify WVD scalability limits for the environment</t>
  </si>
  <si>
    <t>Determine if  Session Hosts will require GPU</t>
  </si>
  <si>
    <t>Recommended to use VM SKUs able to leverage Accelerated Networking feature in Azure.</t>
  </si>
  <si>
    <t>An Azure Active Directory tenant must be available with at least one subscription linked</t>
  </si>
  <si>
    <t>A Windows Server Active Directory forest/domain is in sync with Azure Active Directory</t>
  </si>
  <si>
    <t>Check User Account requirements to connect to Windows Virtual Desktop</t>
  </si>
  <si>
    <t>Check VM requirements for WVD Session Hosts that will be created</t>
  </si>
  <si>
    <t xml:space="preserve">Before using Azure Active Directory Domain Services (AAD-DS) for WVD, be sure to review the limitations. </t>
  </si>
  <si>
    <t>Create at least two Active Directory Domain Controllers (DCs) in Azure VNET environment close to WVD Host Pool</t>
  </si>
  <si>
    <t>Create a specific OU in Active Directory for each Host Pool</t>
  </si>
  <si>
    <t>Review Domain GPO that will be applied to OU and impacting Host Pool VM functionalities</t>
  </si>
  <si>
    <t>Create a dedicated user account with only permissions to join VM to the domain</t>
  </si>
  <si>
    <t>Create a domain user group for each set of users that will be granted access to each Host Pool Application Group (DAG or RAG)</t>
  </si>
  <si>
    <t>Review your organization password expiration policy for accounts used by Azure Files AD integration</t>
  </si>
  <si>
    <t>Review hybrid connectivity architecture for on-premises environment</t>
  </si>
  <si>
    <t>Assess which resources users will need to access from WVD Host Pools to on-premises</t>
  </si>
  <si>
    <t>Review landing zone networking topology for WVD service</t>
  </si>
  <si>
    <t>Assess VNET and subnet placement for multiple Host Pools</t>
  </si>
  <si>
    <t xml:space="preserve">Need to control/restrict Internet outbound traffic for WVD hosts? </t>
  </si>
  <si>
    <t xml:space="preserve">Need to control/restrict Internet outbound traffic only for users on WVD hosts? </t>
  </si>
  <si>
    <t>Review UDR for WVD Host Pool subnet</t>
  </si>
  <si>
    <t>Ensure WVD control plane endpoints are accessible</t>
  </si>
  <si>
    <t>Check the network bandwidth required for each user and in total for the VM SKU</t>
  </si>
  <si>
    <t>Determine how applications will be deployed in WVD Host Pools</t>
  </si>
  <si>
    <t>Estimate the number of golden images that will be required</t>
  </si>
  <si>
    <t>Determine which OS image/s you will use for Host Pool deployment</t>
  </si>
  <si>
    <t>If a custom image will be used, is there a plan to organise and manage the lifecycle of your images?</t>
  </si>
  <si>
    <t>If custom image will be used, check recommended best practices for WVD on how to build master image</t>
  </si>
  <si>
    <t>Evaluate the usage of Virtual-Desktop-Optimization-Tool</t>
  </si>
  <si>
    <t>Plan/Assess WVD Session Host configuration management strategy</t>
  </si>
  <si>
    <t>Determine if Microsoft OneDrive will be part of WVD deployment</t>
  </si>
  <si>
    <t>Determine if Microsoft Teams will be part of WVD deployment</t>
  </si>
  <si>
    <t xml:space="preserve">Do not use the same storage account/share as Profile/Office containers </t>
  </si>
  <si>
    <t>Review performance considerations for MSIX</t>
  </si>
  <si>
    <t>Check proper session host permissions for MSIX share</t>
  </si>
  <si>
    <t>MSIX packages for 3rd-party applications</t>
  </si>
  <si>
    <t>Disable auto-update for MSIX packages</t>
  </si>
  <si>
    <t>Review operating systems support</t>
  </si>
  <si>
    <t xml:space="preserve">Determine which type of managed disk will be used for the Session Hosts  </t>
  </si>
  <si>
    <t>Determine which storage backend solution will be used for FSLogix Profile and Office Containers</t>
  </si>
  <si>
    <t>Evaluate the possibility to separate Profile Containers from Office Containers</t>
  </si>
  <si>
    <t>Verify storage scalability limits to support Host Pool requirements</t>
  </si>
  <si>
    <t>If NetApp Files storage is used, check storage service availability in your specific region.</t>
  </si>
  <si>
    <t>For optimal performance, the storage solution and the FSLogix profile container should be in the same data-center location.</t>
  </si>
  <si>
    <t>Configure the recommended antivirus exclusions for FSLogix (includes not scanning VHD(x) files on connect).</t>
  </si>
  <si>
    <t>Review FSLogix registry keys and determine which ones to apply</t>
  </si>
  <si>
    <t>Check usage of concurrent or multiple connections to the same profile</t>
  </si>
  <si>
    <t>Review best practices and key considerations for storage sizing</t>
  </si>
  <si>
    <t>Check best-practices for Azure Files (if used)</t>
  </si>
  <si>
    <t>Check best-practices for NetApp Files (if used)</t>
  </si>
  <si>
    <t>Review and confirm configured maximum profile size in FSLogix</t>
  </si>
  <si>
    <t xml:space="preserve">Ensure WVD users will not have local admin privileges on WVD Hosts. </t>
  </si>
  <si>
    <t>Ensure anti-virus and anti-malware solution is used</t>
  </si>
  <si>
    <t>Ensure proper AV exclusions are in place</t>
  </si>
  <si>
    <t>Assess disk encryption requirements for WVD Hosts</t>
  </si>
  <si>
    <t>Need to control/restrict user Internet navigation from WVD session hosts?</t>
  </si>
  <si>
    <t>Evaluate the usage of Azure Security Center (ASC) for WVD Session Hosts</t>
  </si>
  <si>
    <t>Review Active Directory GPOs to secure RDP sessions</t>
  </si>
  <si>
    <t>Evaluate the usage of MFA for WVD users</t>
  </si>
  <si>
    <t>Evaluate the usage of Conditional Access for users</t>
  </si>
  <si>
    <t>Enable diagnostic and audit logging to central Log Analytics workspace</t>
  </si>
  <si>
    <t xml:space="preserve">Assess the requirement to use custom RBAC roles for WVD management </t>
  </si>
  <si>
    <t>Review all security best practices for WVD environment</t>
  </si>
  <si>
    <t>Enable Azure Monitoring for WVD</t>
  </si>
  <si>
    <t>Enable and redirect diagnostic settings for Workspaces, Host Pools, Application Groups and Host VMs to Log Analytics workspace</t>
  </si>
  <si>
    <t>Create alerts on the profile storage to be alerted in case of high usage and throttling</t>
  </si>
  <si>
    <t xml:space="preserve">Configure Azure Service Health for WVD alerts </t>
  </si>
  <si>
    <t>Assess the requirement for host pool auto-scaling capability</t>
  </si>
  <si>
    <t>Periodically check Azure Advisor recommendations for WVD</t>
  </si>
  <si>
    <t>Plan for a golden image update management strategy</t>
  </si>
  <si>
    <t>Plan for a Session Host patching and update strategy</t>
  </si>
  <si>
    <t>Assess the requirement for a WVD test canary environment</t>
  </si>
  <si>
    <t>Determine Host Pool deployment strategy</t>
  </si>
  <si>
    <t>Turn on VMs regulary every 90 days for token refresh</t>
  </si>
  <si>
    <t>Determine the expected High Availability SLA for applications/desktops published through WVD</t>
  </si>
  <si>
    <t>Assess Geo Disaster Recovery region for WVD Host Pools</t>
  </si>
  <si>
    <t>Separate critical applications in different WVD Host Pools</t>
  </si>
  <si>
    <t>Plan the best resiliency option for WVD Host Pool deployment</t>
  </si>
  <si>
    <t>Assess the requirement to backup WVD Session Hosts</t>
  </si>
  <si>
    <t>Assess which data need to be protected inside the Profile and Office Containers</t>
  </si>
  <si>
    <t>Build a backup protection strategy for Profile and Office Containers</t>
  </si>
  <si>
    <t>Assess Profile Container storage replication requirements and resiliency for BCDR purpose</t>
  </si>
  <si>
    <t>Review Azure NetApp Files DR strategy</t>
  </si>
  <si>
    <t>Review Azure Files DR strategy</t>
  </si>
  <si>
    <t>Plan for Golden Image cross-region availability</t>
  </si>
  <si>
    <t xml:space="preserve">Assess Infrastructure &amp; Application dependencies </t>
  </si>
  <si>
    <t>Foundation</t>
  </si>
  <si>
    <t>General</t>
  </si>
  <si>
    <t>Clients &amp; Users</t>
  </si>
  <si>
    <t>Capacity Planning</t>
  </si>
  <si>
    <t>Requirements</t>
  </si>
  <si>
    <t>Active Directory</t>
  </si>
  <si>
    <t>Compute</t>
  </si>
  <si>
    <t>Golden Image/s</t>
  </si>
  <si>
    <t>MSIX &amp; AppAttach</t>
  </si>
  <si>
    <t>Storage</t>
  </si>
  <si>
    <t xml:space="preserve">Session Host </t>
  </si>
  <si>
    <t>FSLogix</t>
  </si>
  <si>
    <t>Host Configuration</t>
  </si>
  <si>
    <t>Dependencies</t>
  </si>
  <si>
    <t>Monitoring and Management</t>
  </si>
  <si>
    <t>BC/DR</t>
  </si>
  <si>
    <t>If a custom image will be used, determine if there is an automated build process�</t>
  </si>
  <si>
    <t>Azure Virtual Desktop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</si>
</sst>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u/>
      <sz val="11"/>
      <color theme="10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2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4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6" fillId="0" borderId="0" xfId="2" applyFont="1" applyFill="1" applyBorder="1" applyAlignment="1">
      <alignment vertical="top" wrapText="1"/>
    </xf>
    <xf numFmtId="0" fontId="6" fillId="0" borderId="0" xfId="0" applyFont="1" applyAlignment="1">
      <alignment horizontal="left" vertical="top"/>
    </xf>
    <xf numFmtId="0" fontId="5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10" fillId="0" borderId="0" xfId="0" applyFont="1" applyAlignment="1">
      <alignment horizontal="left" vertical="center" wrapText="1" indent="10"/>
    </xf>
    <xf numFmtId="0" fontId="9" fillId="0" borderId="0" xfId="0" applyFont="1"/>
    <xf numFmtId="0" fontId="14" fillId="0" borderId="0" xfId="0" applyFont="1"/>
    <xf numFmtId="9" fontId="0" fillId="0" borderId="0" xfId="3" applyFont="1"/>
    <xf numFmtId="9" fontId="12" fillId="0" borderId="0" xfId="3" applyFont="1"/>
    <xf numFmtId="9" fontId="13" fillId="0" borderId="0" xfId="0" applyNumberFormat="1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6" fillId="0" borderId="0" xfId="2" applyFont="1" applyFill="1" applyBorder="1" applyAlignment="1">
      <alignment horizontal="left" vertical="center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7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25</c:v>
                </c:pt>
                <c:pt idx="1">
                  <c:v>57</c:v>
                </c:pt>
                <c:pt idx="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106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57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8"/>
                <c:pt idx="0">
                  <c:v>Foundation</c:v>
                </c:pt>
                <c:pt idx="1">
                  <c:v>Identity</c:v>
                </c:pt>
                <c:pt idx="2">
                  <c:v>Networking</c:v>
                </c:pt>
                <c:pt idx="3">
                  <c:v>Compute</c:v>
                </c:pt>
                <c:pt idx="4">
                  <c:v>Storage</c:v>
                </c:pt>
                <c:pt idx="5">
                  <c:v>Security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22</c:v>
                </c:pt>
                <c:pt idx="1">
                  <c:v>11</c:v>
                </c:pt>
                <c:pt idx="2">
                  <c:v>9</c:v>
                </c:pt>
                <c:pt idx="3">
                  <c:v>16</c:v>
                </c:pt>
                <c:pt idx="4">
                  <c:v>13</c:v>
                </c:pt>
                <c:pt idx="5">
                  <c:v>12</c:v>
                </c:pt>
                <c:pt idx="6">
                  <c:v>11</c:v>
                </c:pt>
                <c:pt idx="7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8"/>
                <c:pt idx="0">
                  <c:v>Foundation</c:v>
                </c:pt>
                <c:pt idx="1">
                  <c:v>Identity</c:v>
                </c:pt>
                <c:pt idx="2">
                  <c:v>Networking</c:v>
                </c:pt>
                <c:pt idx="3">
                  <c:v>Compute</c:v>
                </c:pt>
                <c:pt idx="4">
                  <c:v>Storage</c:v>
                </c:pt>
                <c:pt idx="5">
                  <c:v>Security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22</c:v>
                </c:pt>
                <c:pt idx="1">
                  <c:v>11</c:v>
                </c:pt>
                <c:pt idx="2">
                  <c:v>9</c:v>
                </c:pt>
                <c:pt idx="3">
                  <c:v>16</c:v>
                </c:pt>
                <c:pt idx="4">
                  <c:v>13</c:v>
                </c:pt>
                <c:pt idx="5">
                  <c:v>12</c:v>
                </c:pt>
                <c:pt idx="6">
                  <c:v>11</c:v>
                </c:pt>
                <c:pt idx="7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8"/>
                <c:pt idx="0">
                  <c:v>Foundation</c:v>
                </c:pt>
                <c:pt idx="1">
                  <c:v>Identity</c:v>
                </c:pt>
                <c:pt idx="2">
                  <c:v>Networking</c:v>
                </c:pt>
                <c:pt idx="3">
                  <c:v>Compute</c:v>
                </c:pt>
                <c:pt idx="4">
                  <c:v>Storage</c:v>
                </c:pt>
                <c:pt idx="5">
                  <c:v>Security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8"/>
                <c:pt idx="0">
                  <c:v>Foundation</c:v>
                </c:pt>
                <c:pt idx="1">
                  <c:v>Identity</c:v>
                </c:pt>
                <c:pt idx="2">
                  <c:v>Networking</c:v>
                </c:pt>
                <c:pt idx="3">
                  <c:v>Compute</c:v>
                </c:pt>
                <c:pt idx="4">
                  <c:v>Storage</c:v>
                </c:pt>
                <c:pt idx="5">
                  <c:v>Security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8"/>
                <c:pt idx="0">
                  <c:v>Foundation</c:v>
                </c:pt>
                <c:pt idx="1">
                  <c:v>Identity</c:v>
                </c:pt>
                <c:pt idx="2">
                  <c:v>Networking</c:v>
                </c:pt>
                <c:pt idx="3">
                  <c:v>Compute</c:v>
                </c:pt>
                <c:pt idx="4">
                  <c:v>Storage</c:v>
                </c:pt>
                <c:pt idx="5">
                  <c:v>Security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175632</xdr:colOff>
      <xdr:row>1</xdr:row>
      <xdr:rowOff>101141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8458200</xdr:colOff>
          <xdr:row>0</xdr:row>
          <xdr:rowOff>800100</xdr:rowOff>
        </xdr:from>
        <xdr:to>
          <xdr:col>3</xdr:col>
          <xdr:colOff>200025</xdr:colOff>
          <xdr:row>0</xdr:row>
          <xdr:rowOff>1038225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8458200</xdr:colOff>
          <xdr:row>0</xdr:row>
          <xdr:rowOff>400050</xdr:rowOff>
        </xdr:from>
        <xdr:to>
          <xdr:col>3</xdr:col>
          <xdr:colOff>190500</xdr:colOff>
          <xdr:row>0</xdr:row>
          <xdr:rowOff>676275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5924550</xdr:colOff>
          <xdr:row>0</xdr:row>
          <xdr:rowOff>266700</xdr:rowOff>
        </xdr:from>
        <xdr:to>
          <xdr:col>2</xdr:col>
          <xdr:colOff>7791450</xdr:colOff>
          <xdr:row>0</xdr:row>
          <xdr:rowOff>514350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reference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8181975</xdr:colOff>
          <xdr:row>0</xdr:row>
          <xdr:rowOff>142875</xdr:rowOff>
        </xdr:from>
        <xdr:to>
          <xdr:col>3</xdr:col>
          <xdr:colOff>600075</xdr:colOff>
          <xdr:row>0</xdr:row>
          <xdr:rowOff>1276350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5572125</xdr:colOff>
          <xdr:row>0</xdr:row>
          <xdr:rowOff>142875</xdr:rowOff>
        </xdr:from>
        <xdr:to>
          <xdr:col>2</xdr:col>
          <xdr:colOff>8001000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6991350</xdr:colOff>
          <xdr:row>0</xdr:row>
          <xdr:rowOff>638175</xdr:rowOff>
        </xdr:from>
        <xdr:to>
          <xdr:col>2</xdr:col>
          <xdr:colOff>7896225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7115175</xdr:colOff>
          <xdr:row>0</xdr:row>
          <xdr:rowOff>752475</xdr:rowOff>
        </xdr:from>
        <xdr:to>
          <xdr:col>2</xdr:col>
          <xdr:colOff>8029575</xdr:colOff>
          <xdr:row>0</xdr:row>
          <xdr:rowOff>981075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7124700</xdr:colOff>
          <xdr:row>0</xdr:row>
          <xdr:rowOff>895350</xdr:rowOff>
        </xdr:from>
        <xdr:to>
          <xdr:col>2</xdr:col>
          <xdr:colOff>8039100</xdr:colOff>
          <xdr:row>0</xdr:row>
          <xdr:rowOff>1123950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2</xdr:col>
          <xdr:colOff>6677025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695325</xdr:rowOff>
        </xdr:from>
        <xdr:to>
          <xdr:col>2</xdr:col>
          <xdr:colOff>6781800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857250</xdr:rowOff>
        </xdr:from>
        <xdr:to>
          <xdr:col>2</xdr:col>
          <xdr:colOff>6791325</xdr:colOff>
          <xdr:row>0</xdr:row>
          <xdr:rowOff>1076325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7115175</xdr:colOff>
          <xdr:row>0</xdr:row>
          <xdr:rowOff>1047750</xdr:rowOff>
        </xdr:from>
        <xdr:to>
          <xdr:col>2</xdr:col>
          <xdr:colOff>8162925</xdr:colOff>
          <xdr:row>0</xdr:row>
          <xdr:rowOff>1257300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5829300</xdr:colOff>
          <xdr:row>0</xdr:row>
          <xdr:rowOff>1038225</xdr:rowOff>
        </xdr:from>
        <xdr:to>
          <xdr:col>2</xdr:col>
          <xdr:colOff>6877050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docs.microsoft.com/azure/virtual-desktop/overview" TargetMode="External"/><Relationship Id="rId117" Type="http://schemas.openxmlformats.org/officeDocument/2006/relationships/ctrlProp" Target="../ctrlProps/ctrlProp8.xml"/><Relationship Id="rId21" Type="http://schemas.openxmlformats.org/officeDocument/2006/relationships/hyperlink" Target="https://docs.microsoft.com/azure/virtual-desktop/configure-vm-gpu" TargetMode="External"/><Relationship Id="rId42" Type="http://schemas.openxmlformats.org/officeDocument/2006/relationships/hyperlink" Target="https://docs.microsoft.com/windows-server/remote/remote-desktop-services/network-guidance" TargetMode="External"/><Relationship Id="rId47" Type="http://schemas.openxmlformats.org/officeDocument/2006/relationships/hyperlink" Target="https://docs.microsoft.com/azure/virtual-machines/windows/shared-image-galleries" TargetMode="External"/><Relationship Id="rId63" Type="http://schemas.openxmlformats.org/officeDocument/2006/relationships/hyperlink" Target="https://azure.microsoft.com/global-infrastructure/services/" TargetMode="External"/><Relationship Id="rId68" Type="http://schemas.openxmlformats.org/officeDocument/2006/relationships/hyperlink" Target="https://docs.microsoft.com/azure/virtual-desktop/store-fslogix-profile" TargetMode="External"/><Relationship Id="rId84" Type="http://schemas.openxmlformats.org/officeDocument/2006/relationships/hyperlink" Target="https://docs.microsoft.com/azure/virtual-desktop/azure-monitor" TargetMode="External"/><Relationship Id="rId89" Type="http://schemas.openxmlformats.org/officeDocument/2006/relationships/hyperlink" Target="https://docs.microsoft.com/azure/virtual-desktop/azure-advisor" TargetMode="External"/><Relationship Id="rId112" Type="http://schemas.openxmlformats.org/officeDocument/2006/relationships/ctrlProp" Target="../ctrlProps/ctrlProp3.xml"/><Relationship Id="rId16" Type="http://schemas.openxmlformats.org/officeDocument/2006/relationships/hyperlink" Target="https://docs.microsoft.com/azure/virtual-desktop/configure-host-pool-personal-desktop-assignment-type" TargetMode="External"/><Relationship Id="rId107" Type="http://schemas.openxmlformats.org/officeDocument/2006/relationships/printerSettings" Target="../printerSettings/printerSettings1.bin"/><Relationship Id="rId11" Type="http://schemas.openxmlformats.org/officeDocument/2006/relationships/hyperlink" Target="https://azure.microsoft.com/pricing/details/virtual-desktop/" TargetMode="External"/><Relationship Id="rId32" Type="http://schemas.openxmlformats.org/officeDocument/2006/relationships/hyperlink" Target="https://docs.microsoft.com/azure/virtual-desktop/manage-app-groups" TargetMode="External"/><Relationship Id="rId37" Type="http://schemas.openxmlformats.org/officeDocument/2006/relationships/hyperlink" Target="https://docs.microsoft.com/azure/architecture/example-scenario/wvd/windows-virtual-desktop-fslogix" TargetMode="External"/><Relationship Id="rId53" Type="http://schemas.openxmlformats.org/officeDocument/2006/relationships/hyperlink" Target="https://docs.microsoft.com/azure/virtual-desktop/app-attach-file-share" TargetMode="External"/><Relationship Id="rId58" Type="http://schemas.openxmlformats.org/officeDocument/2006/relationships/hyperlink" Target="https://docs.microsoft.com/azure/virtual-desktop/app-attach-faq" TargetMode="External"/><Relationship Id="rId74" Type="http://schemas.openxmlformats.org/officeDocument/2006/relationships/hyperlink" Target="https://docs.microsoft.com/azure/architecture/example-scenario/wvd/windows-virtual-desktop-fslogix" TargetMode="External"/><Relationship Id="rId79" Type="http://schemas.openxmlformats.org/officeDocument/2006/relationships/hyperlink" Target="https://docs.microsoft.com/azure/virtual-desktop/set-up-mfa" TargetMode="External"/><Relationship Id="rId102" Type="http://schemas.openxmlformats.org/officeDocument/2006/relationships/hyperlink" Target="https://docs.microsoft.com/azure/virtual-desktop/disaster-recovery" TargetMode="External"/><Relationship Id="rId5" Type="http://schemas.openxmlformats.org/officeDocument/2006/relationships/hyperlink" Target="https://docs.microsoft.com/azure/azure-resource-manager/management/azure-subscription-service-limits" TargetMode="External"/><Relationship Id="rId90" Type="http://schemas.openxmlformats.org/officeDocument/2006/relationships/hyperlink" Target="https://docs.microsoft.com/azure/virtual-machines/windows/image-builder-virtual-desktop" TargetMode="External"/><Relationship Id="rId95" Type="http://schemas.openxmlformats.org/officeDocument/2006/relationships/hyperlink" Target="https://azure.microsoft.com/support/legal/sla/virtual-desktop/v1_0/" TargetMode="External"/><Relationship Id="rId22" Type="http://schemas.openxmlformats.org/officeDocument/2006/relationships/hyperlink" Target="https://docs.microsoft.com/azure/virtual-network/create-vm-accelerated-networking-powershell" TargetMode="External"/><Relationship Id="rId27" Type="http://schemas.openxmlformats.org/officeDocument/2006/relationships/hyperlink" Target="https://docs.microsoft.com/azure/active-directory-domain-services/compare-identity-solutions" TargetMode="External"/><Relationship Id="rId43" Type="http://schemas.openxmlformats.org/officeDocument/2006/relationships/hyperlink" Target="https://docs.microsoft.com/azure/virtual-desktop/set-up-customize-master-image" TargetMode="External"/><Relationship Id="rId48" Type="http://schemas.openxmlformats.org/officeDocument/2006/relationships/hyperlink" Target="https://docs.microsoft.com/azure/virtual-desktop/set-up-customize-master-image" TargetMode="External"/><Relationship Id="rId64" Type="http://schemas.openxmlformats.org/officeDocument/2006/relationships/hyperlink" Target="https://docs.microsoft.com/azure/virtual-desktop/fslogix-containers-azure-files" TargetMode="External"/><Relationship Id="rId69" Type="http://schemas.openxmlformats.org/officeDocument/2006/relationships/hyperlink" Target="https://docs.microsoft.com/azure/architecture/example-scenario/wvd/windows-virtual-desktop-fslogix" TargetMode="External"/><Relationship Id="rId113" Type="http://schemas.openxmlformats.org/officeDocument/2006/relationships/ctrlProp" Target="../ctrlProps/ctrlProp4.xml"/><Relationship Id="rId118" Type="http://schemas.openxmlformats.org/officeDocument/2006/relationships/ctrlProp" Target="../ctrlProps/ctrlProp9.xml"/><Relationship Id="rId80" Type="http://schemas.openxmlformats.org/officeDocument/2006/relationships/hyperlink" Target="https://docs.microsoft.com/azure/virtual-desktop/security-guide" TargetMode="External"/><Relationship Id="rId85" Type="http://schemas.openxmlformats.org/officeDocument/2006/relationships/hyperlink" Target="https://docs.microsoft.com/azure/virtual-desktop/diagnostics-log-analytics" TargetMode="External"/><Relationship Id="rId12" Type="http://schemas.openxmlformats.org/officeDocument/2006/relationships/hyperlink" Target="https://azure.microsoft.com/services/virtual-desktop/assessment/" TargetMode="External"/><Relationship Id="rId17" Type="http://schemas.openxmlformats.org/officeDocument/2006/relationships/hyperlink" Target="https://docs.microsoft.com/azure/virtual-desktop/host-pool-load-balancing" TargetMode="External"/><Relationship Id="rId33" Type="http://schemas.openxmlformats.org/officeDocument/2006/relationships/hyperlink" Target="https://docs.microsoft.com/azure/storage/files/storage-files-identity-ad-ds-enable" TargetMode="External"/><Relationship Id="rId38" Type="http://schemas.openxmlformats.org/officeDocument/2006/relationships/hyperlink" Target="https://aka.ms/wvdfirewall" TargetMode="External"/><Relationship Id="rId59" Type="http://schemas.openxmlformats.org/officeDocument/2006/relationships/hyperlink" Target="https://docs.microsoft.com/azure/virtual-machines/disks-types" TargetMode="External"/><Relationship Id="rId103" Type="http://schemas.openxmlformats.org/officeDocument/2006/relationships/hyperlink" Target="https://docs.microsoft.com/azure/azure-netapp-files/azure-netapp-files-manage-snapshots" TargetMode="External"/><Relationship Id="rId108" Type="http://schemas.openxmlformats.org/officeDocument/2006/relationships/drawing" Target="../drawings/drawing2.xml"/><Relationship Id="rId54" Type="http://schemas.openxmlformats.org/officeDocument/2006/relationships/hyperlink" Target="https://docs.microsoft.com/azure/virtual-desktop/app-attach-file-share" TargetMode="External"/><Relationship Id="rId70" Type="http://schemas.openxmlformats.org/officeDocument/2006/relationships/hyperlink" Target="https://docs.microsoft.com/azure/architecture/example-scenario/wvd/windows-virtual-desktop-fslogix" TargetMode="External"/><Relationship Id="rId75" Type="http://schemas.openxmlformats.org/officeDocument/2006/relationships/hyperlink" Target="https://docs.microsoft.com/azure/virtual-desktop/security-guide" TargetMode="External"/><Relationship Id="rId91" Type="http://schemas.openxmlformats.org/officeDocument/2006/relationships/hyperlink" Target="https://docs.microsoft.com/azure/virtual-machines/windows/image-builder-virtual-desktop" TargetMode="External"/><Relationship Id="rId96" Type="http://schemas.openxmlformats.org/officeDocument/2006/relationships/hyperlink" Target="https://docs.microsoft.com/azure/virtual-desktop/disaster-recovery" TargetMode="External"/><Relationship Id="rId1" Type="http://schemas.openxmlformats.org/officeDocument/2006/relationships/hyperlink" Target="https://azure.microsoft.com/global-infrastructure/services/?products=virtual-desktop" TargetMode="External"/><Relationship Id="rId6" Type="http://schemas.openxmlformats.org/officeDocument/2006/relationships/hyperlink" Target="https://docs.microsoft.com/azure/availability-zones/az-region" TargetMode="External"/><Relationship Id="rId23" Type="http://schemas.openxmlformats.org/officeDocument/2006/relationships/hyperlink" Target="https://docs.microsoft.com/azure/virtual-desktop/overview" TargetMode="External"/><Relationship Id="rId28" Type="http://schemas.openxmlformats.org/officeDocument/2006/relationships/hyperlink" Target="https://docs.microsoft.com/azure/virtual-desktop/overview" TargetMode="External"/><Relationship Id="rId49" Type="http://schemas.openxmlformats.org/officeDocument/2006/relationships/hyperlink" Target="https://github.com/The-Virtual-Desktop-Team/Virtual-Desktop-Optimization-Tool" TargetMode="External"/><Relationship Id="rId114" Type="http://schemas.openxmlformats.org/officeDocument/2006/relationships/ctrlProp" Target="../ctrlProps/ctrlProp5.xml"/><Relationship Id="rId119" Type="http://schemas.openxmlformats.org/officeDocument/2006/relationships/ctrlProp" Target="../ctrlProps/ctrlProp10.xml"/><Relationship Id="rId44" Type="http://schemas.openxmlformats.org/officeDocument/2006/relationships/hyperlink" Target="https://docs.microsoft.com/azure/virtual-desktop/create-host-pools-azure-marketplace" TargetMode="External"/><Relationship Id="rId60" Type="http://schemas.openxmlformats.org/officeDocument/2006/relationships/hyperlink" Target="https://docs.microsoft.com/azure/virtual-desktop/store-fslogix-profile" TargetMode="External"/><Relationship Id="rId65" Type="http://schemas.openxmlformats.org/officeDocument/2006/relationships/hyperlink" Target="https://docs.microsoft.com/azure/architecture/example-scenario/wvd/windows-virtual-desktop-fslogix" TargetMode="External"/><Relationship Id="rId81" Type="http://schemas.openxmlformats.org/officeDocument/2006/relationships/hyperlink" Target="https://docs.microsoft.com/azure/virtual-desktop/security-guide" TargetMode="External"/><Relationship Id="rId86" Type="http://schemas.openxmlformats.org/officeDocument/2006/relationships/hyperlink" Target="https://docs.microsoft.com/azure/storage/files/storage-files-monitoring?tabs=azure-portal" TargetMode="External"/><Relationship Id="rId4" Type="http://schemas.openxmlformats.org/officeDocument/2006/relationships/hyperlink" Target="https://docs.microsoft.com/azure/virtual-desktop/data-locations" TargetMode="External"/><Relationship Id="rId9" Type="http://schemas.openxmlformats.org/officeDocument/2006/relationships/hyperlink" Target="https://docs.microsoft.com/azure/virtual-desktop/overview" TargetMode="External"/><Relationship Id="rId13" Type="http://schemas.openxmlformats.org/officeDocument/2006/relationships/hyperlink" Target="https://docs.microsoft.com/azure/virtual-desktop/manage-app-groups" TargetMode="External"/><Relationship Id="rId18" Type="http://schemas.openxmlformats.org/officeDocument/2006/relationships/hyperlink" Target="https://docs.microsoft.com/azure/virtual-desktop/environment-setup" TargetMode="External"/><Relationship Id="rId39" Type="http://schemas.openxmlformats.org/officeDocument/2006/relationships/hyperlink" Target="https://techcommunity.microsoft.com/t5/microsoft-defender-for-endpoint/windows-virtual-desktop-support-is-now-generally-available/ba-p/2103712" TargetMode="External"/><Relationship Id="rId109" Type="http://schemas.openxmlformats.org/officeDocument/2006/relationships/vmlDrawing" Target="../drawings/vmlDrawing1.vml"/><Relationship Id="rId34" Type="http://schemas.openxmlformats.org/officeDocument/2006/relationships/hyperlink" Target="https://docs.microsoft.com/azure/architecture/reference-architectures/hybrid-networking/" TargetMode="External"/><Relationship Id="rId50" Type="http://schemas.openxmlformats.org/officeDocument/2006/relationships/hyperlink" Target="https://docs.microsoft.com/mem/intune/fundamentals/windows-virtual-desktop-multi-session" TargetMode="External"/><Relationship Id="rId55" Type="http://schemas.openxmlformats.org/officeDocument/2006/relationships/hyperlink" Target="https://docs.microsoft.com/azure/virtual-desktop/app-attach-file-share" TargetMode="External"/><Relationship Id="rId76" Type="http://schemas.openxmlformats.org/officeDocument/2006/relationships/hyperlink" Target="https://techcommunity.microsoft.com/t5/microsoft-defender-for-endpoint/windows-virtual-desktop-support-is-now-generally-available/ba-p/2103712" TargetMode="External"/><Relationship Id="rId97" Type="http://schemas.openxmlformats.org/officeDocument/2006/relationships/hyperlink" Target="https://docs.microsoft.com/azure/virtual-desktop/disaster-recovery" TargetMode="External"/><Relationship Id="rId104" Type="http://schemas.openxmlformats.org/officeDocument/2006/relationships/hyperlink" Target="https://docs.microsoft.com/azure/backup/backup-afs" TargetMode="External"/><Relationship Id="rId120" Type="http://schemas.openxmlformats.org/officeDocument/2006/relationships/ctrlProp" Target="../ctrlProps/ctrlProp11.xml"/><Relationship Id="rId7" Type="http://schemas.openxmlformats.org/officeDocument/2006/relationships/hyperlink" Target="https://docs.microsoft.com/azure/virtual-desktop/faq" TargetMode="External"/><Relationship Id="rId71" Type="http://schemas.openxmlformats.org/officeDocument/2006/relationships/hyperlink" Target="https://docs.microsoft.com/fslogix/profile-container-configuration-reference" TargetMode="External"/><Relationship Id="rId92" Type="http://schemas.openxmlformats.org/officeDocument/2006/relationships/hyperlink" Target="https://docs.microsoft.com/azure/virtual-desktop/create-validation-host-pool" TargetMode="External"/><Relationship Id="rId2" Type="http://schemas.openxmlformats.org/officeDocument/2006/relationships/hyperlink" Target="https://docs.microsoft.com/azure/architecture/reference-architectures/hybrid-networking/" TargetMode="External"/><Relationship Id="rId29" Type="http://schemas.openxmlformats.org/officeDocument/2006/relationships/hyperlink" Target="https://docs.microsoft.com/azure/virtual-desktop/create-host-pools-azure-marketplace" TargetMode="External"/><Relationship Id="rId24" Type="http://schemas.openxmlformats.org/officeDocument/2006/relationships/hyperlink" Target="https://docs.microsoft.com/azure/virtual-desktop/overview" TargetMode="External"/><Relationship Id="rId40" Type="http://schemas.openxmlformats.org/officeDocument/2006/relationships/hyperlink" Target="https://docs.microsoft.com/azure/firewall/protect-windows-virtual-desktop" TargetMode="External"/><Relationship Id="rId45" Type="http://schemas.openxmlformats.org/officeDocument/2006/relationships/hyperlink" Target="https://docs.microsoft.com/azure/virtual-desktop/overview" TargetMode="External"/><Relationship Id="rId66" Type="http://schemas.openxmlformats.org/officeDocument/2006/relationships/hyperlink" Target="https://docs.microsoft.com/azure/architecture/example-scenario/wvd/windows-virtual-desktop-fslogix" TargetMode="External"/><Relationship Id="rId87" Type="http://schemas.openxmlformats.org/officeDocument/2006/relationships/hyperlink" Target="https://docs.microsoft.com/azure/virtual-desktop/set-up-service-alerts" TargetMode="External"/><Relationship Id="rId110" Type="http://schemas.openxmlformats.org/officeDocument/2006/relationships/ctrlProp" Target="../ctrlProps/ctrlProp1.xml"/><Relationship Id="rId115" Type="http://schemas.openxmlformats.org/officeDocument/2006/relationships/ctrlProp" Target="../ctrlProps/ctrlProp6.xml"/><Relationship Id="rId61" Type="http://schemas.openxmlformats.org/officeDocument/2006/relationships/hyperlink" Target="https://docs.microsoft.com/fslogix/profile-container-office-container-cncpt" TargetMode="External"/><Relationship Id="rId82" Type="http://schemas.openxmlformats.org/officeDocument/2006/relationships/hyperlink" Target="https://docs.microsoft.com/azure/virtual-desktop/rbac" TargetMode="External"/><Relationship Id="rId19" Type="http://schemas.openxmlformats.org/officeDocument/2006/relationships/hyperlink" Target="https://docs.microsoft.com/windows-server/remote/remote-desktop-services/virtual-machine-recs" TargetMode="External"/><Relationship Id="rId14" Type="http://schemas.openxmlformats.org/officeDocument/2006/relationships/hyperlink" Target="https://docs.microsoft.com/azure/virtual-desktop/customize-rdp-properties" TargetMode="External"/><Relationship Id="rId30" Type="http://schemas.openxmlformats.org/officeDocument/2006/relationships/hyperlink" Target="https://docs.microsoft.com/previous-versions/windows/desktop/Policy/group-policy-hierarchy" TargetMode="External"/><Relationship Id="rId35" Type="http://schemas.openxmlformats.org/officeDocument/2006/relationships/hyperlink" Target="https://docs.microsoft.com/azure/architecture/reference-architectures/hybrid-networking/" TargetMode="External"/><Relationship Id="rId56" Type="http://schemas.openxmlformats.org/officeDocument/2006/relationships/hyperlink" Target="https://docs.microsoft.com/azure/virtual-desktop/app-attach-faq" TargetMode="External"/><Relationship Id="rId77" Type="http://schemas.openxmlformats.org/officeDocument/2006/relationships/hyperlink" Target="https://docs.microsoft.com/azure/virtual-desktop/security-guide" TargetMode="External"/><Relationship Id="rId100" Type="http://schemas.openxmlformats.org/officeDocument/2006/relationships/hyperlink" Target="https://docs.microsoft.com/fslogix/manage-profile-content-cncpt" TargetMode="External"/><Relationship Id="rId105" Type="http://schemas.openxmlformats.org/officeDocument/2006/relationships/hyperlink" Target="https://docs.microsoft.com/azure/virtual-machines/windows/shared-images-portal" TargetMode="External"/><Relationship Id="rId8" Type="http://schemas.openxmlformats.org/officeDocument/2006/relationships/hyperlink" Target="https://docs.microsoft.com/azure/virtual-desktop/environment-setup" TargetMode="External"/><Relationship Id="rId51" Type="http://schemas.openxmlformats.org/officeDocument/2006/relationships/hyperlink" Target="https://docs.microsoft.com/azure/virtual-desktop/install-office-on-wvd-master-image" TargetMode="External"/><Relationship Id="rId72" Type="http://schemas.openxmlformats.org/officeDocument/2006/relationships/hyperlink" Target="https://docs.microsoft.com/azure/virtual-desktop/security-guide" TargetMode="External"/><Relationship Id="rId93" Type="http://schemas.openxmlformats.org/officeDocument/2006/relationships/hyperlink" Target="https://github.com/Azure/RDS-Templates/tree/master/wvd-templates" TargetMode="External"/><Relationship Id="rId98" Type="http://schemas.openxmlformats.org/officeDocument/2006/relationships/hyperlink" Target="https://docs.microsoft.com/azure/virtual-desktop/faq" TargetMode="External"/><Relationship Id="rId121" Type="http://schemas.openxmlformats.org/officeDocument/2006/relationships/ctrlProp" Target="../ctrlProps/ctrlProp12.xml"/><Relationship Id="rId3" Type="http://schemas.openxmlformats.org/officeDocument/2006/relationships/hyperlink" Target="https://azure.microsoft.com/services/virtual-desktop/assessment/" TargetMode="External"/><Relationship Id="rId25" Type="http://schemas.openxmlformats.org/officeDocument/2006/relationships/hyperlink" Target="https://docs.microsoft.com/azure/virtual-desktop/overview" TargetMode="External"/><Relationship Id="rId46" Type="http://schemas.openxmlformats.org/officeDocument/2006/relationships/hyperlink" Target="https://docs.microsoft.com/azure/virtual-machines/image-builder-overview" TargetMode="External"/><Relationship Id="rId67" Type="http://schemas.openxmlformats.org/officeDocument/2006/relationships/hyperlink" Target="https://docs.microsoft.com/azure/architecture/example-scenario/wvd/windows-virtual-desktop-fslogix" TargetMode="External"/><Relationship Id="rId116" Type="http://schemas.openxmlformats.org/officeDocument/2006/relationships/ctrlProp" Target="../ctrlProps/ctrlProp7.xml"/><Relationship Id="rId20" Type="http://schemas.openxmlformats.org/officeDocument/2006/relationships/hyperlink" Target="https://docs.microsoft.com/azure/architecture/example-scenario/wvd/windows-virtual-desktop" TargetMode="External"/><Relationship Id="rId41" Type="http://schemas.openxmlformats.org/officeDocument/2006/relationships/hyperlink" Target="https://docs.microsoft.com/azure/virtual-desktop/safe-url-list" TargetMode="External"/><Relationship Id="rId62" Type="http://schemas.openxmlformats.org/officeDocument/2006/relationships/hyperlink" Target="https://docs.microsoft.com/azure/architecture/example-scenario/wvd/windows-virtual-desktop-fslogix" TargetMode="External"/><Relationship Id="rId83" Type="http://schemas.openxmlformats.org/officeDocument/2006/relationships/hyperlink" Target="https://docs.microsoft.com/azure/virtual-desktop/security-guide" TargetMode="External"/><Relationship Id="rId88" Type="http://schemas.openxmlformats.org/officeDocument/2006/relationships/hyperlink" Target="https://docs.microsoft.com/azure/virtual-desktop/set-up-scaling-script" TargetMode="External"/><Relationship Id="rId111" Type="http://schemas.openxmlformats.org/officeDocument/2006/relationships/ctrlProp" Target="../ctrlProps/ctrlProp2.xml"/><Relationship Id="rId15" Type="http://schemas.openxmlformats.org/officeDocument/2006/relationships/hyperlink" Target="https://docs.microsoft.com/azure/virtual-desktop/create-host-pools-azure-marketplace" TargetMode="External"/><Relationship Id="rId36" Type="http://schemas.openxmlformats.org/officeDocument/2006/relationships/hyperlink" Target="https://docs.microsoft.com/azure/cloud-adoption-framework/ready/considerations/networking-options" TargetMode="External"/><Relationship Id="rId57" Type="http://schemas.openxmlformats.org/officeDocument/2006/relationships/hyperlink" Target="https://docs.microsoft.com/azure/virtual-desktop/app-attach-faq" TargetMode="External"/><Relationship Id="rId106" Type="http://schemas.openxmlformats.org/officeDocument/2006/relationships/hyperlink" Target="https://docs.microsoft.com/azure/virtual-desktop/disaster-recovery" TargetMode="External"/><Relationship Id="rId10" Type="http://schemas.openxmlformats.org/officeDocument/2006/relationships/hyperlink" Target="https://docs.microsoft.com/azure/virtual-desktop/connect-windows-7-10" TargetMode="External"/><Relationship Id="rId31" Type="http://schemas.openxmlformats.org/officeDocument/2006/relationships/hyperlink" Target="https://docs.microsoft.com/azure/virtual-desktop/create-host-pools-azure-marketplace" TargetMode="External"/><Relationship Id="rId52" Type="http://schemas.openxmlformats.org/officeDocument/2006/relationships/hyperlink" Target="https://docs.microsoft.com/azure/virtual-desktop/teams-on-wvd" TargetMode="External"/><Relationship Id="rId73" Type="http://schemas.openxmlformats.org/officeDocument/2006/relationships/hyperlink" Target="https://docs.microsoft.com/azure/virtual-desktop/security-guide" TargetMode="External"/><Relationship Id="rId78" Type="http://schemas.openxmlformats.org/officeDocument/2006/relationships/hyperlink" Target="https://docs.microsoft.com/azure/virtual-desktop/security-guide" TargetMode="External"/><Relationship Id="rId94" Type="http://schemas.openxmlformats.org/officeDocument/2006/relationships/hyperlink" Target="https://docs.microsoft.com/azure/virtual-desktop/faq" TargetMode="External"/><Relationship Id="rId99" Type="http://schemas.openxmlformats.org/officeDocument/2006/relationships/hyperlink" Target="https://docs.microsoft.com/azure/virtual-desktop/disaster-recovery" TargetMode="External"/><Relationship Id="rId101" Type="http://schemas.openxmlformats.org/officeDocument/2006/relationships/hyperlink" Target="https://docs.microsoft.com/azure/virtual-desktop/disaster-recovery" TargetMode="External"/><Relationship Id="rId122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2:S29"/>
  <sheetViews>
    <sheetView zoomScale="80" zoomScaleNormal="80" workbookViewId="0">
      <selection activeCell="F9" sqref="F9"/>
    </sheetView>
  </sheetViews>
  <sheetFormatPr defaultRowHeight="15" x14ac:dyDescent="0.25"/>
  <cols>
    <col min="1" max="1" width="28.28515625" customWidth="1"/>
  </cols>
  <sheetData>
    <row r="2" spans="1:13" ht="31.5" x14ac:dyDescent="0.5">
      <c r="A2" s="16" t="s">
        <v>15</v>
      </c>
      <c r="D2" s="19">
        <f>S29</f>
        <v>0</v>
      </c>
    </row>
    <row r="5" spans="1:13" x14ac:dyDescent="0.25">
      <c r="B5" s="15" t="str">
        <f>Values!$B$2</f>
        <v>Not verified</v>
      </c>
      <c r="C5" s="15" t="str">
        <f>Values!$B$3</f>
        <v>Open</v>
      </c>
      <c r="D5" s="15" t="str">
        <f>Values!$B$4</f>
        <v>Fulfilled</v>
      </c>
      <c r="E5" s="15" t="str">
        <f>Values!$B$5</f>
        <v>N/A</v>
      </c>
      <c r="I5" s="15" t="str">
        <f>Values!$B$2</f>
        <v>Not verified</v>
      </c>
      <c r="J5" s="15" t="str">
        <f>Values!$B$3</f>
        <v>Open</v>
      </c>
      <c r="K5" s="15" t="str">
        <f>Values!$B$4</f>
        <v>Fulfilled</v>
      </c>
      <c r="L5" s="15" t="str">
        <f>Values!$B$5</f>
        <v>N/A</v>
      </c>
      <c r="M5" s="15" t="s">
        <v>17</v>
      </c>
    </row>
    <row r="6" spans="1:13" x14ac:dyDescent="0.25">
      <c r="A6" s="15" t="str">
        <f>Values!A2</f>
        <v>High</v>
      </c>
      <c r="B6" cm="1">
        <f t="array" ref="B6">SUMPRODUCT(--(Checklist!$D$5:$G$500=$A6)*--(Checklist!$E$5:$E$500=B$5))</f>
        <v>25</v>
      </c>
      <c r="C6" cm="1">
        <f t="array" ref="C6">SUMPRODUCT(--(Checklist!$D$5:$G$500=$A6)*--(Checklist!$E$5:$E$500=C$5))</f>
        <v>0</v>
      </c>
      <c r="D6" cm="1">
        <f t="array" ref="D6">SUMPRODUCT(--(Checklist!$D$5:$G$500=$A6)*--(Checklist!$E$5:$E$500=D$5))</f>
        <v>0</v>
      </c>
      <c r="E6" cm="1">
        <f t="array" ref="E6">SUMPRODUCT(--(Checklist!$D$5:$G$500=$A6)*--(Checklist!$E$5:$E$500=E$5))</f>
        <v>0</v>
      </c>
      <c r="F6">
        <f>SUM(B6:E6)</f>
        <v>25</v>
      </c>
      <c r="H6" s="15" t="str">
        <f>IF(Values!$C2="","",Values!$C2)</f>
        <v>Foundation</v>
      </c>
      <c r="I6" cm="1">
        <f t="array" ref="I6">IF($H6="","",SUMPRODUCT(--(Checklist!$A$5:$A$500=$H6)*--(Checklist!$E$5:$E$500=I$5)))</f>
        <v>22</v>
      </c>
      <c r="J6" cm="1">
        <f t="array" ref="J6">IF($H6="","",SUMPRODUCT(--(Checklist!$A$5:$A$500=$H6)*--(Checklist!$E$5:$E$500=J$5)))</f>
        <v>0</v>
      </c>
      <c r="K6" cm="1">
        <f t="array" ref="K6">IF($H6="","",SUMPRODUCT(--(Checklist!$A$5:$A$500=$H6)*--(Checklist!$E$5:$E$500=K$5)))</f>
        <v>0</v>
      </c>
      <c r="L6" cm="1">
        <f t="array" ref="L6">IF($H6="","",SUMPRODUCT(--(Checklist!$A$5:$A$500=$H6)*--(Checklist!$E$5:$E$500=L$5)))</f>
        <v>0</v>
      </c>
      <c r="M6">
        <f>IF($H6="","",SUM(I6:L6))</f>
        <v>22</v>
      </c>
    </row>
    <row r="7" spans="1:13" x14ac:dyDescent="0.25">
      <c r="A7" s="15" t="str">
        <f>Values!A3</f>
        <v>Medium</v>
      </c>
      <c r="B7" cm="1">
        <f t="array" ref="B7">SUMPRODUCT(--(Checklist!$D$5:$G$500=$A7)*--(Checklist!$E$5:$E$500=B$5))</f>
        <v>57</v>
      </c>
      <c r="C7" cm="1">
        <f t="array" ref="C7">SUMPRODUCT(--(Checklist!$D$5:$G$500=$A7)*--(Checklist!$E$5:$E$500=C$5))</f>
        <v>0</v>
      </c>
      <c r="D7" cm="1">
        <f t="array" ref="D7">SUMPRODUCT(--(Checklist!$D$5:$G$500=$A7)*--(Checklist!$E$5:$E$500=D$5))</f>
        <v>0</v>
      </c>
      <c r="E7" cm="1">
        <f t="array" ref="E7">SUMPRODUCT(--(Checklist!$D$5:$G$500=$A7)*--(Checklist!$E$5:$E$500=E$5))</f>
        <v>0</v>
      </c>
      <c r="F7">
        <f t="shared" ref="F7:F8" si="0">SUM(B7:E7)</f>
        <v>57</v>
      </c>
      <c r="H7" s="15" t="str">
        <f>IF(Values!$C3="","",Values!$C3)</f>
        <v>Identity</v>
      </c>
      <c r="I7" cm="1">
        <f t="array" ref="I7">IF($H7="","",SUMPRODUCT(--(Checklist!$A$5:$A$500=$H7)*--(Checklist!$E$5:$E$500=I$5)))</f>
        <v>11</v>
      </c>
      <c r="J7" cm="1">
        <f t="array" ref="J7">IF($H7="","",SUMPRODUCT(--(Checklist!$A$5:$A$500=$H7)*--(Checklist!$E$5:$E$500=J$5)))</f>
        <v>0</v>
      </c>
      <c r="K7" cm="1">
        <f t="array" ref="K7">IF($H7="","",SUMPRODUCT(--(Checklist!$A$5:$A$500=$H7)*--(Checklist!$E$5:$E$500=K$5)))</f>
        <v>0</v>
      </c>
      <c r="L7" cm="1">
        <f t="array" ref="L7">IF($H7="","",SUMPRODUCT(--(Checklist!$A$5:$A$500=$H7)*--(Checklist!$E$5:$E$500=L$5)))</f>
        <v>0</v>
      </c>
      <c r="M7">
        <f t="shared" ref="M7:M12" si="1">IF($H7="","",SUM(I7:L7))</f>
        <v>11</v>
      </c>
    </row>
    <row r="8" spans="1:13" x14ac:dyDescent="0.25">
      <c r="A8" s="15" t="str">
        <f>Values!A4</f>
        <v>Low</v>
      </c>
      <c r="B8" cm="1">
        <f t="array" ref="B8">SUMPRODUCT(--(Checklist!$D$5:$G$500=$A8)*--(Checklist!$E$5:$E$500=B$5))</f>
        <v>24</v>
      </c>
      <c r="C8" cm="1">
        <f t="array" ref="C8">SUMPRODUCT(--(Checklist!$D$5:$G$500=$A8)*--(Checklist!$E$5:$E$500=C$5))</f>
        <v>0</v>
      </c>
      <c r="D8" cm="1">
        <f t="array" ref="D8">SUMPRODUCT(--(Checklist!$D$5:$G$500=$A8)*--(Checklist!$E$5:$E$500=D$5))</f>
        <v>0</v>
      </c>
      <c r="E8" cm="1">
        <f t="array" ref="E8">SUMPRODUCT(--(Checklist!$D$5:$G$500=$A8)*--(Checklist!$E$5:$E$500=E$5))</f>
        <v>0</v>
      </c>
      <c r="F8">
        <f t="shared" si="0"/>
        <v>24</v>
      </c>
      <c r="H8" s="15" t="str">
        <f>IF(Values!$C4="","",Values!$C4)</f>
        <v>Networking</v>
      </c>
      <c r="I8" cm="1">
        <f t="array" ref="I8">IF($H8="","",SUMPRODUCT(--(Checklist!$A$5:$A$500=$H8)*--(Checklist!$E$5:$E$500=I$5)))</f>
        <v>9</v>
      </c>
      <c r="J8" cm="1">
        <f t="array" ref="J8">IF($H8="","",SUMPRODUCT(--(Checklist!$A$5:$A$500=$H8)*--(Checklist!$E$5:$E$500=J$5)))</f>
        <v>0</v>
      </c>
      <c r="K8" cm="1">
        <f t="array" ref="K8">IF($H8="","",SUMPRODUCT(--(Checklist!$A$5:$A$500=$H8)*--(Checklist!$E$5:$E$500=K$5)))</f>
        <v>0</v>
      </c>
      <c r="L8" cm="1">
        <f t="array" ref="L8">IF($H8="","",SUMPRODUCT(--(Checklist!$A$5:$A$500=$H8)*--(Checklist!$E$5:$E$500=L$5)))</f>
        <v>0</v>
      </c>
      <c r="M8">
        <f t="shared" si="1"/>
        <v>9</v>
      </c>
    </row>
    <row r="9" spans="1:13" x14ac:dyDescent="0.25">
      <c r="B9">
        <f>SUM(B6:B8)</f>
        <v>106</v>
      </c>
      <c r="C9">
        <f t="shared" ref="C9:E9" si="2">SUM(C6:C8)</f>
        <v>0</v>
      </c>
      <c r="D9">
        <f t="shared" si="2"/>
        <v>0</v>
      </c>
      <c r="E9">
        <f t="shared" si="2"/>
        <v>0</v>
      </c>
      <c r="F9" s="15">
        <f>SUM(F6:F8)</f>
        <v>106</v>
      </c>
      <c r="H9" s="15" t="str">
        <f>IF(Values!$C5="","",Values!$C5)</f>
        <v>Compute</v>
      </c>
      <c r="I9" cm="1">
        <f t="array" ref="I9">IF($H9="","",SUMPRODUCT(--(Checklist!$A$5:$A$500=$H9)*--(Checklist!$E$5:$E$500=I$5)))</f>
        <v>16</v>
      </c>
      <c r="J9" cm="1">
        <f t="array" ref="J9">IF($H9="","",SUMPRODUCT(--(Checklist!$A$5:$A$500=$H9)*--(Checklist!$E$5:$E$500=J$5)))</f>
        <v>0</v>
      </c>
      <c r="K9" cm="1">
        <f t="array" ref="K9">IF($H9="","",SUMPRODUCT(--(Checklist!$A$5:$A$500=$H9)*--(Checklist!$E$5:$E$500=K$5)))</f>
        <v>0</v>
      </c>
      <c r="L9" cm="1">
        <f t="array" ref="L9">IF($H9="","",SUMPRODUCT(--(Checklist!$A$5:$A$500=$H9)*--(Checklist!$E$5:$E$500=L$5)))</f>
        <v>0</v>
      </c>
      <c r="M9">
        <f t="shared" si="1"/>
        <v>16</v>
      </c>
    </row>
    <row r="10" spans="1:13" x14ac:dyDescent="0.25">
      <c r="H10" s="15" t="str">
        <f>IF(Values!$C6="","",Values!$C6)</f>
        <v>Storage</v>
      </c>
      <c r="I10" cm="1">
        <f t="array" ref="I10">IF($H10="","",SUMPRODUCT(--(Checklist!$A$5:$A$500=$H10)*--(Checklist!$E$5:$E$500=I$5)))</f>
        <v>13</v>
      </c>
      <c r="J10" cm="1">
        <f t="array" ref="J10">IF($H10="","",SUMPRODUCT(--(Checklist!$A$5:$A$500=$H10)*--(Checklist!$E$5:$E$500=J$5)))</f>
        <v>0</v>
      </c>
      <c r="K10" cm="1">
        <f t="array" ref="K10">IF($H10="","",SUMPRODUCT(--(Checklist!$A$5:$A$500=$H10)*--(Checklist!$E$5:$E$500=K$5)))</f>
        <v>0</v>
      </c>
      <c r="L10" cm="1">
        <f t="array" ref="L10">IF($H10="","",SUMPRODUCT(--(Checklist!$A$5:$A$500=$H10)*--(Checklist!$E$5:$E$500=L$5)))</f>
        <v>0</v>
      </c>
      <c r="M10">
        <f t="shared" si="1"/>
        <v>13</v>
      </c>
    </row>
    <row r="11" spans="1:13" x14ac:dyDescent="0.25">
      <c r="H11" s="15" t="str">
        <f>IF(Values!$C7="","",Values!$C7)</f>
        <v>Security</v>
      </c>
      <c r="I11" cm="1">
        <f t="array" ref="I11">IF($H11="","",SUMPRODUCT(--(Checklist!$A$5:$A$500=$H11)*--(Checklist!$E$5:$E$500=I$5)))</f>
        <v>12</v>
      </c>
      <c r="J11" cm="1">
        <f t="array" ref="J11">IF($H11="","",SUMPRODUCT(--(Checklist!$A$5:$A$500=$H11)*--(Checklist!$E$5:$E$500=J$5)))</f>
        <v>0</v>
      </c>
      <c r="K11" cm="1">
        <f t="array" ref="K11">IF($H11="","",SUMPRODUCT(--(Checklist!$A$5:$A$500=$H11)*--(Checklist!$E$5:$E$500=K$5)))</f>
        <v>0</v>
      </c>
      <c r="L11" cm="1">
        <f t="array" ref="L11">IF($H11="","",SUMPRODUCT(--(Checklist!$A$5:$A$500=$H11)*--(Checklist!$E$5:$E$500=L$5)))</f>
        <v>0</v>
      </c>
      <c r="M11">
        <f t="shared" si="1"/>
        <v>12</v>
      </c>
    </row>
    <row r="12" spans="1:13" x14ac:dyDescent="0.25">
      <c r="H12" s="15" t="str">
        <f>IF(Values!$C8="","",Values!$C8)</f>
        <v>Monitoring and Management</v>
      </c>
      <c r="I12" cm="1">
        <f t="array" ref="I12">IF($H12="","",SUMPRODUCT(--(Checklist!$A$5:$A$500=$H12)*--(Checklist!$E$5:$E$500=I$5)))</f>
        <v>11</v>
      </c>
      <c r="J12" cm="1">
        <f t="array" ref="J12">IF($H12="","",SUMPRODUCT(--(Checklist!$A$5:$A$500=$H12)*--(Checklist!$E$5:$E$500=J$5)))</f>
        <v>0</v>
      </c>
      <c r="K12" cm="1">
        <f t="array" ref="K12">IF($H12="","",SUMPRODUCT(--(Checklist!$A$5:$A$500=$H12)*--(Checklist!$E$5:$E$500=K$5)))</f>
        <v>0</v>
      </c>
      <c r="L12" cm="1">
        <f t="array" ref="L12">IF($H12="","",SUMPRODUCT(--(Checklist!$A$5:$A$500=$H12)*--(Checklist!$E$5:$E$500=L$5)))</f>
        <v>0</v>
      </c>
      <c r="M12">
        <f t="shared" si="1"/>
        <v>11</v>
      </c>
    </row>
    <row r="13" spans="1:13" x14ac:dyDescent="0.25">
      <c r="H13" s="15" t="str">
        <f>IF(Values!$C9="","",Values!$C9)</f>
        <v>BC/DR</v>
      </c>
      <c r="I13" cm="1">
        <f t="array" ref="I13">IF($H13="","",SUMPRODUCT(--(Checklist!$A$5:$A$500=$H13)*--(Checklist!$E$5:$E$500=I$5)))</f>
        <v>12</v>
      </c>
      <c r="J13" cm="1">
        <f t="array" ref="J13">IF($H13="","",SUMPRODUCT(--(Checklist!$A$5:$A$500=$H13)*--(Checklist!$E$5:$E$500=J$5)))</f>
        <v>0</v>
      </c>
      <c r="K13" cm="1">
        <f t="array" ref="K13">IF($H13="","",SUMPRODUCT(--(Checklist!$A$5:$A$500=$H13)*--(Checklist!$E$5:$E$500=K$5)))</f>
        <v>0</v>
      </c>
      <c r="L13" cm="1">
        <f t="array" ref="L13">IF($H13="","",SUMPRODUCT(--(Checklist!$A$5:$A$500=$H13)*--(Checklist!$E$5:$E$500=L$5)))</f>
        <v>0</v>
      </c>
      <c r="M13">
        <f t="shared" ref="M13" si="3">IF($H13="","",SUM(I13:L13))</f>
        <v>12</v>
      </c>
    </row>
    <row r="14" spans="1:13" x14ac:dyDescent="0.25">
      <c r="I14">
        <f>SUM(I6:I13)</f>
        <v>106</v>
      </c>
      <c r="J14">
        <f t="shared" ref="J14:M14" si="4">SUM(J6:J13)</f>
        <v>0</v>
      </c>
      <c r="K14">
        <f t="shared" si="4"/>
        <v>0</v>
      </c>
      <c r="L14">
        <f t="shared" si="4"/>
        <v>0</v>
      </c>
      <c r="M14" s="15">
        <f t="shared" si="4"/>
        <v>106</v>
      </c>
    </row>
    <row r="20" spans="14:19" x14ac:dyDescent="0.25">
      <c r="O20" s="15" t="str">
        <f>Values!$B$2</f>
        <v>Not verified</v>
      </c>
      <c r="P20" s="15" t="str">
        <f>Values!$B$3</f>
        <v>Open</v>
      </c>
      <c r="Q20" s="15" t="s">
        <v>19</v>
      </c>
      <c r="R20" s="15" t="s">
        <v>17</v>
      </c>
      <c r="S20" s="15" t="s">
        <v>18</v>
      </c>
    </row>
    <row r="21" spans="14:19" x14ac:dyDescent="0.25">
      <c r="N21" s="15" t="str">
        <f>IF(Values!$C2="","",Values!$C2)</f>
        <v>Foundation</v>
      </c>
      <c r="O21" cm="1">
        <f t="array" ref="O21">IF($N21="","",SUMPRODUCT(--(Checklist!$A$5:$A$500=$N21)*--(Checklist!$E$5:$E$500=O$20)))</f>
        <v>22</v>
      </c>
      <c r="P21" cm="1">
        <f t="array" ref="P21">IF($N21="","",SUMPRODUCT(--(Checklist!$A$5:$A$500=$N21)*--(Checklist!$E$5:$E$500=P$20)))</f>
        <v>0</v>
      </c>
      <c r="Q21" cm="1">
        <f t="array" ref="Q21">IF($N21="","",SUMPRODUCT(--(Checklist!$A$5:$A$500=$N21)*(--(Checklist!$E$5:$E$500=Values!$B$4)+--(Checklist!$E$5:$E$500=Values!$B$5))))</f>
        <v>0</v>
      </c>
      <c r="R21">
        <f>IF($N21="","",SUM(O21:Q21))</f>
        <v>22</v>
      </c>
      <c r="S21" s="17">
        <f>IF($N21="","",Q21/R21)</f>
        <v>0</v>
      </c>
    </row>
    <row r="22" spans="14:19" x14ac:dyDescent="0.25">
      <c r="N22" s="15" t="str">
        <f>IF(Values!$C3="","",Values!$C3)</f>
        <v>Identity</v>
      </c>
      <c r="O22" cm="1">
        <f t="array" ref="O22">IF($N22="","",SUMPRODUCT(--(Checklist!$A$5:$A$500=$N22)*--(Checklist!$E$5:$E$500=O$20)))</f>
        <v>11</v>
      </c>
      <c r="P22" cm="1">
        <f t="array" ref="P22">IF($N22="","",SUMPRODUCT(--(Checklist!$A$5:$A$500=$N22)*--(Checklist!$E$5:$E$500=P$20)))</f>
        <v>0</v>
      </c>
      <c r="Q22" cm="1">
        <f t="array" ref="Q22">IF($N22="","",SUMPRODUCT(--(Checklist!$A$5:$A$500=$N22)*(--(Checklist!$E$5:$E$500=Values!$B$4)+--(Checklist!$E$5:$E$500=Values!$B$5))))</f>
        <v>0</v>
      </c>
      <c r="R22">
        <f t="shared" ref="R22:R27" si="5">IF($N22="","",SUM(O22:Q22))</f>
        <v>11</v>
      </c>
      <c r="S22" s="17">
        <f t="shared" ref="S22:S27" si="6">IF($N22="","",Q22/R22)</f>
        <v>0</v>
      </c>
    </row>
    <row r="23" spans="14:19" x14ac:dyDescent="0.25">
      <c r="N23" s="15" t="str">
        <f>IF(Values!$C4="","",Values!$C4)</f>
        <v>Networking</v>
      </c>
      <c r="O23" cm="1">
        <f t="array" ref="O23">IF($N23="","",SUMPRODUCT(--(Checklist!$A$5:$A$500=$N23)*--(Checklist!$E$5:$E$500=O$20)))</f>
        <v>9</v>
      </c>
      <c r="P23" cm="1">
        <f t="array" ref="P23">IF($N23="","",SUMPRODUCT(--(Checklist!$A$5:$A$500=$N23)*--(Checklist!$E$5:$E$500=P$20)))</f>
        <v>0</v>
      </c>
      <c r="Q23" cm="1">
        <f t="array" ref="Q23">IF($N23="","",SUMPRODUCT(--(Checklist!$A$5:$A$500=$N23)*(--(Checklist!$E$5:$E$500=Values!$B$4)+--(Checklist!$E$5:$E$500=Values!$B$5))))</f>
        <v>0</v>
      </c>
      <c r="R23">
        <f t="shared" si="5"/>
        <v>9</v>
      </c>
      <c r="S23" s="17">
        <f t="shared" si="6"/>
        <v>0</v>
      </c>
    </row>
    <row r="24" spans="14:19" x14ac:dyDescent="0.25">
      <c r="N24" s="15" t="str">
        <f>IF(Values!$C5="","",Values!$C5)</f>
        <v>Compute</v>
      </c>
      <c r="O24" cm="1">
        <f t="array" ref="O24">IF($N24="","",SUMPRODUCT(--(Checklist!$A$5:$A$500=$N24)*--(Checklist!$E$5:$E$500=O$20)))</f>
        <v>16</v>
      </c>
      <c r="P24" cm="1">
        <f t="array" ref="P24">IF($N24="","",SUMPRODUCT(--(Checklist!$A$5:$A$500=$N24)*--(Checklist!$E$5:$E$500=P$20)))</f>
        <v>0</v>
      </c>
      <c r="Q24" cm="1">
        <f t="array" ref="Q24">IF($N24="","",SUMPRODUCT(--(Checklist!$A$5:$A$500=$N24)*(--(Checklist!$E$5:$E$500=Values!$B$4)+--(Checklist!$E$5:$E$500=Values!$B$5))))</f>
        <v>0</v>
      </c>
      <c r="R24">
        <f t="shared" si="5"/>
        <v>16</v>
      </c>
      <c r="S24" s="17">
        <f t="shared" si="6"/>
        <v>0</v>
      </c>
    </row>
    <row r="25" spans="14:19" x14ac:dyDescent="0.25">
      <c r="N25" s="15" t="str">
        <f>IF(Values!$C6="","",Values!$C6)</f>
        <v>Storage</v>
      </c>
      <c r="O25" cm="1">
        <f t="array" ref="O25">IF($N25="","",SUMPRODUCT(--(Checklist!$A$5:$A$500=$N25)*--(Checklist!$E$5:$E$500=O$20)))</f>
        <v>13</v>
      </c>
      <c r="P25" cm="1">
        <f t="array" ref="P25">IF($N25="","",SUMPRODUCT(--(Checklist!$A$5:$A$500=$N25)*--(Checklist!$E$5:$E$500=P$20)))</f>
        <v>0</v>
      </c>
      <c r="Q25" cm="1">
        <f t="array" ref="Q25">IF($N25="","",SUMPRODUCT(--(Checklist!$A$5:$A$500=$N25)*(--(Checklist!$E$5:$E$500=Values!$B$4)+--(Checklist!$E$5:$E$500=Values!$B$5))))</f>
        <v>0</v>
      </c>
      <c r="R25">
        <f t="shared" si="5"/>
        <v>13</v>
      </c>
      <c r="S25" s="17">
        <f t="shared" si="6"/>
        <v>0</v>
      </c>
    </row>
    <row r="26" spans="14:19" x14ac:dyDescent="0.25">
      <c r="N26" s="15" t="str">
        <f>IF(Values!$C7="","",Values!$C7)</f>
        <v>Security</v>
      </c>
      <c r="O26" cm="1">
        <f t="array" ref="O26">IF($N26="","",SUMPRODUCT(--(Checklist!$A$5:$A$500=$N26)*--(Checklist!$E$5:$E$500=O$20)))</f>
        <v>12</v>
      </c>
      <c r="P26" cm="1">
        <f t="array" ref="P26">IF($N26="","",SUMPRODUCT(--(Checklist!$A$5:$A$500=$N26)*--(Checklist!$E$5:$E$500=P$20)))</f>
        <v>0</v>
      </c>
      <c r="Q26" cm="1">
        <f t="array" ref="Q26">IF($N26="","",SUMPRODUCT(--(Checklist!$A$5:$A$500=$N26)*(--(Checklist!$E$5:$E$500=Values!$B$4)+--(Checklist!$E$5:$E$500=Values!$B$5))))</f>
        <v>0</v>
      </c>
      <c r="R26">
        <f t="shared" si="5"/>
        <v>12</v>
      </c>
      <c r="S26" s="17">
        <f t="shared" si="6"/>
        <v>0</v>
      </c>
    </row>
    <row r="27" spans="14:19" x14ac:dyDescent="0.25">
      <c r="N27" s="15" t="str">
        <f>IF(Values!$C8="","",Values!$C8)</f>
        <v>Monitoring and Management</v>
      </c>
      <c r="O27" cm="1">
        <f t="array" ref="O27">IF($N27="","",SUMPRODUCT(--(Checklist!$A$5:$A$500=$N27)*--(Checklist!$E$5:$E$500=O$20)))</f>
        <v>11</v>
      </c>
      <c r="P27" cm="1">
        <f t="array" ref="P27">IF($N27="","",SUMPRODUCT(--(Checklist!$A$5:$A$500=$N27)*--(Checklist!$E$5:$E$500=P$20)))</f>
        <v>0</v>
      </c>
      <c r="Q27" cm="1">
        <f t="array" ref="Q27">IF($N27="","",SUMPRODUCT(--(Checklist!$A$5:$A$500=$N27)*(--(Checklist!$E$5:$E$500=Values!$B$4)+--(Checklist!$E$5:$E$500=Values!$B$5))))</f>
        <v>0</v>
      </c>
      <c r="R27">
        <f t="shared" si="5"/>
        <v>11</v>
      </c>
      <c r="S27" s="17">
        <f t="shared" si="6"/>
        <v>0</v>
      </c>
    </row>
    <row r="28" spans="14:19" x14ac:dyDescent="0.25">
      <c r="N28" s="15" t="str">
        <f>IF(Values!$C9="","",Values!$C9)</f>
        <v>BC/DR</v>
      </c>
      <c r="O28" cm="1">
        <f t="array" ref="O28">IF($N28="","",SUMPRODUCT(--(Checklist!$A$5:$A$500=$N28)*--(Checklist!$E$5:$E$500=O$20)))</f>
        <v>12</v>
      </c>
      <c r="P28" cm="1">
        <f t="array" ref="P28">IF($N28="","",SUMPRODUCT(--(Checklist!$A$5:$A$500=$N28)*--(Checklist!$E$5:$E$500=P$20)))</f>
        <v>0</v>
      </c>
      <c r="Q28" cm="1">
        <f t="array" ref="Q28">IF($N28="","",SUMPRODUCT(--(Checklist!$A$5:$A$500=$N28)*(--(Checklist!$E$5:$E$500=Values!$B$4)+--(Checklist!$E$5:$E$500=Values!$B$5))))</f>
        <v>0</v>
      </c>
      <c r="R28">
        <f t="shared" ref="R28" si="7">IF($N28="","",SUM(O28:Q28))</f>
        <v>12</v>
      </c>
      <c r="S28" s="17">
        <f t="shared" ref="S28" si="8">IF($N28="","",Q28/R28)</f>
        <v>0</v>
      </c>
    </row>
    <row r="29" spans="14:19" x14ac:dyDescent="0.25">
      <c r="O29">
        <f>SUM(O21:O28)</f>
        <v>106</v>
      </c>
      <c r="P29">
        <f t="shared" ref="P29:R29" si="9">SUM(P21:P28)</f>
        <v>0</v>
      </c>
      <c r="Q29">
        <f t="shared" si="9"/>
        <v>0</v>
      </c>
      <c r="R29" s="15">
        <f t="shared" si="9"/>
        <v>106</v>
      </c>
      <c r="S29" s="18">
        <f t="shared" ref="S29" si="10">Q29/R29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H221"/>
  <sheetViews>
    <sheetView showGridLines="0" tabSelected="1" zoomScale="80" zoomScaleNormal="80" workbookViewId="0">
      <selection activeCell="A2" sqref="A2"/>
    </sheetView>
  </sheetViews>
  <sheetFormatPr defaultColWidth="9" defaultRowHeight="16.5" x14ac:dyDescent="0.25"/>
  <cols>
    <col min="1" max="1" width="19" style="1" customWidth="1"/>
    <col min="2" max="2" width="22.28515625" style="1" customWidth="1"/>
    <col min="3" max="3" width="148.85546875" style="2" customWidth="1"/>
    <col min="4" max="4" width="16.140625" style="2" customWidth="1"/>
    <col min="5" max="5" width="15.140625" style="2" customWidth="1"/>
    <col min="6" max="6" width="49.5703125" style="2" customWidth="1"/>
    <col min="7" max="7" width="18.42578125" style="2" customWidth="1"/>
    <col min="8" max="8" width="14.5703125" style="2" customWidth="1"/>
    <col min="9" max="16384" width="9" style="2"/>
  </cols>
  <sheetData>
    <row r="1" spans="1:8" ht="121.9" customHeight="1" x14ac:dyDescent="0.3">
      <c r="A1" s="23"/>
      <c r="B1" s="23"/>
      <c r="C1" s="14" t="s">
        <v>13</v>
      </c>
    </row>
    <row r="2" spans="1:8" s="6" customFormat="1" ht="24.6" customHeight="1" x14ac:dyDescent="0.25">
      <c r="A2" s="22" t="s">
        <v>150</v>
      </c>
      <c r="B2" s="5"/>
      <c r="C2" s="5"/>
      <c r="D2" s="5"/>
      <c r="E2" s="5"/>
      <c r="F2" s="5"/>
      <c r="G2" s="5"/>
    </row>
    <row r="3" spans="1:8" x14ac:dyDescent="0.25">
      <c r="A3" s="4"/>
      <c r="B3" s="4"/>
      <c r="C3" s="8"/>
      <c r="D3" s="4"/>
      <c r="E3" s="4"/>
      <c r="F3" s="4"/>
      <c r="G3" s="4"/>
    </row>
    <row r="4" spans="1:8" s="7" customFormat="1" ht="25.5" x14ac:dyDescent="0.25">
      <c r="A4" s="7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14</v>
      </c>
      <c r="H4" s="7" t="s">
        <v>20</v>
      </c>
    </row>
    <row r="5" spans="1:8" ht="16.5" customHeight="1" x14ac:dyDescent="0.25">
      <c r="A5" s="2" t="s">
        <v>133</v>
      </c>
      <c r="B5" s="2" t="s">
        <v>134</v>
      </c>
      <c r="C5" s="2" t="s">
        <v>28</v>
      </c>
      <c r="D5" s="2" t="s">
        <v>6</v>
      </c>
      <c r="E5" s="2" t="s">
        <v>7</v>
      </c>
      <c r="G5" s="20" t="s">
        <v>14</v>
      </c>
      <c r="H5" s="13"/>
    </row>
    <row r="6" spans="1:8" ht="16.5" customHeight="1" x14ac:dyDescent="0.25">
      <c r="A6" s="2" t="s">
        <v>133</v>
      </c>
      <c r="B6" s="2" t="s">
        <v>134</v>
      </c>
      <c r="C6" s="2" t="s">
        <v>29</v>
      </c>
      <c r="D6" s="2" t="s">
        <v>9</v>
      </c>
      <c r="E6" s="2" t="s">
        <v>7</v>
      </c>
      <c r="G6" s="20" t="s">
        <v>14</v>
      </c>
      <c r="H6" s="13"/>
    </row>
    <row r="7" spans="1:8" ht="16.5" customHeight="1" x14ac:dyDescent="0.25">
      <c r="A7" s="2" t="s">
        <v>133</v>
      </c>
      <c r="B7" s="2" t="s">
        <v>134</v>
      </c>
      <c r="C7" s="2" t="s">
        <v>30</v>
      </c>
      <c r="D7" s="2" t="s">
        <v>6</v>
      </c>
      <c r="E7" s="2" t="s">
        <v>7</v>
      </c>
      <c r="G7" s="20" t="s">
        <v>14</v>
      </c>
      <c r="H7" s="13"/>
    </row>
    <row r="8" spans="1:8" ht="16.5" customHeight="1" x14ac:dyDescent="0.25">
      <c r="A8" s="2" t="s">
        <v>133</v>
      </c>
      <c r="B8" s="2" t="s">
        <v>134</v>
      </c>
      <c r="C8" s="2" t="s">
        <v>31</v>
      </c>
      <c r="D8" s="2" t="s">
        <v>9</v>
      </c>
      <c r="E8" s="2" t="s">
        <v>7</v>
      </c>
      <c r="F8" s="1"/>
      <c r="G8" s="20" t="s">
        <v>14</v>
      </c>
      <c r="H8" s="13"/>
    </row>
    <row r="9" spans="1:8" ht="16.5" customHeight="1" x14ac:dyDescent="0.25">
      <c r="A9" s="2" t="s">
        <v>133</v>
      </c>
      <c r="B9" s="2" t="s">
        <v>134</v>
      </c>
      <c r="C9" s="2" t="s">
        <v>32</v>
      </c>
      <c r="D9" s="2" t="s">
        <v>8</v>
      </c>
      <c r="E9" s="2" t="s">
        <v>7</v>
      </c>
      <c r="G9" s="20" t="s">
        <v>14</v>
      </c>
      <c r="H9" s="13"/>
    </row>
    <row r="10" spans="1:8" ht="16.5" customHeight="1" x14ac:dyDescent="0.25">
      <c r="A10" s="2" t="s">
        <v>133</v>
      </c>
      <c r="B10" s="2" t="s">
        <v>134</v>
      </c>
      <c r="C10" s="2" t="s">
        <v>33</v>
      </c>
      <c r="D10" s="2" t="s">
        <v>9</v>
      </c>
      <c r="E10" s="2" t="s">
        <v>7</v>
      </c>
      <c r="F10" s="1"/>
      <c r="G10" s="20" t="s">
        <v>14</v>
      </c>
      <c r="H10" s="13"/>
    </row>
    <row r="11" spans="1:8" ht="16.5" customHeight="1" x14ac:dyDescent="0.25">
      <c r="A11" s="2" t="s">
        <v>133</v>
      </c>
      <c r="B11" s="2" t="s">
        <v>135</v>
      </c>
      <c r="C11" s="2" t="s">
        <v>34</v>
      </c>
      <c r="D11" s="2" t="s">
        <v>9</v>
      </c>
      <c r="E11" s="2" t="s">
        <v>7</v>
      </c>
      <c r="G11" s="20" t="s">
        <v>14</v>
      </c>
      <c r="H11" s="13"/>
    </row>
    <row r="12" spans="1:8" ht="16.5" customHeight="1" x14ac:dyDescent="0.25">
      <c r="A12" s="2" t="s">
        <v>133</v>
      </c>
      <c r="B12" s="2" t="s">
        <v>135</v>
      </c>
      <c r="C12" s="2" t="s">
        <v>35</v>
      </c>
      <c r="D12" s="2" t="s">
        <v>9</v>
      </c>
      <c r="E12" s="2" t="s">
        <v>7</v>
      </c>
      <c r="G12" s="20" t="s">
        <v>14</v>
      </c>
      <c r="H12" s="13"/>
    </row>
    <row r="13" spans="1:8" ht="16.5" customHeight="1" x14ac:dyDescent="0.25">
      <c r="A13" s="2" t="s">
        <v>133</v>
      </c>
      <c r="B13" s="2" t="s">
        <v>135</v>
      </c>
      <c r="C13" s="1" t="s">
        <v>36</v>
      </c>
      <c r="D13" s="2" t="s">
        <v>8</v>
      </c>
      <c r="E13" s="2" t="s">
        <v>7</v>
      </c>
      <c r="G13" s="20" t="s">
        <v>14</v>
      </c>
      <c r="H13" s="13"/>
    </row>
    <row r="14" spans="1:8" ht="16.5" customHeight="1" x14ac:dyDescent="0.25">
      <c r="A14" s="2" t="s">
        <v>133</v>
      </c>
      <c r="B14" s="2" t="s">
        <v>135</v>
      </c>
      <c r="C14" s="2" t="s">
        <v>37</v>
      </c>
      <c r="D14" s="2" t="s">
        <v>9</v>
      </c>
      <c r="E14" s="2" t="s">
        <v>7</v>
      </c>
      <c r="G14" s="20" t="s">
        <v>14</v>
      </c>
      <c r="H14" s="13"/>
    </row>
    <row r="15" spans="1:8" ht="16.5" customHeight="1" x14ac:dyDescent="0.25">
      <c r="A15" s="2" t="s">
        <v>133</v>
      </c>
      <c r="B15" s="2" t="s">
        <v>135</v>
      </c>
      <c r="C15" s="2" t="s">
        <v>38</v>
      </c>
      <c r="D15" s="2" t="s">
        <v>8</v>
      </c>
      <c r="E15" s="2" t="s">
        <v>7</v>
      </c>
      <c r="G15" s="20" t="s">
        <v>14</v>
      </c>
      <c r="H15" s="13"/>
    </row>
    <row r="16" spans="1:8" ht="16.5" customHeight="1" x14ac:dyDescent="0.25">
      <c r="A16" s="2" t="s">
        <v>133</v>
      </c>
      <c r="B16" s="2" t="s">
        <v>135</v>
      </c>
      <c r="C16" s="2" t="s">
        <v>39</v>
      </c>
      <c r="D16" s="2" t="s">
        <v>6</v>
      </c>
      <c r="E16" s="2" t="s">
        <v>7</v>
      </c>
      <c r="G16" s="20" t="s">
        <v>14</v>
      </c>
      <c r="H16" s="13"/>
    </row>
    <row r="17" spans="1:8" ht="16.5" customHeight="1" x14ac:dyDescent="0.25">
      <c r="A17" s="2" t="s">
        <v>133</v>
      </c>
      <c r="B17" s="2" t="s">
        <v>135</v>
      </c>
      <c r="C17" s="2" t="s">
        <v>40</v>
      </c>
      <c r="D17" s="2" t="s">
        <v>8</v>
      </c>
      <c r="E17" s="2" t="s">
        <v>7</v>
      </c>
      <c r="G17" s="20" t="s">
        <v>14</v>
      </c>
      <c r="H17" s="13"/>
    </row>
    <row r="18" spans="1:8" ht="16.5" customHeight="1" x14ac:dyDescent="0.25">
      <c r="A18" s="2" t="s">
        <v>133</v>
      </c>
      <c r="B18" s="2" t="s">
        <v>135</v>
      </c>
      <c r="C18" s="2" t="s">
        <v>41</v>
      </c>
      <c r="D18" s="2" t="s">
        <v>8</v>
      </c>
      <c r="E18" s="2" t="s">
        <v>7</v>
      </c>
      <c r="G18" s="20" t="s">
        <v>14</v>
      </c>
      <c r="H18" s="13"/>
    </row>
    <row r="19" spans="1:8" ht="16.5" customHeight="1" x14ac:dyDescent="0.25">
      <c r="A19" s="2" t="s">
        <v>133</v>
      </c>
      <c r="B19" s="2" t="s">
        <v>136</v>
      </c>
      <c r="C19" s="2" t="s">
        <v>42</v>
      </c>
      <c r="D19" s="2" t="s">
        <v>6</v>
      </c>
      <c r="E19" s="2" t="s">
        <v>7</v>
      </c>
      <c r="G19" s="20" t="s">
        <v>14</v>
      </c>
      <c r="H19" s="13"/>
    </row>
    <row r="20" spans="1:8" ht="16.5" customHeight="1" x14ac:dyDescent="0.25">
      <c r="A20" s="2" t="s">
        <v>133</v>
      </c>
      <c r="B20" s="2" t="s">
        <v>136</v>
      </c>
      <c r="C20" s="2" t="s">
        <v>43</v>
      </c>
      <c r="D20" s="2" t="s">
        <v>9</v>
      </c>
      <c r="E20" s="2" t="s">
        <v>7</v>
      </c>
      <c r="F20" s="1"/>
      <c r="G20" s="20" t="s">
        <v>14</v>
      </c>
      <c r="H20" s="13"/>
    </row>
    <row r="21" spans="1:8" ht="16.5" customHeight="1" x14ac:dyDescent="0.25">
      <c r="A21" s="2" t="s">
        <v>133</v>
      </c>
      <c r="B21" s="2" t="s">
        <v>136</v>
      </c>
      <c r="C21" s="2" t="s">
        <v>44</v>
      </c>
      <c r="D21" s="2" t="s">
        <v>9</v>
      </c>
      <c r="E21" s="2" t="s">
        <v>7</v>
      </c>
      <c r="G21" s="20" t="s">
        <v>14</v>
      </c>
      <c r="H21" s="13"/>
    </row>
    <row r="22" spans="1:8" ht="16.5" customHeight="1" x14ac:dyDescent="0.25">
      <c r="A22" s="2" t="s">
        <v>133</v>
      </c>
      <c r="B22" s="2" t="s">
        <v>136</v>
      </c>
      <c r="C22" s="2" t="s">
        <v>45</v>
      </c>
      <c r="D22" s="2" t="s">
        <v>6</v>
      </c>
      <c r="E22" s="2" t="s">
        <v>7</v>
      </c>
      <c r="G22" s="20" t="s">
        <v>14</v>
      </c>
      <c r="H22" s="13"/>
    </row>
    <row r="23" spans="1:8" ht="16.5" customHeight="1" x14ac:dyDescent="0.25">
      <c r="A23" s="2" t="s">
        <v>133</v>
      </c>
      <c r="B23" s="2" t="s">
        <v>136</v>
      </c>
      <c r="C23" s="2" t="s">
        <v>46</v>
      </c>
      <c r="D23" s="2" t="s">
        <v>9</v>
      </c>
      <c r="E23" s="2" t="s">
        <v>7</v>
      </c>
      <c r="G23" s="20" t="s">
        <v>14</v>
      </c>
      <c r="H23" s="13"/>
    </row>
    <row r="24" spans="1:8" ht="16.5" customHeight="1" x14ac:dyDescent="0.25">
      <c r="A24" s="2" t="s">
        <v>133</v>
      </c>
      <c r="B24" s="2" t="s">
        <v>136</v>
      </c>
      <c r="C24" s="2" t="s">
        <v>47</v>
      </c>
      <c r="D24" s="2" t="s">
        <v>6</v>
      </c>
      <c r="E24" s="2" t="s">
        <v>7</v>
      </c>
      <c r="G24" s="20" t="s">
        <v>14</v>
      </c>
      <c r="H24" s="13"/>
    </row>
    <row r="25" spans="1:8" ht="16.5" customHeight="1" x14ac:dyDescent="0.25">
      <c r="A25" s="2" t="s">
        <v>133</v>
      </c>
      <c r="B25" s="2" t="s">
        <v>136</v>
      </c>
      <c r="C25" s="2" t="s">
        <v>48</v>
      </c>
      <c r="D25" s="2" t="s">
        <v>9</v>
      </c>
      <c r="E25" s="2" t="s">
        <v>7</v>
      </c>
      <c r="G25" s="20" t="s">
        <v>14</v>
      </c>
      <c r="H25" s="13"/>
    </row>
    <row r="26" spans="1:8" ht="16.5" customHeight="1" x14ac:dyDescent="0.25">
      <c r="A26" s="2" t="s">
        <v>133</v>
      </c>
      <c r="B26" s="2" t="s">
        <v>136</v>
      </c>
      <c r="C26" s="2" t="s">
        <v>49</v>
      </c>
      <c r="D26" s="2" t="s">
        <v>8</v>
      </c>
      <c r="E26" s="2" t="s">
        <v>7</v>
      </c>
      <c r="G26" s="20" t="s">
        <v>14</v>
      </c>
      <c r="H26" s="13"/>
    </row>
    <row r="27" spans="1:8" ht="16.5" customHeight="1" x14ac:dyDescent="0.25">
      <c r="A27" s="2" t="s">
        <v>23</v>
      </c>
      <c r="B27" s="2" t="s">
        <v>137</v>
      </c>
      <c r="C27" s="2" t="s">
        <v>50</v>
      </c>
      <c r="D27" s="2" t="s">
        <v>6</v>
      </c>
      <c r="E27" s="2" t="s">
        <v>7</v>
      </c>
      <c r="G27" s="20" t="s">
        <v>14</v>
      </c>
      <c r="H27" s="13"/>
    </row>
    <row r="28" spans="1:8" ht="16.5" customHeight="1" x14ac:dyDescent="0.25">
      <c r="A28" s="2" t="s">
        <v>23</v>
      </c>
      <c r="B28" s="2" t="s">
        <v>137</v>
      </c>
      <c r="C28" s="2" t="s">
        <v>51</v>
      </c>
      <c r="D28" s="2" t="s">
        <v>6</v>
      </c>
      <c r="E28" s="2" t="s">
        <v>7</v>
      </c>
      <c r="G28" s="20" t="s">
        <v>14</v>
      </c>
      <c r="H28" s="13"/>
    </row>
    <row r="29" spans="1:8" ht="16.5" customHeight="1" x14ac:dyDescent="0.25">
      <c r="A29" s="2" t="s">
        <v>23</v>
      </c>
      <c r="B29" s="2" t="s">
        <v>137</v>
      </c>
      <c r="C29" s="2" t="s">
        <v>52</v>
      </c>
      <c r="D29" s="2" t="s">
        <v>9</v>
      </c>
      <c r="E29" s="2" t="s">
        <v>7</v>
      </c>
      <c r="G29" s="20" t="s">
        <v>14</v>
      </c>
      <c r="H29" s="13"/>
    </row>
    <row r="30" spans="1:8" ht="16.5" customHeight="1" x14ac:dyDescent="0.25">
      <c r="A30" s="2" t="s">
        <v>23</v>
      </c>
      <c r="B30" s="2" t="s">
        <v>137</v>
      </c>
      <c r="C30" s="2" t="s">
        <v>53</v>
      </c>
      <c r="D30" s="2" t="s">
        <v>9</v>
      </c>
      <c r="E30" s="2" t="s">
        <v>7</v>
      </c>
      <c r="F30" s="1"/>
      <c r="G30" s="20" t="s">
        <v>14</v>
      </c>
      <c r="H30" s="13"/>
    </row>
    <row r="31" spans="1:8" ht="16.5" customHeight="1" x14ac:dyDescent="0.25">
      <c r="A31" s="2" t="s">
        <v>23</v>
      </c>
      <c r="B31" s="2" t="s">
        <v>137</v>
      </c>
      <c r="C31" s="2" t="s">
        <v>54</v>
      </c>
      <c r="D31" s="2" t="s">
        <v>8</v>
      </c>
      <c r="E31" s="2" t="s">
        <v>7</v>
      </c>
      <c r="G31" s="20" t="s">
        <v>14</v>
      </c>
      <c r="H31" s="13"/>
    </row>
    <row r="32" spans="1:8" ht="16.5" customHeight="1" x14ac:dyDescent="0.25">
      <c r="A32" s="2" t="s">
        <v>23</v>
      </c>
      <c r="B32" s="2" t="s">
        <v>138</v>
      </c>
      <c r="C32" s="2" t="s">
        <v>55</v>
      </c>
      <c r="D32" s="2" t="s">
        <v>9</v>
      </c>
      <c r="E32" s="2" t="s">
        <v>7</v>
      </c>
      <c r="G32" s="20" t="s">
        <v>14</v>
      </c>
      <c r="H32" s="13"/>
    </row>
    <row r="33" spans="1:8" ht="16.5" customHeight="1" x14ac:dyDescent="0.25">
      <c r="A33" s="2" t="s">
        <v>23</v>
      </c>
      <c r="B33" s="2" t="s">
        <v>138</v>
      </c>
      <c r="C33" s="2" t="s">
        <v>56</v>
      </c>
      <c r="D33" s="2" t="s">
        <v>8</v>
      </c>
      <c r="E33" s="2" t="s">
        <v>7</v>
      </c>
      <c r="G33" s="20" t="s">
        <v>14</v>
      </c>
      <c r="H33" s="13"/>
    </row>
    <row r="34" spans="1:8" ht="16.5" customHeight="1" x14ac:dyDescent="0.25">
      <c r="A34" s="2" t="s">
        <v>23</v>
      </c>
      <c r="B34" s="2" t="s">
        <v>138</v>
      </c>
      <c r="C34" s="2" t="s">
        <v>57</v>
      </c>
      <c r="D34" s="2" t="s">
        <v>9</v>
      </c>
      <c r="E34" s="2" t="s">
        <v>7</v>
      </c>
      <c r="F34" s="1"/>
      <c r="G34" s="20" t="s">
        <v>14</v>
      </c>
      <c r="H34" s="13"/>
    </row>
    <row r="35" spans="1:8" ht="16.5" customHeight="1" x14ac:dyDescent="0.25">
      <c r="A35" s="2" t="s">
        <v>23</v>
      </c>
      <c r="B35" s="2" t="s">
        <v>138</v>
      </c>
      <c r="C35" s="2" t="s">
        <v>58</v>
      </c>
      <c r="D35" s="2" t="s">
        <v>9</v>
      </c>
      <c r="E35" s="2" t="s">
        <v>7</v>
      </c>
      <c r="G35" s="20" t="s">
        <v>14</v>
      </c>
      <c r="H35" s="13"/>
    </row>
    <row r="36" spans="1:8" ht="16.5" customHeight="1" x14ac:dyDescent="0.25">
      <c r="A36" s="2" t="s">
        <v>23</v>
      </c>
      <c r="B36" s="2" t="s">
        <v>138</v>
      </c>
      <c r="C36" s="2" t="s">
        <v>59</v>
      </c>
      <c r="D36" s="2" t="s">
        <v>9</v>
      </c>
      <c r="E36" s="2" t="s">
        <v>7</v>
      </c>
      <c r="G36" s="20" t="s">
        <v>14</v>
      </c>
      <c r="H36" s="13"/>
    </row>
    <row r="37" spans="1:8" ht="16.5" customHeight="1" x14ac:dyDescent="0.25">
      <c r="A37" s="2" t="s">
        <v>23</v>
      </c>
      <c r="B37" s="2" t="s">
        <v>138</v>
      </c>
      <c r="C37" s="2" t="s">
        <v>60</v>
      </c>
      <c r="D37" s="2" t="s">
        <v>8</v>
      </c>
      <c r="E37" s="2" t="s">
        <v>7</v>
      </c>
      <c r="G37" s="20" t="s">
        <v>14</v>
      </c>
      <c r="H37" s="13"/>
    </row>
    <row r="38" spans="1:8" ht="16.5" customHeight="1" x14ac:dyDescent="0.25">
      <c r="A38" s="2" t="s">
        <v>24</v>
      </c>
      <c r="B38" s="2" t="s">
        <v>24</v>
      </c>
      <c r="C38" s="2" t="s">
        <v>61</v>
      </c>
      <c r="D38" s="2" t="s">
        <v>9</v>
      </c>
      <c r="E38" s="2" t="s">
        <v>7</v>
      </c>
      <c r="G38" s="20" t="s">
        <v>14</v>
      </c>
      <c r="H38" s="13"/>
    </row>
    <row r="39" spans="1:8" ht="16.5" customHeight="1" x14ac:dyDescent="0.25">
      <c r="A39" s="2" t="s">
        <v>24</v>
      </c>
      <c r="B39" s="2" t="s">
        <v>24</v>
      </c>
      <c r="C39" s="2" t="s">
        <v>62</v>
      </c>
      <c r="D39" s="2" t="s">
        <v>9</v>
      </c>
      <c r="E39" s="2" t="s">
        <v>7</v>
      </c>
      <c r="G39" s="20" t="s">
        <v>14</v>
      </c>
      <c r="H39" s="13"/>
    </row>
    <row r="40" spans="1:8" ht="16.5" customHeight="1" x14ac:dyDescent="0.25">
      <c r="A40" s="2" t="s">
        <v>24</v>
      </c>
      <c r="B40" s="2" t="s">
        <v>24</v>
      </c>
      <c r="C40" s="2" t="s">
        <v>63</v>
      </c>
      <c r="D40" s="2" t="s">
        <v>6</v>
      </c>
      <c r="E40" s="2" t="s">
        <v>7</v>
      </c>
      <c r="G40" s="20" t="s">
        <v>14</v>
      </c>
      <c r="H40" s="13"/>
    </row>
    <row r="41" spans="1:8" ht="16.5" customHeight="1" x14ac:dyDescent="0.25">
      <c r="A41" s="2" t="s">
        <v>24</v>
      </c>
      <c r="B41" s="2" t="s">
        <v>24</v>
      </c>
      <c r="C41" s="1" t="s">
        <v>64</v>
      </c>
      <c r="D41" s="2" t="s">
        <v>9</v>
      </c>
      <c r="E41" s="2" t="s">
        <v>7</v>
      </c>
      <c r="G41" s="20" t="s">
        <v>14</v>
      </c>
      <c r="H41" s="13"/>
    </row>
    <row r="42" spans="1:8" ht="16.5" customHeight="1" x14ac:dyDescent="0.25">
      <c r="A42" s="2" t="s">
        <v>24</v>
      </c>
      <c r="B42" s="2" t="s">
        <v>24</v>
      </c>
      <c r="C42" s="2" t="s">
        <v>65</v>
      </c>
      <c r="D42" s="2" t="s">
        <v>9</v>
      </c>
      <c r="E42" s="2" t="s">
        <v>7</v>
      </c>
      <c r="G42" s="20" t="s">
        <v>14</v>
      </c>
      <c r="H42" s="13"/>
    </row>
    <row r="43" spans="1:8" ht="16.5" customHeight="1" x14ac:dyDescent="0.25">
      <c r="A43" s="2" t="s">
        <v>24</v>
      </c>
      <c r="B43" s="2" t="s">
        <v>24</v>
      </c>
      <c r="C43" s="2" t="s">
        <v>66</v>
      </c>
      <c r="D43" s="2" t="s">
        <v>9</v>
      </c>
      <c r="E43" s="2" t="s">
        <v>7</v>
      </c>
      <c r="G43" s="20" t="s">
        <v>14</v>
      </c>
      <c r="H43" s="13"/>
    </row>
    <row r="44" spans="1:8" ht="16.5" customHeight="1" x14ac:dyDescent="0.25">
      <c r="A44" s="2" t="s">
        <v>24</v>
      </c>
      <c r="B44" s="2" t="s">
        <v>24</v>
      </c>
      <c r="C44" s="2" t="s">
        <v>67</v>
      </c>
      <c r="D44" s="2" t="s">
        <v>8</v>
      </c>
      <c r="E44" s="2" t="s">
        <v>7</v>
      </c>
      <c r="G44" s="20" t="s">
        <v>14</v>
      </c>
      <c r="H44" s="13"/>
    </row>
    <row r="45" spans="1:8" ht="16.5" customHeight="1" x14ac:dyDescent="0.25">
      <c r="A45" s="2" t="s">
        <v>24</v>
      </c>
      <c r="B45" s="2" t="s">
        <v>24</v>
      </c>
      <c r="C45" s="2" t="s">
        <v>68</v>
      </c>
      <c r="D45" s="2" t="s">
        <v>6</v>
      </c>
      <c r="E45" s="2" t="s">
        <v>7</v>
      </c>
      <c r="G45" s="20" t="s">
        <v>14</v>
      </c>
      <c r="H45" s="13"/>
    </row>
    <row r="46" spans="1:8" ht="16.5" customHeight="1" x14ac:dyDescent="0.25">
      <c r="A46" s="2" t="s">
        <v>24</v>
      </c>
      <c r="B46" s="2" t="s">
        <v>24</v>
      </c>
      <c r="C46" s="2" t="s">
        <v>69</v>
      </c>
      <c r="D46" s="2" t="s">
        <v>8</v>
      </c>
      <c r="E46" s="2" t="s">
        <v>7</v>
      </c>
      <c r="G46" s="20" t="s">
        <v>14</v>
      </c>
      <c r="H46" s="13"/>
    </row>
    <row r="47" spans="1:8" ht="16.5" customHeight="1" x14ac:dyDescent="0.25">
      <c r="A47" s="2" t="s">
        <v>139</v>
      </c>
      <c r="B47" s="2" t="s">
        <v>140</v>
      </c>
      <c r="C47" s="2" t="s">
        <v>70</v>
      </c>
      <c r="D47" s="2" t="s">
        <v>6</v>
      </c>
      <c r="E47" s="2" t="s">
        <v>7</v>
      </c>
      <c r="G47" s="20" t="s">
        <v>14</v>
      </c>
      <c r="H47" s="13"/>
    </row>
    <row r="48" spans="1:8" ht="16.5" customHeight="1" x14ac:dyDescent="0.25">
      <c r="A48" s="2" t="s">
        <v>139</v>
      </c>
      <c r="B48" s="2" t="s">
        <v>140</v>
      </c>
      <c r="C48" s="2" t="s">
        <v>71</v>
      </c>
      <c r="D48" s="2" t="s">
        <v>9</v>
      </c>
      <c r="E48" s="2" t="s">
        <v>7</v>
      </c>
      <c r="G48" s="20" t="s">
        <v>14</v>
      </c>
      <c r="H48" s="13"/>
    </row>
    <row r="49" spans="1:8" ht="16.5" customHeight="1" x14ac:dyDescent="0.25">
      <c r="A49" s="2" t="s">
        <v>139</v>
      </c>
      <c r="B49" s="2" t="s">
        <v>140</v>
      </c>
      <c r="C49" s="2" t="s">
        <v>72</v>
      </c>
      <c r="D49" s="2" t="s">
        <v>9</v>
      </c>
      <c r="E49" s="2" t="s">
        <v>7</v>
      </c>
      <c r="G49" s="20" t="s">
        <v>14</v>
      </c>
      <c r="H49" s="13"/>
    </row>
    <row r="50" spans="1:8" ht="16.5" customHeight="1" x14ac:dyDescent="0.25">
      <c r="A50" s="2" t="s">
        <v>139</v>
      </c>
      <c r="B50" s="2" t="s">
        <v>140</v>
      </c>
      <c r="C50" s="2" t="s">
        <v>149</v>
      </c>
      <c r="D50" s="2" t="s">
        <v>8</v>
      </c>
      <c r="E50" s="2" t="s">
        <v>7</v>
      </c>
      <c r="G50" s="20" t="s">
        <v>14</v>
      </c>
      <c r="H50" s="13"/>
    </row>
    <row r="51" spans="1:8" ht="16.5" customHeight="1" x14ac:dyDescent="0.25">
      <c r="A51" s="2" t="s">
        <v>139</v>
      </c>
      <c r="B51" s="2" t="s">
        <v>140</v>
      </c>
      <c r="C51" s="2" t="s">
        <v>73</v>
      </c>
      <c r="D51" s="2" t="s">
        <v>8</v>
      </c>
      <c r="E51" s="2" t="s">
        <v>7</v>
      </c>
      <c r="G51" s="20" t="s">
        <v>14</v>
      </c>
      <c r="H51" s="13"/>
    </row>
    <row r="52" spans="1:8" ht="16.5" customHeight="1" x14ac:dyDescent="0.25">
      <c r="A52" s="2" t="s">
        <v>139</v>
      </c>
      <c r="B52" s="2" t="s">
        <v>140</v>
      </c>
      <c r="C52" s="2" t="s">
        <v>74</v>
      </c>
      <c r="D52" s="2" t="s">
        <v>9</v>
      </c>
      <c r="E52" s="2" t="s">
        <v>7</v>
      </c>
      <c r="G52" s="20" t="s">
        <v>14</v>
      </c>
      <c r="H52" s="13"/>
    </row>
    <row r="53" spans="1:8" ht="16.5" customHeight="1" x14ac:dyDescent="0.25">
      <c r="A53" s="2" t="s">
        <v>139</v>
      </c>
      <c r="B53" s="2" t="s">
        <v>140</v>
      </c>
      <c r="C53" s="2" t="s">
        <v>75</v>
      </c>
      <c r="D53" s="2" t="s">
        <v>9</v>
      </c>
      <c r="E53" s="2" t="s">
        <v>7</v>
      </c>
      <c r="G53" s="20" t="s">
        <v>14</v>
      </c>
      <c r="H53" s="13"/>
    </row>
    <row r="54" spans="1:8" ht="16.5" customHeight="1" x14ac:dyDescent="0.25">
      <c r="A54" s="2" t="s">
        <v>139</v>
      </c>
      <c r="B54" s="2" t="s">
        <v>140</v>
      </c>
      <c r="C54" s="2" t="s">
        <v>76</v>
      </c>
      <c r="D54" s="2" t="s">
        <v>8</v>
      </c>
      <c r="E54" s="2" t="s">
        <v>7</v>
      </c>
      <c r="G54" s="20" t="s">
        <v>14</v>
      </c>
      <c r="H54" s="13"/>
    </row>
    <row r="55" spans="1:8" ht="16.5" customHeight="1" x14ac:dyDescent="0.25">
      <c r="A55" s="2" t="s">
        <v>139</v>
      </c>
      <c r="B55" s="2" t="s">
        <v>140</v>
      </c>
      <c r="C55" s="2" t="s">
        <v>77</v>
      </c>
      <c r="D55" s="2" t="s">
        <v>9</v>
      </c>
      <c r="E55" s="2" t="s">
        <v>7</v>
      </c>
      <c r="G55" s="20" t="s">
        <v>14</v>
      </c>
      <c r="H55" s="13"/>
    </row>
    <row r="56" spans="1:8" ht="16.5" customHeight="1" x14ac:dyDescent="0.25">
      <c r="A56" s="2" t="s">
        <v>139</v>
      </c>
      <c r="B56" s="2" t="s">
        <v>140</v>
      </c>
      <c r="C56" s="1" t="s">
        <v>78</v>
      </c>
      <c r="D56" s="2" t="s">
        <v>9</v>
      </c>
      <c r="E56" s="2" t="s">
        <v>7</v>
      </c>
      <c r="G56" s="20" t="s">
        <v>14</v>
      </c>
      <c r="H56" s="13"/>
    </row>
    <row r="57" spans="1:8" ht="16.5" customHeight="1" x14ac:dyDescent="0.25">
      <c r="A57" s="2" t="s">
        <v>139</v>
      </c>
      <c r="B57" s="2" t="s">
        <v>141</v>
      </c>
      <c r="C57" s="1" t="s">
        <v>79</v>
      </c>
      <c r="D57" s="2" t="s">
        <v>6</v>
      </c>
      <c r="E57" s="2" t="s">
        <v>7</v>
      </c>
      <c r="G57" s="20" t="s">
        <v>14</v>
      </c>
      <c r="H57" s="13"/>
    </row>
    <row r="58" spans="1:8" ht="16.5" customHeight="1" x14ac:dyDescent="0.25">
      <c r="A58" s="2" t="s">
        <v>139</v>
      </c>
      <c r="B58" s="2" t="s">
        <v>141</v>
      </c>
      <c r="C58" s="2" t="s">
        <v>80</v>
      </c>
      <c r="D58" s="2" t="s">
        <v>6</v>
      </c>
      <c r="E58" s="2" t="s">
        <v>7</v>
      </c>
      <c r="G58" s="20" t="s">
        <v>14</v>
      </c>
      <c r="H58" s="13"/>
    </row>
    <row r="59" spans="1:8" ht="16.5" customHeight="1" x14ac:dyDescent="0.25">
      <c r="A59" s="2" t="s">
        <v>139</v>
      </c>
      <c r="B59" s="2" t="s">
        <v>141</v>
      </c>
      <c r="C59" s="1" t="s">
        <v>81</v>
      </c>
      <c r="D59" s="2" t="s">
        <v>9</v>
      </c>
      <c r="E59" s="2" t="s">
        <v>7</v>
      </c>
      <c r="G59" s="20" t="s">
        <v>14</v>
      </c>
      <c r="H59" s="13"/>
    </row>
    <row r="60" spans="1:8" ht="16.5" customHeight="1" x14ac:dyDescent="0.25">
      <c r="A60" s="2" t="s">
        <v>139</v>
      </c>
      <c r="B60" s="2" t="s">
        <v>141</v>
      </c>
      <c r="C60" s="2" t="s">
        <v>82</v>
      </c>
      <c r="D60" s="2" t="s">
        <v>9</v>
      </c>
      <c r="E60" s="2" t="s">
        <v>7</v>
      </c>
      <c r="G60" s="20" t="s">
        <v>14</v>
      </c>
      <c r="H60" s="13"/>
    </row>
    <row r="61" spans="1:8" ht="16.5" customHeight="1" x14ac:dyDescent="0.25">
      <c r="A61" s="2" t="s">
        <v>139</v>
      </c>
      <c r="B61" s="2" t="s">
        <v>141</v>
      </c>
      <c r="C61" s="2" t="s">
        <v>83</v>
      </c>
      <c r="D61" s="2" t="s">
        <v>8</v>
      </c>
      <c r="E61" s="2" t="s">
        <v>7</v>
      </c>
      <c r="G61" s="20" t="s">
        <v>14</v>
      </c>
      <c r="H61" s="13"/>
    </row>
    <row r="62" spans="1:8" ht="16.5" customHeight="1" x14ac:dyDescent="0.25">
      <c r="A62" s="2" t="s">
        <v>139</v>
      </c>
      <c r="B62" s="2" t="s">
        <v>141</v>
      </c>
      <c r="C62" s="2" t="s">
        <v>84</v>
      </c>
      <c r="D62" s="2" t="s">
        <v>9</v>
      </c>
      <c r="E62" s="2" t="s">
        <v>7</v>
      </c>
      <c r="G62" s="20" t="s">
        <v>14</v>
      </c>
      <c r="H62" s="13"/>
    </row>
    <row r="63" spans="1:8" ht="16.5" customHeight="1" x14ac:dyDescent="0.25">
      <c r="A63" s="2" t="s">
        <v>142</v>
      </c>
      <c r="B63" s="2" t="s">
        <v>143</v>
      </c>
      <c r="C63" s="2" t="s">
        <v>85</v>
      </c>
      <c r="D63" s="2" t="s">
        <v>9</v>
      </c>
      <c r="E63" s="2" t="s">
        <v>7</v>
      </c>
      <c r="G63" s="20" t="s">
        <v>14</v>
      </c>
      <c r="H63" s="13"/>
    </row>
    <row r="64" spans="1:8" ht="16.5" customHeight="1" x14ac:dyDescent="0.25">
      <c r="A64" s="2" t="s">
        <v>142</v>
      </c>
      <c r="B64" s="2" t="s">
        <v>144</v>
      </c>
      <c r="C64" s="2" t="s">
        <v>86</v>
      </c>
      <c r="D64" s="2" t="s">
        <v>6</v>
      </c>
      <c r="E64" s="2" t="s">
        <v>7</v>
      </c>
      <c r="F64" s="1"/>
      <c r="G64" s="20" t="s">
        <v>14</v>
      </c>
      <c r="H64" s="13"/>
    </row>
    <row r="65" spans="1:8" ht="16.5" customHeight="1" x14ac:dyDescent="0.25">
      <c r="A65" s="2" t="s">
        <v>142</v>
      </c>
      <c r="B65" s="2" t="s">
        <v>144</v>
      </c>
      <c r="C65" s="1" t="s">
        <v>87</v>
      </c>
      <c r="D65" s="2" t="s">
        <v>8</v>
      </c>
      <c r="E65" s="2" t="s">
        <v>7</v>
      </c>
      <c r="G65" s="20" t="s">
        <v>14</v>
      </c>
      <c r="H65" s="13"/>
    </row>
    <row r="66" spans="1:8" ht="16.5" customHeight="1" x14ac:dyDescent="0.25">
      <c r="A66" s="2" t="s">
        <v>142</v>
      </c>
      <c r="B66" s="2" t="s">
        <v>144</v>
      </c>
      <c r="C66" s="2" t="s">
        <v>88</v>
      </c>
      <c r="D66" s="2" t="s">
        <v>6</v>
      </c>
      <c r="E66" s="2" t="s">
        <v>7</v>
      </c>
      <c r="G66" s="20" t="s">
        <v>14</v>
      </c>
      <c r="H66" s="13"/>
    </row>
    <row r="67" spans="1:8" ht="16.5" customHeight="1" x14ac:dyDescent="0.25">
      <c r="A67" s="2" t="s">
        <v>142</v>
      </c>
      <c r="B67" s="2" t="s">
        <v>144</v>
      </c>
      <c r="C67" s="2" t="s">
        <v>89</v>
      </c>
      <c r="D67" s="2" t="s">
        <v>9</v>
      </c>
      <c r="E67" s="2" t="s">
        <v>7</v>
      </c>
      <c r="G67" s="20" t="s">
        <v>14</v>
      </c>
      <c r="H67" s="13"/>
    </row>
    <row r="68" spans="1:8" ht="16.5" customHeight="1" x14ac:dyDescent="0.25">
      <c r="A68" s="2" t="s">
        <v>142</v>
      </c>
      <c r="B68" s="2" t="s">
        <v>144</v>
      </c>
      <c r="C68" s="2" t="s">
        <v>90</v>
      </c>
      <c r="D68" s="2" t="s">
        <v>6</v>
      </c>
      <c r="E68" s="2" t="s">
        <v>7</v>
      </c>
      <c r="G68" s="20" t="s">
        <v>14</v>
      </c>
      <c r="H68" s="13"/>
    </row>
    <row r="69" spans="1:8" ht="16.5" customHeight="1" x14ac:dyDescent="0.25">
      <c r="A69" s="2" t="s">
        <v>142</v>
      </c>
      <c r="B69" s="2" t="s">
        <v>144</v>
      </c>
      <c r="C69" s="2" t="s">
        <v>91</v>
      </c>
      <c r="D69" s="2" t="s">
        <v>9</v>
      </c>
      <c r="E69" s="2" t="s">
        <v>7</v>
      </c>
      <c r="G69" s="20" t="s">
        <v>14</v>
      </c>
      <c r="H69" s="13"/>
    </row>
    <row r="70" spans="1:8" ht="16.5" customHeight="1" x14ac:dyDescent="0.25">
      <c r="A70" s="2" t="s">
        <v>142</v>
      </c>
      <c r="B70" s="2" t="s">
        <v>144</v>
      </c>
      <c r="C70" s="2" t="s">
        <v>92</v>
      </c>
      <c r="D70" s="2" t="s">
        <v>6</v>
      </c>
      <c r="E70" s="2" t="s">
        <v>7</v>
      </c>
      <c r="G70" s="20" t="s">
        <v>14</v>
      </c>
      <c r="H70" s="13"/>
    </row>
    <row r="71" spans="1:8" ht="16.5" customHeight="1" x14ac:dyDescent="0.25">
      <c r="A71" s="2" t="s">
        <v>142</v>
      </c>
      <c r="B71" s="2" t="s">
        <v>144</v>
      </c>
      <c r="C71" s="2" t="s">
        <v>93</v>
      </c>
      <c r="D71" s="2" t="s">
        <v>6</v>
      </c>
      <c r="E71" s="2" t="s">
        <v>7</v>
      </c>
      <c r="G71" s="20" t="s">
        <v>14</v>
      </c>
      <c r="H71" s="13"/>
    </row>
    <row r="72" spans="1:8" ht="16.5" customHeight="1" x14ac:dyDescent="0.25">
      <c r="A72" s="2" t="s">
        <v>142</v>
      </c>
      <c r="B72" s="2" t="s">
        <v>144</v>
      </c>
      <c r="C72" s="2" t="s">
        <v>94</v>
      </c>
      <c r="D72" s="2" t="s">
        <v>6</v>
      </c>
      <c r="E72" s="2" t="s">
        <v>7</v>
      </c>
      <c r="G72" s="20" t="s">
        <v>14</v>
      </c>
      <c r="H72" s="13"/>
    </row>
    <row r="73" spans="1:8" ht="16.5" customHeight="1" x14ac:dyDescent="0.25">
      <c r="A73" s="2" t="s">
        <v>142</v>
      </c>
      <c r="B73" s="2" t="s">
        <v>144</v>
      </c>
      <c r="C73" s="2" t="s">
        <v>95</v>
      </c>
      <c r="D73" s="2" t="s">
        <v>9</v>
      </c>
      <c r="E73" s="2" t="s">
        <v>7</v>
      </c>
      <c r="G73" s="20" t="s">
        <v>14</v>
      </c>
      <c r="H73" s="13"/>
    </row>
    <row r="74" spans="1:8" ht="16.5" customHeight="1" x14ac:dyDescent="0.25">
      <c r="A74" s="2" t="s">
        <v>142</v>
      </c>
      <c r="B74" s="2" t="s">
        <v>144</v>
      </c>
      <c r="C74" s="2" t="s">
        <v>96</v>
      </c>
      <c r="D74" s="2" t="s">
        <v>9</v>
      </c>
      <c r="E74" s="2" t="s">
        <v>7</v>
      </c>
      <c r="G74" s="20" t="s">
        <v>14</v>
      </c>
      <c r="H74" s="13"/>
    </row>
    <row r="75" spans="1:8" ht="16.5" customHeight="1" x14ac:dyDescent="0.25">
      <c r="A75" s="2" t="s">
        <v>142</v>
      </c>
      <c r="B75" s="2" t="s">
        <v>144</v>
      </c>
      <c r="C75" s="2" t="s">
        <v>97</v>
      </c>
      <c r="D75" s="2" t="s">
        <v>6</v>
      </c>
      <c r="E75" s="2" t="s">
        <v>7</v>
      </c>
      <c r="F75" s="1"/>
      <c r="G75" s="20" t="s">
        <v>14</v>
      </c>
      <c r="H75" s="13"/>
    </row>
    <row r="76" spans="1:8" ht="16.5" customHeight="1" x14ac:dyDescent="0.25">
      <c r="A76" s="2" t="s">
        <v>27</v>
      </c>
      <c r="B76" s="2" t="s">
        <v>145</v>
      </c>
      <c r="C76" s="2" t="s">
        <v>98</v>
      </c>
      <c r="D76" s="2" t="s">
        <v>9</v>
      </c>
      <c r="E76" s="2" t="s">
        <v>7</v>
      </c>
      <c r="G76" s="20" t="s">
        <v>14</v>
      </c>
      <c r="H76" s="13"/>
    </row>
    <row r="77" spans="1:8" ht="16.5" customHeight="1" x14ac:dyDescent="0.25">
      <c r="A77" s="2" t="s">
        <v>27</v>
      </c>
      <c r="B77" s="2" t="s">
        <v>145</v>
      </c>
      <c r="C77" s="2" t="s">
        <v>99</v>
      </c>
      <c r="D77" s="2" t="s">
        <v>6</v>
      </c>
      <c r="E77" s="2" t="s">
        <v>7</v>
      </c>
      <c r="G77" s="20" t="s">
        <v>14</v>
      </c>
      <c r="H77" s="13"/>
    </row>
    <row r="78" spans="1:8" ht="16.5" customHeight="1" x14ac:dyDescent="0.25">
      <c r="A78" s="2" t="s">
        <v>27</v>
      </c>
      <c r="B78" s="2" t="s">
        <v>145</v>
      </c>
      <c r="C78" s="2" t="s">
        <v>100</v>
      </c>
      <c r="D78" s="2" t="s">
        <v>6</v>
      </c>
      <c r="E78" s="2" t="s">
        <v>7</v>
      </c>
      <c r="G78" s="20" t="s">
        <v>14</v>
      </c>
      <c r="H78" s="13"/>
    </row>
    <row r="79" spans="1:8" ht="16.5" customHeight="1" x14ac:dyDescent="0.25">
      <c r="A79" s="2" t="s">
        <v>27</v>
      </c>
      <c r="B79" s="2" t="s">
        <v>145</v>
      </c>
      <c r="C79" s="2" t="s">
        <v>101</v>
      </c>
      <c r="D79" s="2" t="s">
        <v>8</v>
      </c>
      <c r="E79" s="2" t="s">
        <v>7</v>
      </c>
      <c r="G79" s="20" t="s">
        <v>14</v>
      </c>
      <c r="H79" s="13"/>
    </row>
    <row r="80" spans="1:8" ht="16.5" customHeight="1" x14ac:dyDescent="0.25">
      <c r="A80" s="2" t="s">
        <v>27</v>
      </c>
      <c r="B80" s="2" t="s">
        <v>145</v>
      </c>
      <c r="C80" s="2" t="s">
        <v>102</v>
      </c>
      <c r="D80" s="2" t="s">
        <v>9</v>
      </c>
      <c r="E80" s="2" t="s">
        <v>7</v>
      </c>
      <c r="G80" s="20" t="s">
        <v>14</v>
      </c>
      <c r="H80" s="13"/>
    </row>
    <row r="81" spans="1:8" ht="16.5" customHeight="1" x14ac:dyDescent="0.25">
      <c r="A81" s="2" t="s">
        <v>27</v>
      </c>
      <c r="B81" s="2" t="s">
        <v>27</v>
      </c>
      <c r="C81" s="1" t="s">
        <v>103</v>
      </c>
      <c r="D81" s="2" t="s">
        <v>9</v>
      </c>
      <c r="E81" s="2" t="s">
        <v>7</v>
      </c>
      <c r="G81" s="20" t="s">
        <v>14</v>
      </c>
      <c r="H81" s="13"/>
    </row>
    <row r="82" spans="1:8" ht="16.5" customHeight="1" x14ac:dyDescent="0.25">
      <c r="A82" s="2" t="s">
        <v>27</v>
      </c>
      <c r="B82" s="2" t="s">
        <v>27</v>
      </c>
      <c r="C82" s="2" t="s">
        <v>104</v>
      </c>
      <c r="D82" s="2" t="s">
        <v>9</v>
      </c>
      <c r="E82" s="2" t="s">
        <v>7</v>
      </c>
      <c r="G82" s="13" t="s">
        <v>14</v>
      </c>
      <c r="H82" s="13"/>
    </row>
    <row r="83" spans="1:8" ht="16.5" customHeight="1" x14ac:dyDescent="0.25">
      <c r="A83" s="2" t="s">
        <v>27</v>
      </c>
      <c r="B83" s="2" t="s">
        <v>27</v>
      </c>
      <c r="C83" s="2" t="s">
        <v>105</v>
      </c>
      <c r="D83" s="2" t="s">
        <v>8</v>
      </c>
      <c r="E83" s="2" t="s">
        <v>7</v>
      </c>
      <c r="G83" s="13" t="s">
        <v>14</v>
      </c>
      <c r="H83" s="13"/>
    </row>
    <row r="84" spans="1:8" ht="16.5" customHeight="1" x14ac:dyDescent="0.25">
      <c r="A84" s="2" t="s">
        <v>27</v>
      </c>
      <c r="B84" s="2" t="s">
        <v>27</v>
      </c>
      <c r="C84" s="2" t="s">
        <v>106</v>
      </c>
      <c r="D84" s="2" t="s">
        <v>8</v>
      </c>
      <c r="E84" s="2" t="s">
        <v>7</v>
      </c>
      <c r="G84" s="13" t="s">
        <v>14</v>
      </c>
      <c r="H84" s="13"/>
    </row>
    <row r="85" spans="1:8" ht="16.5" customHeight="1" x14ac:dyDescent="0.25">
      <c r="A85" s="2" t="s">
        <v>27</v>
      </c>
      <c r="B85" s="2" t="s">
        <v>27</v>
      </c>
      <c r="C85" s="1" t="s">
        <v>107</v>
      </c>
      <c r="D85" s="2" t="s">
        <v>9</v>
      </c>
      <c r="E85" s="2" t="s">
        <v>7</v>
      </c>
      <c r="G85" s="13" t="s">
        <v>14</v>
      </c>
      <c r="H85" s="13"/>
    </row>
    <row r="86" spans="1:8" ht="16.5" customHeight="1" x14ac:dyDescent="0.25">
      <c r="A86" s="2" t="s">
        <v>27</v>
      </c>
      <c r="B86" s="2" t="s">
        <v>27</v>
      </c>
      <c r="C86" s="2" t="s">
        <v>108</v>
      </c>
      <c r="D86" s="2" t="s">
        <v>8</v>
      </c>
      <c r="E86" s="2" t="s">
        <v>7</v>
      </c>
      <c r="G86" s="13" t="s">
        <v>14</v>
      </c>
      <c r="H86" s="13"/>
    </row>
    <row r="87" spans="1:8" ht="16.5" customHeight="1" x14ac:dyDescent="0.25">
      <c r="A87" s="2" t="s">
        <v>27</v>
      </c>
      <c r="B87" s="2" t="s">
        <v>27</v>
      </c>
      <c r="C87" s="1" t="s">
        <v>109</v>
      </c>
      <c r="D87" s="2" t="s">
        <v>9</v>
      </c>
      <c r="E87" s="2" t="s">
        <v>7</v>
      </c>
      <c r="G87" s="13" t="s">
        <v>14</v>
      </c>
      <c r="H87" s="13"/>
    </row>
    <row r="88" spans="1:8" ht="16.5" customHeight="1" x14ac:dyDescent="0.25">
      <c r="A88" t="s">
        <v>147</v>
      </c>
      <c r="B88" s="2" t="s">
        <v>26</v>
      </c>
      <c r="C88" s="2" t="s">
        <v>110</v>
      </c>
      <c r="D88" s="2" t="s">
        <v>6</v>
      </c>
      <c r="E88" s="2" t="s">
        <v>7</v>
      </c>
      <c r="G88" s="13" t="s">
        <v>14</v>
      </c>
      <c r="H88" s="13"/>
    </row>
    <row r="89" spans="1:8" ht="16.5" customHeight="1" x14ac:dyDescent="0.25">
      <c r="A89" t="s">
        <v>147</v>
      </c>
      <c r="B89" s="2" t="s">
        <v>26</v>
      </c>
      <c r="C89" s="2" t="s">
        <v>111</v>
      </c>
      <c r="D89" s="2" t="s">
        <v>9</v>
      </c>
      <c r="E89" s="2" t="s">
        <v>7</v>
      </c>
      <c r="G89" s="13" t="s">
        <v>14</v>
      </c>
      <c r="H89" s="13"/>
    </row>
    <row r="90" spans="1:8" ht="16.5" customHeight="1" x14ac:dyDescent="0.25">
      <c r="A90" t="s">
        <v>147</v>
      </c>
      <c r="B90" s="2" t="s">
        <v>26</v>
      </c>
      <c r="C90" s="2" t="s">
        <v>112</v>
      </c>
      <c r="D90" s="2" t="s">
        <v>9</v>
      </c>
      <c r="E90" s="2" t="s">
        <v>7</v>
      </c>
      <c r="G90" s="13" t="s">
        <v>14</v>
      </c>
      <c r="H90" s="13"/>
    </row>
    <row r="91" spans="1:8" ht="16.5" customHeight="1" x14ac:dyDescent="0.25">
      <c r="A91" t="s">
        <v>147</v>
      </c>
      <c r="B91" s="2" t="s">
        <v>26</v>
      </c>
      <c r="C91" s="2" t="s">
        <v>113</v>
      </c>
      <c r="D91" s="2" t="s">
        <v>9</v>
      </c>
      <c r="E91" s="2" t="s">
        <v>7</v>
      </c>
      <c r="G91" s="13" t="s">
        <v>14</v>
      </c>
      <c r="H91" s="13"/>
    </row>
    <row r="92" spans="1:8" ht="15.75" customHeight="1" x14ac:dyDescent="0.25">
      <c r="A92" t="s">
        <v>147</v>
      </c>
      <c r="B92" s="2" t="s">
        <v>25</v>
      </c>
      <c r="C92" s="1" t="s">
        <v>114</v>
      </c>
      <c r="D92" s="2" t="s">
        <v>8</v>
      </c>
      <c r="E92" s="2" t="s">
        <v>7</v>
      </c>
      <c r="G92" s="13" t="s">
        <v>14</v>
      </c>
      <c r="H92" s="13"/>
    </row>
    <row r="93" spans="1:8" ht="16.5" customHeight="1" x14ac:dyDescent="0.25">
      <c r="A93" t="s">
        <v>147</v>
      </c>
      <c r="B93" s="2" t="s">
        <v>25</v>
      </c>
      <c r="C93" s="2" t="s">
        <v>115</v>
      </c>
      <c r="D93" s="2" t="s">
        <v>8</v>
      </c>
      <c r="E93" s="2" t="s">
        <v>7</v>
      </c>
      <c r="G93" s="13" t="s">
        <v>14</v>
      </c>
      <c r="H93" s="13"/>
    </row>
    <row r="94" spans="1:8" ht="16.5" customHeight="1" x14ac:dyDescent="0.25">
      <c r="A94" t="s">
        <v>147</v>
      </c>
      <c r="B94" s="2" t="s">
        <v>25</v>
      </c>
      <c r="C94" s="2" t="s">
        <v>116</v>
      </c>
      <c r="D94" s="2" t="s">
        <v>9</v>
      </c>
      <c r="E94" s="2" t="s">
        <v>7</v>
      </c>
      <c r="G94" s="13" t="s">
        <v>14</v>
      </c>
      <c r="H94" s="13"/>
    </row>
    <row r="95" spans="1:8" ht="16.5" customHeight="1" x14ac:dyDescent="0.25">
      <c r="A95" t="s">
        <v>147</v>
      </c>
      <c r="B95" s="2" t="s">
        <v>25</v>
      </c>
      <c r="C95" s="2" t="s">
        <v>117</v>
      </c>
      <c r="D95" s="2" t="s">
        <v>9</v>
      </c>
      <c r="E95" s="2" t="s">
        <v>7</v>
      </c>
      <c r="G95" s="13" t="s">
        <v>14</v>
      </c>
      <c r="H95" s="13"/>
    </row>
    <row r="96" spans="1:8" ht="16.5" customHeight="1" x14ac:dyDescent="0.25">
      <c r="A96" t="s">
        <v>147</v>
      </c>
      <c r="B96" s="2" t="s">
        <v>25</v>
      </c>
      <c r="C96" s="2" t="s">
        <v>118</v>
      </c>
      <c r="D96" s="2" t="s">
        <v>8</v>
      </c>
      <c r="E96" s="2" t="s">
        <v>7</v>
      </c>
      <c r="G96" s="13" t="s">
        <v>14</v>
      </c>
      <c r="H96" s="13"/>
    </row>
    <row r="97" spans="1:8" ht="16.5" customHeight="1" x14ac:dyDescent="0.25">
      <c r="A97" t="s">
        <v>147</v>
      </c>
      <c r="B97" s="2" t="s">
        <v>25</v>
      </c>
      <c r="C97" s="2" t="s">
        <v>119</v>
      </c>
      <c r="D97" s="2" t="s">
        <v>9</v>
      </c>
      <c r="E97" s="2" t="s">
        <v>7</v>
      </c>
      <c r="G97" s="13" t="s">
        <v>14</v>
      </c>
      <c r="H97" s="13"/>
    </row>
    <row r="98" spans="1:8" ht="16.5" customHeight="1" x14ac:dyDescent="0.25">
      <c r="A98" t="s">
        <v>147</v>
      </c>
      <c r="B98" s="2" t="s">
        <v>25</v>
      </c>
      <c r="C98" s="2" t="s">
        <v>120</v>
      </c>
      <c r="D98" s="2" t="s">
        <v>9</v>
      </c>
      <c r="E98" s="2" t="s">
        <v>7</v>
      </c>
      <c r="G98" s="13" t="s">
        <v>14</v>
      </c>
      <c r="H98" s="13"/>
    </row>
    <row r="99" spans="1:8" ht="16.5" customHeight="1" x14ac:dyDescent="0.25">
      <c r="A99" s="2" t="s">
        <v>148</v>
      </c>
      <c r="B99" s="2" t="s">
        <v>139</v>
      </c>
      <c r="C99" s="2" t="s">
        <v>121</v>
      </c>
      <c r="D99" s="2" t="s">
        <v>6</v>
      </c>
      <c r="E99" s="2" t="s">
        <v>7</v>
      </c>
      <c r="G99" s="13" t="s">
        <v>14</v>
      </c>
      <c r="H99" s="13"/>
    </row>
    <row r="100" spans="1:8" ht="16.5" customHeight="1" x14ac:dyDescent="0.25">
      <c r="A100" s="2" t="s">
        <v>148</v>
      </c>
      <c r="B100" s="2" t="s">
        <v>139</v>
      </c>
      <c r="C100" s="2" t="s">
        <v>122</v>
      </c>
      <c r="D100" s="2" t="s">
        <v>9</v>
      </c>
      <c r="E100" s="2" t="s">
        <v>7</v>
      </c>
      <c r="G100" s="13" t="s">
        <v>14</v>
      </c>
      <c r="H100" s="13"/>
    </row>
    <row r="101" spans="1:8" ht="16.5" customHeight="1" x14ac:dyDescent="0.25">
      <c r="A101" s="2" t="s">
        <v>148</v>
      </c>
      <c r="B101" s="2" t="s">
        <v>139</v>
      </c>
      <c r="C101" s="2" t="s">
        <v>123</v>
      </c>
      <c r="D101" s="2" t="s">
        <v>9</v>
      </c>
      <c r="E101" s="2" t="s">
        <v>7</v>
      </c>
      <c r="G101" s="13" t="s">
        <v>14</v>
      </c>
      <c r="H101" s="13"/>
    </row>
    <row r="102" spans="1:8" ht="16.5" customHeight="1" x14ac:dyDescent="0.25">
      <c r="A102" s="2" t="s">
        <v>148</v>
      </c>
      <c r="B102" s="2" t="s">
        <v>139</v>
      </c>
      <c r="C102" s="2" t="s">
        <v>124</v>
      </c>
      <c r="D102" s="2" t="s">
        <v>6</v>
      </c>
      <c r="E102" s="2" t="s">
        <v>7</v>
      </c>
      <c r="G102" s="13" t="s">
        <v>14</v>
      </c>
      <c r="H102" s="13"/>
    </row>
    <row r="103" spans="1:8" ht="16.5" customHeight="1" x14ac:dyDescent="0.25">
      <c r="A103" s="2" t="s">
        <v>148</v>
      </c>
      <c r="B103" s="2" t="s">
        <v>139</v>
      </c>
      <c r="C103" s="2" t="s">
        <v>125</v>
      </c>
      <c r="D103" s="2" t="s">
        <v>9</v>
      </c>
      <c r="E103" s="2" t="s">
        <v>7</v>
      </c>
      <c r="G103" s="13" t="s">
        <v>14</v>
      </c>
      <c r="H103" s="13"/>
    </row>
    <row r="104" spans="1:8" ht="16.5" customHeight="1" x14ac:dyDescent="0.25">
      <c r="A104" s="2" t="s">
        <v>148</v>
      </c>
      <c r="B104" s="2" t="s">
        <v>142</v>
      </c>
      <c r="C104" s="2" t="s">
        <v>126</v>
      </c>
      <c r="D104" s="2" t="s">
        <v>9</v>
      </c>
      <c r="E104" s="2" t="s">
        <v>7</v>
      </c>
      <c r="G104" s="13" t="s">
        <v>14</v>
      </c>
      <c r="H104" s="13"/>
    </row>
    <row r="105" spans="1:8" ht="16.5" customHeight="1" x14ac:dyDescent="0.25">
      <c r="A105" s="2" t="s">
        <v>148</v>
      </c>
      <c r="B105" s="2" t="s">
        <v>142</v>
      </c>
      <c r="C105" s="2" t="s">
        <v>127</v>
      </c>
      <c r="D105" s="2" t="s">
        <v>9</v>
      </c>
      <c r="E105" s="2" t="s">
        <v>7</v>
      </c>
      <c r="G105" s="13" t="s">
        <v>14</v>
      </c>
      <c r="H105" s="13"/>
    </row>
    <row r="106" spans="1:8" ht="16.5" customHeight="1" x14ac:dyDescent="0.25">
      <c r="A106" s="2" t="s">
        <v>148</v>
      </c>
      <c r="B106" s="2" t="s">
        <v>142</v>
      </c>
      <c r="C106" s="2" t="s">
        <v>128</v>
      </c>
      <c r="D106" s="2" t="s">
        <v>9</v>
      </c>
      <c r="E106" s="2" t="s">
        <v>7</v>
      </c>
      <c r="G106" s="13" t="s">
        <v>14</v>
      </c>
      <c r="H106" s="13"/>
    </row>
    <row r="107" spans="1:8" ht="16.5" customHeight="1" x14ac:dyDescent="0.25">
      <c r="A107" s="2" t="s">
        <v>148</v>
      </c>
      <c r="B107" s="2" t="s">
        <v>142</v>
      </c>
      <c r="C107" s="2" t="s">
        <v>129</v>
      </c>
      <c r="D107" s="2" t="s">
        <v>9</v>
      </c>
      <c r="E107" s="2" t="s">
        <v>7</v>
      </c>
      <c r="F107" s="1"/>
      <c r="G107" s="13" t="s">
        <v>14</v>
      </c>
      <c r="H107" s="13"/>
    </row>
    <row r="108" spans="1:8" ht="16.5" customHeight="1" x14ac:dyDescent="0.25">
      <c r="A108" s="2" t="s">
        <v>148</v>
      </c>
      <c r="B108" s="2" t="s">
        <v>142</v>
      </c>
      <c r="C108" s="2" t="s">
        <v>130</v>
      </c>
      <c r="D108" s="2" t="s">
        <v>9</v>
      </c>
      <c r="E108" s="2" t="s">
        <v>7</v>
      </c>
      <c r="G108" s="13" t="s">
        <v>14</v>
      </c>
      <c r="H108" s="13"/>
    </row>
    <row r="109" spans="1:8" ht="16.5" customHeight="1" x14ac:dyDescent="0.25">
      <c r="A109" s="2" t="s">
        <v>148</v>
      </c>
      <c r="B109" s="2" t="s">
        <v>146</v>
      </c>
      <c r="C109" s="2" t="s">
        <v>131</v>
      </c>
      <c r="D109" s="2" t="s">
        <v>8</v>
      </c>
      <c r="E109" s="2" t="s">
        <v>7</v>
      </c>
      <c r="G109" s="13" t="s">
        <v>14</v>
      </c>
      <c r="H109" s="13"/>
    </row>
    <row r="110" spans="1:8" ht="16.5" customHeight="1" x14ac:dyDescent="0.25">
      <c r="A110" s="2" t="s">
        <v>148</v>
      </c>
      <c r="B110" s="2" t="s">
        <v>146</v>
      </c>
      <c r="C110" s="2" t="s">
        <v>132</v>
      </c>
      <c r="D110" s="2" t="s">
        <v>9</v>
      </c>
      <c r="E110" s="2" t="s">
        <v>7</v>
      </c>
      <c r="G110" s="13" t="s">
        <v>14</v>
      </c>
      <c r="H110" s="13"/>
    </row>
    <row r="111" spans="1:8" ht="16.5" customHeight="1" x14ac:dyDescent="0.25">
      <c r="B111" s="2"/>
      <c r="G111" s="13"/>
      <c r="H111" s="13"/>
    </row>
    <row r="112" spans="1:8" ht="16.5" customHeight="1" x14ac:dyDescent="0.25">
      <c r="B112" s="2"/>
      <c r="G112" s="13"/>
      <c r="H112" s="13"/>
    </row>
    <row r="113" spans="2:8" ht="16.5" customHeight="1" x14ac:dyDescent="0.25">
      <c r="B113" s="2"/>
      <c r="G113" s="13"/>
      <c r="H113" s="13"/>
    </row>
    <row r="114" spans="2:8" ht="16.5" customHeight="1" x14ac:dyDescent="0.25">
      <c r="B114" s="2"/>
      <c r="F114" s="1"/>
      <c r="G114" s="13"/>
      <c r="H114" s="13"/>
    </row>
    <row r="115" spans="2:8" ht="16.5" customHeight="1" x14ac:dyDescent="0.25">
      <c r="B115" s="2"/>
      <c r="G115" s="13"/>
      <c r="H115" s="13"/>
    </row>
    <row r="116" spans="2:8" ht="16.5" customHeight="1" x14ac:dyDescent="0.25">
      <c r="B116" s="2"/>
      <c r="G116" s="13"/>
      <c r="H116" s="13"/>
    </row>
    <row r="117" spans="2:8" ht="16.5" customHeight="1" x14ac:dyDescent="0.25">
      <c r="B117" s="2"/>
      <c r="F117" s="1"/>
      <c r="G117" s="13"/>
      <c r="H117" s="13"/>
    </row>
    <row r="118" spans="2:8" ht="16.5" customHeight="1" x14ac:dyDescent="0.25">
      <c r="B118" s="2"/>
      <c r="G118" s="13"/>
      <c r="H118" s="13"/>
    </row>
    <row r="119" spans="2:8" ht="16.5" customHeight="1" x14ac:dyDescent="0.25">
      <c r="B119" s="2"/>
      <c r="G119" s="13"/>
      <c r="H119" s="13"/>
    </row>
    <row r="120" spans="2:8" ht="16.5" customHeight="1" x14ac:dyDescent="0.25">
      <c r="B120" s="2"/>
      <c r="F120" s="1"/>
      <c r="G120" s="13"/>
      <c r="H120" s="13"/>
    </row>
    <row r="121" spans="2:8" ht="16.5" customHeight="1" x14ac:dyDescent="0.25">
      <c r="B121" s="2"/>
      <c r="G121" s="13"/>
      <c r="H121" s="13"/>
    </row>
    <row r="122" spans="2:8" ht="16.5" customHeight="1" x14ac:dyDescent="0.25">
      <c r="B122" s="2"/>
      <c r="G122" s="13"/>
      <c r="H122" s="13"/>
    </row>
    <row r="123" spans="2:8" ht="16.5" customHeight="1" x14ac:dyDescent="0.25">
      <c r="B123" s="2"/>
      <c r="G123" s="13"/>
      <c r="H123" s="13"/>
    </row>
    <row r="124" spans="2:8" ht="16.5" customHeight="1" x14ac:dyDescent="0.25">
      <c r="B124" s="2"/>
      <c r="F124" s="1"/>
      <c r="G124" s="13"/>
      <c r="H124" s="13"/>
    </row>
    <row r="125" spans="2:8" ht="16.5" customHeight="1" x14ac:dyDescent="0.25">
      <c r="B125" s="2"/>
      <c r="F125" s="1"/>
      <c r="G125" s="13"/>
      <c r="H125" s="13"/>
    </row>
    <row r="126" spans="2:8" ht="16.5" customHeight="1" x14ac:dyDescent="0.25">
      <c r="B126" s="2"/>
      <c r="F126" s="1"/>
      <c r="G126" s="13"/>
      <c r="H126" s="13"/>
    </row>
    <row r="127" spans="2:8" ht="16.5" customHeight="1" x14ac:dyDescent="0.25">
      <c r="B127" s="2"/>
      <c r="F127" s="1"/>
      <c r="G127" s="13"/>
      <c r="H127" s="13"/>
    </row>
    <row r="128" spans="2:8" ht="16.5" customHeight="1" x14ac:dyDescent="0.25">
      <c r="B128" s="2"/>
      <c r="G128" s="13"/>
      <c r="H128" s="13"/>
    </row>
    <row r="129" spans="2:8" ht="16.5" customHeight="1" x14ac:dyDescent="0.25">
      <c r="B129" s="2"/>
      <c r="F129" s="1"/>
      <c r="G129" s="13"/>
      <c r="H129" s="13"/>
    </row>
    <row r="130" spans="2:8" ht="16.5" customHeight="1" x14ac:dyDescent="0.25">
      <c r="B130" s="2"/>
      <c r="F130" s="1"/>
      <c r="G130" s="13"/>
      <c r="H130" s="13"/>
    </row>
    <row r="131" spans="2:8" ht="16.5" customHeight="1" x14ac:dyDescent="0.25">
      <c r="B131" s="2"/>
      <c r="F131" s="1"/>
      <c r="G131" s="13"/>
      <c r="H131" s="13"/>
    </row>
    <row r="132" spans="2:8" ht="16.5" customHeight="1" x14ac:dyDescent="0.25">
      <c r="B132" s="2"/>
      <c r="F132" s="1"/>
      <c r="G132" s="13"/>
      <c r="H132" s="13"/>
    </row>
    <row r="133" spans="2:8" ht="16.5" customHeight="1" x14ac:dyDescent="0.25">
      <c r="B133" s="2"/>
      <c r="G133" s="13"/>
      <c r="H133" s="13"/>
    </row>
    <row r="134" spans="2:8" ht="16.5" customHeight="1" x14ac:dyDescent="0.25">
      <c r="B134" s="2"/>
      <c r="G134" s="13"/>
      <c r="H134" s="13"/>
    </row>
    <row r="135" spans="2:8" ht="16.5" customHeight="1" x14ac:dyDescent="0.25">
      <c r="B135" s="2"/>
      <c r="F135" s="1"/>
      <c r="G135" s="13"/>
      <c r="H135" s="13"/>
    </row>
    <row r="136" spans="2:8" ht="16.5" customHeight="1" x14ac:dyDescent="0.25">
      <c r="B136" s="2"/>
      <c r="G136" s="13"/>
      <c r="H136" s="13"/>
    </row>
    <row r="137" spans="2:8" ht="16.5" customHeight="1" x14ac:dyDescent="0.25">
      <c r="B137" s="2"/>
      <c r="G137" s="13"/>
      <c r="H137" s="13"/>
    </row>
    <row r="138" spans="2:8" ht="16.5" customHeight="1" x14ac:dyDescent="0.25">
      <c r="B138" s="2"/>
      <c r="G138" s="13"/>
      <c r="H138" s="13"/>
    </row>
    <row r="139" spans="2:8" ht="16.5" customHeight="1" x14ac:dyDescent="0.25">
      <c r="B139" s="2"/>
      <c r="G139" s="13"/>
      <c r="H139" s="13"/>
    </row>
    <row r="140" spans="2:8" ht="16.5" customHeight="1" x14ac:dyDescent="0.25">
      <c r="B140" s="2"/>
      <c r="G140" s="13"/>
      <c r="H140" s="13"/>
    </row>
    <row r="141" spans="2:8" ht="16.5" customHeight="1" x14ac:dyDescent="0.25">
      <c r="B141" s="2"/>
      <c r="G141" s="13"/>
      <c r="H141" s="13"/>
    </row>
    <row r="142" spans="2:8" ht="16.5" customHeight="1" x14ac:dyDescent="0.25">
      <c r="B142" s="2"/>
      <c r="G142" s="13"/>
      <c r="H142" s="13"/>
    </row>
    <row r="143" spans="2:8" ht="16.5" customHeight="1" x14ac:dyDescent="0.25">
      <c r="B143" s="2"/>
      <c r="G143" s="13"/>
      <c r="H143" s="13"/>
    </row>
    <row r="144" spans="2:8" ht="16.5" customHeight="1" x14ac:dyDescent="0.25">
      <c r="B144" s="2"/>
      <c r="G144" s="13"/>
      <c r="H144" s="13"/>
    </row>
    <row r="145" spans="2:8" ht="16.5" customHeight="1" x14ac:dyDescent="0.25">
      <c r="B145" s="2"/>
      <c r="G145" s="13"/>
      <c r="H145" s="13"/>
    </row>
    <row r="146" spans="2:8" ht="16.5" customHeight="1" x14ac:dyDescent="0.25">
      <c r="B146" s="2"/>
      <c r="G146" s="13"/>
      <c r="H146" s="13"/>
    </row>
    <row r="147" spans="2:8" ht="16.5" customHeight="1" x14ac:dyDescent="0.25">
      <c r="B147" s="2"/>
      <c r="G147" s="13"/>
      <c r="H147" s="13"/>
    </row>
    <row r="148" spans="2:8" ht="16.5" customHeight="1" x14ac:dyDescent="0.25">
      <c r="B148" s="2"/>
      <c r="G148" s="13"/>
      <c r="H148" s="13"/>
    </row>
    <row r="149" spans="2:8" ht="16.5" customHeight="1" x14ac:dyDescent="0.25">
      <c r="B149" s="2"/>
      <c r="F149" s="1"/>
      <c r="G149" s="13"/>
      <c r="H149" s="13"/>
    </row>
    <row r="150" spans="2:8" ht="16.5" customHeight="1" x14ac:dyDescent="0.25">
      <c r="B150" s="2"/>
      <c r="F150" s="1"/>
      <c r="G150" s="13"/>
      <c r="H150" s="13"/>
    </row>
    <row r="151" spans="2:8" ht="16.5" customHeight="1" x14ac:dyDescent="0.25">
      <c r="B151" s="2"/>
      <c r="F151" s="1"/>
      <c r="G151" s="13"/>
      <c r="H151" s="13"/>
    </row>
    <row r="152" spans="2:8" ht="16.5" customHeight="1" x14ac:dyDescent="0.25">
      <c r="B152" s="2"/>
      <c r="C152" s="1"/>
      <c r="F152" s="1"/>
      <c r="G152" s="13"/>
      <c r="H152" s="13"/>
    </row>
    <row r="153" spans="2:8" ht="16.5" customHeight="1" x14ac:dyDescent="0.25">
      <c r="B153" s="2"/>
      <c r="C153" s="1"/>
      <c r="F153" s="1"/>
      <c r="G153" s="13"/>
      <c r="H153" s="13"/>
    </row>
    <row r="154" spans="2:8" ht="16.5" customHeight="1" x14ac:dyDescent="0.25">
      <c r="B154" s="2"/>
      <c r="C154" s="1"/>
      <c r="F154" s="1"/>
      <c r="G154" s="13"/>
      <c r="H154" s="13"/>
    </row>
    <row r="155" spans="2:8" ht="16.5" customHeight="1" x14ac:dyDescent="0.25">
      <c r="B155" s="2"/>
      <c r="F155" s="1"/>
      <c r="G155" s="13"/>
      <c r="H155" s="13"/>
    </row>
    <row r="156" spans="2:8" ht="16.5" customHeight="1" x14ac:dyDescent="0.25">
      <c r="B156" s="2"/>
      <c r="F156" s="1"/>
      <c r="G156" s="13"/>
      <c r="H156" s="13"/>
    </row>
    <row r="157" spans="2:8" ht="16.5" customHeight="1" x14ac:dyDescent="0.25">
      <c r="B157" s="2"/>
      <c r="F157" s="1"/>
      <c r="G157" s="13"/>
      <c r="H157" s="13"/>
    </row>
    <row r="158" spans="2:8" ht="16.5" customHeight="1" x14ac:dyDescent="0.25">
      <c r="B158" s="2"/>
      <c r="F158" s="1"/>
      <c r="G158" s="13"/>
      <c r="H158" s="13"/>
    </row>
    <row r="159" spans="2:8" ht="16.5" customHeight="1" x14ac:dyDescent="0.25">
      <c r="B159" s="2"/>
      <c r="F159" s="1"/>
      <c r="G159" s="13"/>
      <c r="H159" s="13"/>
    </row>
    <row r="160" spans="2:8" ht="16.5" customHeight="1" x14ac:dyDescent="0.25">
      <c r="B160" s="2"/>
      <c r="G160" s="13"/>
      <c r="H160" s="13"/>
    </row>
    <row r="161" spans="1:8" ht="16.5" customHeight="1" x14ac:dyDescent="0.25">
      <c r="B161" s="2"/>
      <c r="G161" s="13"/>
      <c r="H161" s="13"/>
    </row>
    <row r="162" spans="1:8" ht="16.5" customHeight="1" x14ac:dyDescent="0.25">
      <c r="B162" s="2"/>
      <c r="G162" s="13"/>
      <c r="H162" s="13"/>
    </row>
    <row r="163" spans="1:8" ht="16.5" customHeight="1" x14ac:dyDescent="0.25">
      <c r="B163" s="2"/>
      <c r="G163" s="13"/>
      <c r="H163" s="13"/>
    </row>
    <row r="164" spans="1:8" ht="16.5" customHeight="1" x14ac:dyDescent="0.25">
      <c r="B164" s="2"/>
      <c r="F164" s="1"/>
      <c r="G164" s="13"/>
      <c r="H164" s="13"/>
    </row>
    <row r="165" spans="1:8" ht="16.5" customHeight="1" x14ac:dyDescent="0.25">
      <c r="B165" s="2"/>
      <c r="G165" s="13"/>
      <c r="H165" s="13"/>
    </row>
    <row r="166" spans="1:8" ht="16.5" customHeight="1" x14ac:dyDescent="0.25">
      <c r="B166" s="2"/>
      <c r="G166" s="13"/>
      <c r="H166" s="13"/>
    </row>
    <row r="167" spans="1:8" ht="16.5" customHeight="1" x14ac:dyDescent="0.25">
      <c r="A167" s="2"/>
      <c r="B167" s="2"/>
      <c r="G167" s="3"/>
    </row>
    <row r="168" spans="1:8" ht="16.5" customHeight="1" x14ac:dyDescent="0.25">
      <c r="A168" s="2"/>
      <c r="B168" s="2"/>
      <c r="G168" s="3"/>
    </row>
    <row r="169" spans="1:8" ht="16.5" customHeight="1" x14ac:dyDescent="0.25"/>
    <row r="170" spans="1:8" ht="16.5" customHeight="1" x14ac:dyDescent="0.25"/>
    <row r="171" spans="1:8" ht="16.5" customHeight="1" x14ac:dyDescent="0.25"/>
    <row r="172" spans="1:8" ht="16.5" customHeight="1" x14ac:dyDescent="0.25"/>
    <row r="173" spans="1:8" ht="16.5" customHeight="1" x14ac:dyDescent="0.25"/>
    <row r="174" spans="1:8" ht="16.5" customHeight="1" x14ac:dyDescent="0.25"/>
    <row r="175" spans="1:8" ht="16.5" customHeight="1" x14ac:dyDescent="0.25"/>
    <row r="176" spans="1:8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</sheetData>
  <autoFilter ref="A4:H166" xr:uid="{40A4B7A3-F207-4AF4-8579-95FFC9A7072F}"/>
  <mergeCells count="1">
    <mergeCell ref="A1:B1"/>
  </mergeCells>
  <conditionalFormatting sqref="E117:E119 E85:E86">
    <cfRule type="cellIs" dxfId="74" priority="176" operator="equal">
      <formula>"Fulfilled"</formula>
    </cfRule>
    <cfRule type="cellIs" dxfId="73" priority="185" operator="equal">
      <formula>"Not verified"</formula>
    </cfRule>
    <cfRule type="cellIs" dxfId="72" priority="219" operator="equal">
      <formula>"Fullfilled"</formula>
    </cfRule>
    <cfRule type="cellIs" dxfId="71" priority="220" operator="equal">
      <formula>"N/A"</formula>
    </cfRule>
    <cfRule type="cellIs" dxfId="70" priority="221" operator="equal">
      <formula>"Open"</formula>
    </cfRule>
  </conditionalFormatting>
  <conditionalFormatting sqref="F6:F18">
    <cfRule type="cellIs" dxfId="69" priority="166" operator="equal">
      <formula>"Fulfilled"</formula>
    </cfRule>
    <cfRule type="cellIs" dxfId="68" priority="167" operator="equal">
      <formula>"Not verified"</formula>
    </cfRule>
    <cfRule type="cellIs" dxfId="67" priority="168" operator="equal">
      <formula>"Fullfilled"</formula>
    </cfRule>
    <cfRule type="cellIs" dxfId="66" priority="169" operator="equal">
      <formula>"N/A"</formula>
    </cfRule>
    <cfRule type="cellIs" dxfId="65" priority="170" operator="equal">
      <formula>"Open"</formula>
    </cfRule>
  </conditionalFormatting>
  <conditionalFormatting sqref="E82:E84">
    <cfRule type="cellIs" dxfId="64" priority="106" operator="equal">
      <formula>"Fulfilled"</formula>
    </cfRule>
    <cfRule type="cellIs" dxfId="63" priority="107" operator="equal">
      <formula>"Not verified"</formula>
    </cfRule>
    <cfRule type="cellIs" dxfId="62" priority="108" operator="equal">
      <formula>"Fullfilled"</formula>
    </cfRule>
    <cfRule type="cellIs" dxfId="61" priority="109" operator="equal">
      <formula>"N/A"</formula>
    </cfRule>
    <cfRule type="cellIs" dxfId="60" priority="110" operator="equal">
      <formula>"Open"</formula>
    </cfRule>
  </conditionalFormatting>
  <conditionalFormatting sqref="E87:E93">
    <cfRule type="cellIs" dxfId="59" priority="96" operator="equal">
      <formula>"Fulfilled"</formula>
    </cfRule>
    <cfRule type="cellIs" dxfId="58" priority="97" operator="equal">
      <formula>"Not verified"</formula>
    </cfRule>
    <cfRule type="cellIs" dxfId="57" priority="98" operator="equal">
      <formula>"Fullfilled"</formula>
    </cfRule>
    <cfRule type="cellIs" dxfId="56" priority="99" operator="equal">
      <formula>"N/A"</formula>
    </cfRule>
    <cfRule type="cellIs" dxfId="55" priority="100" operator="equal">
      <formula>"Open"</formula>
    </cfRule>
  </conditionalFormatting>
  <conditionalFormatting sqref="E94">
    <cfRule type="cellIs" dxfId="54" priority="81" operator="equal">
      <formula>"Fulfilled"</formula>
    </cfRule>
    <cfRule type="cellIs" dxfId="53" priority="82" operator="equal">
      <formula>"Not verified"</formula>
    </cfRule>
    <cfRule type="cellIs" dxfId="52" priority="83" operator="equal">
      <formula>"Fullfilled"</formula>
    </cfRule>
    <cfRule type="cellIs" dxfId="51" priority="84" operator="equal">
      <formula>"N/A"</formula>
    </cfRule>
    <cfRule type="cellIs" dxfId="50" priority="85" operator="equal">
      <formula>"Open"</formula>
    </cfRule>
  </conditionalFormatting>
  <conditionalFormatting sqref="E95:E102">
    <cfRule type="cellIs" dxfId="49" priority="76" operator="equal">
      <formula>"Fulfilled"</formula>
    </cfRule>
    <cfRule type="cellIs" dxfId="48" priority="77" operator="equal">
      <formula>"Not verified"</formula>
    </cfRule>
    <cfRule type="cellIs" dxfId="47" priority="78" operator="equal">
      <formula>"Fullfilled"</formula>
    </cfRule>
    <cfRule type="cellIs" dxfId="46" priority="79" operator="equal">
      <formula>"N/A"</formula>
    </cfRule>
    <cfRule type="cellIs" dxfId="45" priority="80" operator="equal">
      <formula>"Open"</formula>
    </cfRule>
  </conditionalFormatting>
  <conditionalFormatting sqref="E103:E109">
    <cfRule type="cellIs" dxfId="44" priority="71" operator="equal">
      <formula>"Fulfilled"</formula>
    </cfRule>
    <cfRule type="cellIs" dxfId="43" priority="72" operator="equal">
      <formula>"Not verified"</formula>
    </cfRule>
    <cfRule type="cellIs" dxfId="42" priority="73" operator="equal">
      <formula>"Fullfilled"</formula>
    </cfRule>
    <cfRule type="cellIs" dxfId="41" priority="74" operator="equal">
      <formula>"N/A"</formula>
    </cfRule>
    <cfRule type="cellIs" dxfId="40" priority="75" operator="equal">
      <formula>"Open"</formula>
    </cfRule>
  </conditionalFormatting>
  <conditionalFormatting sqref="E110:E112">
    <cfRule type="cellIs" dxfId="39" priority="66" operator="equal">
      <formula>"Fulfilled"</formula>
    </cfRule>
    <cfRule type="cellIs" dxfId="38" priority="67" operator="equal">
      <formula>"Not verified"</formula>
    </cfRule>
    <cfRule type="cellIs" dxfId="37" priority="68" operator="equal">
      <formula>"Fullfilled"</formula>
    </cfRule>
    <cfRule type="cellIs" dxfId="36" priority="69" operator="equal">
      <formula>"N/A"</formula>
    </cfRule>
    <cfRule type="cellIs" dxfId="35" priority="70" operator="equal">
      <formula>"Open"</formula>
    </cfRule>
  </conditionalFormatting>
  <conditionalFormatting sqref="E113:E116">
    <cfRule type="cellIs" dxfId="34" priority="61" operator="equal">
      <formula>"Fulfilled"</formula>
    </cfRule>
    <cfRule type="cellIs" dxfId="33" priority="62" operator="equal">
      <formula>"Not verified"</formula>
    </cfRule>
    <cfRule type="cellIs" dxfId="32" priority="63" operator="equal">
      <formula>"Fullfilled"</formula>
    </cfRule>
    <cfRule type="cellIs" dxfId="31" priority="64" operator="equal">
      <formula>"N/A"</formula>
    </cfRule>
    <cfRule type="cellIs" dxfId="30" priority="65" operator="equal">
      <formula>"Open"</formula>
    </cfRule>
  </conditionalFormatting>
  <conditionalFormatting sqref="E136:E138">
    <cfRule type="cellIs" dxfId="29" priority="36" operator="equal">
      <formula>"Fulfilled"</formula>
    </cfRule>
    <cfRule type="cellIs" dxfId="28" priority="37" operator="equal">
      <formula>"Not verified"</formula>
    </cfRule>
    <cfRule type="cellIs" dxfId="27" priority="38" operator="equal">
      <formula>"Fullfilled"</formula>
    </cfRule>
    <cfRule type="cellIs" dxfId="26" priority="39" operator="equal">
      <formula>"N/A"</formula>
    </cfRule>
    <cfRule type="cellIs" dxfId="25" priority="40" operator="equal">
      <formula>"Open"</formula>
    </cfRule>
  </conditionalFormatting>
  <conditionalFormatting sqref="E139 E120:E135">
    <cfRule type="cellIs" dxfId="24" priority="31" operator="equal">
      <formula>"Fulfilled"</formula>
    </cfRule>
    <cfRule type="cellIs" dxfId="23" priority="32" operator="equal">
      <formula>"Not verified"</formula>
    </cfRule>
    <cfRule type="cellIs" dxfId="22" priority="33" operator="equal">
      <formula>"Fullfilled"</formula>
    </cfRule>
    <cfRule type="cellIs" dxfId="21" priority="34" operator="equal">
      <formula>"N/A"</formula>
    </cfRule>
    <cfRule type="cellIs" dxfId="20" priority="35" operator="equal">
      <formula>"Open"</formula>
    </cfRule>
  </conditionalFormatting>
  <conditionalFormatting sqref="E140:E148">
    <cfRule type="cellIs" dxfId="19" priority="26" operator="equal">
      <formula>"Fulfilled"</formula>
    </cfRule>
    <cfRule type="cellIs" dxfId="18" priority="27" operator="equal">
      <formula>"Not verified"</formula>
    </cfRule>
    <cfRule type="cellIs" dxfId="17" priority="28" operator="equal">
      <formula>"Fullfilled"</formula>
    </cfRule>
    <cfRule type="cellIs" dxfId="16" priority="29" operator="equal">
      <formula>"N/A"</formula>
    </cfRule>
    <cfRule type="cellIs" dxfId="15" priority="30" operator="equal">
      <formula>"Open"</formula>
    </cfRule>
  </conditionalFormatting>
  <conditionalFormatting sqref="E149:E168">
    <cfRule type="cellIs" dxfId="14" priority="16" operator="equal">
      <formula>"Fulfilled"</formula>
    </cfRule>
    <cfRule type="cellIs" dxfId="13" priority="17" operator="equal">
      <formula>"Not verified"</formula>
    </cfRule>
    <cfRule type="cellIs" dxfId="12" priority="18" operator="equal">
      <formula>"Fullfilled"</formula>
    </cfRule>
    <cfRule type="cellIs" dxfId="11" priority="19" operator="equal">
      <formula>"N/A"</formula>
    </cfRule>
    <cfRule type="cellIs" dxfId="10" priority="20" operator="equal">
      <formula>"Open"</formula>
    </cfRule>
  </conditionalFormatting>
  <conditionalFormatting sqref="E7:E81">
    <cfRule type="cellIs" dxfId="9" priority="6" operator="equal">
      <formula>"Fulfilled"</formula>
    </cfRule>
    <cfRule type="cellIs" dxfId="8" priority="7" operator="equal">
      <formula>"Not verified"</formula>
    </cfRule>
    <cfRule type="cellIs" dxfId="7" priority="8" operator="equal">
      <formula>"Fullfilled"</formula>
    </cfRule>
    <cfRule type="cellIs" dxfId="6" priority="9" operator="equal">
      <formula>"N/A"</formula>
    </cfRule>
    <cfRule type="cellIs" dxfId="5" priority="10" operator="equal">
      <formula>"Open"</formula>
    </cfRule>
  </conditionalFormatting>
  <conditionalFormatting sqref="E5:E6">
    <cfRule type="cellIs" dxfId="4" priority="1" operator="equal">
      <formula>"Fulfilled"</formula>
    </cfRule>
    <cfRule type="cellIs" dxfId="3" priority="2" operator="equal">
      <formula>"Not verified"</formula>
    </cfRule>
    <cfRule type="cellIs" dxfId="2" priority="3" operator="equal">
      <formula>"Fullfilled"</formula>
    </cfRule>
    <cfRule type="cellIs" dxfId="1" priority="4" operator="equal">
      <formula>"N/A"</formula>
    </cfRule>
    <cfRule type="cellIs" dxfId="0" priority="5" operator="equal">
      <formula>"Open"</formula>
    </cfRule>
  </conditionalFormatting>
  <hyperlinks>
    <hyperlink ref="G5" r:id="rId1" tooltip="https://azure.microsoft.com/global-infrastructure/services/?products=virtual-desktop" xr:uid="{B09A0061-A330-4875-83D0-3E4B677A78A0}"/>
    <hyperlink ref="G6" r:id="rId2" tooltip="https://docs.microsoft.com/azure/architecture/reference-architectures/hybrid-networking/" xr:uid="{466B8AB2-C06A-4276-897E-D97FCDC7C334}"/>
    <hyperlink ref="G7" r:id="rId3" tooltip="https://azure.microsoft.com/services/virtual-desktop/assessment/ " xr:uid="{618CF45C-B9D1-45C9-865E-D1FBB043F369}"/>
    <hyperlink ref="G8" r:id="rId4" tooltip="https://docs.microsoft.com/azure/virtual-desktop/data-locations " xr:uid="{4405C2AF-B64B-4007-961F-9BCE07A8C1A9}"/>
    <hyperlink ref="G9" r:id="rId5" tooltip="https://docs.microsoft.com/azure/azure-resource-manager/management/azure-subscription-service-limits" xr:uid="{5E427FCA-30FB-44C5-BA26-8F28D3577E26}"/>
    <hyperlink ref="G10" r:id="rId6" tooltip="https://docs.microsoft.com/azure/availability-zones/az-region" xr:uid="{E3BBE0A7-6FFE-4539-833B-50E9B1830F23}"/>
    <hyperlink ref="G11" r:id="rId7" tooltip="https://docs.microsoft.com/azure/virtual-desktop/faq" xr:uid="{EDD1E962-F167-425B-B302-64EF03EE6E47}"/>
    <hyperlink ref="G12" r:id="rId8" tooltip="https://docs.microsoft.com/azure/virtual-desktop/environment-setup" xr:uid="{5614E269-3378-40DE-AA0D-A96A063F4BBE}"/>
    <hyperlink ref="G13" r:id="rId9" tooltip="https://docs.microsoft.com/azure/virtual-desktop/overview" xr:uid="{9AF40927-7444-4867-A9CA-6B261795FB02}"/>
    <hyperlink ref="G14" r:id="rId10" tooltip="https://docs.microsoft.com/azure/virtual-desktop/connect-windows-7-10" xr:uid="{BA74A70E-3D95-4707-B9A7-8213FB675D85}"/>
    <hyperlink ref="G15" r:id="rId11" tooltip="https://azure.microsoft.com/pricing/details/virtual-desktop/" xr:uid="{741F294D-EBBD-46ED-9E4B-50258FD15BA3}"/>
    <hyperlink ref="G16" r:id="rId12" tooltip="https://azure.microsoft.com/services/virtual-desktop/assessment/ " xr:uid="{B791E759-0F2C-4E31-9AEC-694AB84242FE}"/>
    <hyperlink ref="G17" r:id="rId13" tooltip="https://docs.microsoft.com/azure/virtual-desktop/manage-app-groups" xr:uid="{DA133AED-69C8-420A-AE2B-A18845F03CC7}"/>
    <hyperlink ref="G18" r:id="rId14" tooltip="https://docs.microsoft.com/azure/virtual-desktop/customize-rdp-properties" xr:uid="{8D2DD4C0-18F5-46D9-99E0-8E4205A922DD}"/>
    <hyperlink ref="G19" r:id="rId15" location="begin-the-host-pool-setup-process" tooltip="https://docs.microsoft.com/azure/virtual-desktop/create-host-pools-azure-marketplace#begin-the-host-pool-setup-process" xr:uid="{C2364EFB-1A85-4BE1-A8C2-9EF937D5D0BC}"/>
    <hyperlink ref="G20" r:id="rId16" tooltip="https://docs.microsoft.com/azure/virtual-desktop/configure-host-pool-personal-desktop-assignment-type" xr:uid="{AE514A04-8F61-4F00-B4EF-27260EC3D301}"/>
    <hyperlink ref="G21" r:id="rId17" tooltip="https://docs.microsoft.com/azure/virtual-desktop/host-pool-load-balancing " xr:uid="{1963AE61-8E26-40D2-83E9-6B6E2CBF095C}"/>
    <hyperlink ref="G22" r:id="rId18" tooltip="https://docs.microsoft.com/azure/virtual-desktop/environment-setup" xr:uid="{BECB903A-975F-4281-8234-C17830CE9058}"/>
    <hyperlink ref="G23" r:id="rId19" tooltip="https://docs.microsoft.com/windows-server/remote/remote-desktop-services/virtual-machine-recs" xr:uid="{3C969276-9F62-4185-AAE1-5882EF7A9B69}"/>
    <hyperlink ref="G24" r:id="rId20" location="azure-limitations" tooltip="https://docs.microsoft.com/azure/architecture/example-scenario/wvd/windows-virtual-desktop#azure-limitations" xr:uid="{D52CBE02-F7DD-478A-B0AE-CEAB81D687F5}"/>
    <hyperlink ref="G25" r:id="rId21" tooltip="https://docs.microsoft.com/azure/virtual-desktop/configure-vm-gpu " xr:uid="{8C8701D3-6AA8-443C-9BB2-9A563AA0C6E5}"/>
    <hyperlink ref="G26" r:id="rId22" location="supported-operating-systems" tooltip="https://docs.microsoft.com/azure/virtual-network/create-vm-accelerated-networking-powershell#supported-operating-systems" xr:uid="{7D160B16-36BF-49F0-AF03-55B80036F1B3}"/>
    <hyperlink ref="G27" r:id="rId23" location="requirements" tooltip="https://docs.microsoft.com/azure/virtual-desktop/overview#requirements" xr:uid="{3B5E8A69-6C7E-419E-AFD5-63B8D334A721}"/>
    <hyperlink ref="G28" r:id="rId24" location="requirements" tooltip="https://docs.microsoft.com/azure/virtual-desktop/overview#requirements" xr:uid="{B9AEC0A2-C4CB-48E8-9405-8E570D4DAE49}"/>
    <hyperlink ref="G29" r:id="rId25" location="requirements" tooltip="https://docs.microsoft.com/azure/virtual-desktop/overview#requirements" xr:uid="{895A4E18-35C8-40FD-9FC5-650D7A89893F}"/>
    <hyperlink ref="G30" r:id="rId26" location="requirements" tooltip="https://docs.microsoft.com/azure/virtual-desktop/overview#requirements" xr:uid="{456CEEB1-C231-49DB-B4F1-9808631D2BD1}"/>
    <hyperlink ref="G31" r:id="rId27" tooltip="https://docs.microsoft.com/azure/active-directory-domain-services/compare-identity-solutions" xr:uid="{BDF6269F-A219-4AB7-9F38-E4061EA69140}"/>
    <hyperlink ref="G32" r:id="rId28" location="requirements" tooltip="https://docs.microsoft.com/azure/virtual-desktop/overview#requirements" xr:uid="{4708C69C-732E-42D9-8F86-7962CF054088}"/>
    <hyperlink ref="G33" r:id="rId29" tooltip="https://docs.microsoft.com/azure/virtual-desktop/create-host-pools-azure-marketplace" xr:uid="{7BEC577D-645A-45AE-B84A-096A824F9EB7}"/>
    <hyperlink ref="G34" r:id="rId30" tooltip="https://docs.microsoft.com/previous-versions/windows/desktop/Policy/group-policy-hierarchy" xr:uid="{9EDAAD13-B707-4F5F-82A8-0824DA6BBCDC}"/>
    <hyperlink ref="G35" r:id="rId31" tooltip="https://docs.microsoft.com/azure/virtual-desktop/create-host-pools-azure-marketplace" xr:uid="{38A3D5D2-00E7-4276-9923-010C236238E4}"/>
    <hyperlink ref="G36" r:id="rId32" tooltip="https://docs.microsoft.com/azure/virtual-desktop/manage-app-groups" xr:uid="{D7471856-1165-4326-B0BA-0C85CD5951F0}"/>
    <hyperlink ref="G37" r:id="rId33" tooltip="https://docs.microsoft.com/azure/storage/files/storage-files-identity-ad-ds-enable" xr:uid="{EB18FFB9-5416-4BDF-A979-80EE0D33E7D8}"/>
    <hyperlink ref="G38" r:id="rId34" tooltip="https://docs.microsoft.com/azure/architecture/reference-architectures/hybrid-networking/" xr:uid="{539754AB-61F2-45BE-A08D-C502D67F087D}"/>
    <hyperlink ref="G39" r:id="rId35" tooltip="https://docs.microsoft.com/azure/architecture/reference-architectures/hybrid-networking/" xr:uid="{1AEC326C-ED9C-496A-94C8-A3AFBD7A1B54}"/>
    <hyperlink ref="G40" r:id="rId36" location="choose-a-networking-architecture" tooltip="https://docs.microsoft.com/azure/cloud-adoption-framework/ready/considerations/networking-options#choose-a-networking-architecture" xr:uid="{261B7DEC-4339-40A4-B9DA-89E1D93DF574}"/>
    <hyperlink ref="G41" r:id="rId37" location="best-practices " tooltip="https://docs.microsoft.com/azure/architecture/example-scenario/wvd/windows-virtual-desktop-fslogix#best-practices " xr:uid="{635EC554-E84A-460F-B9E0-E9D8F4862ED7}"/>
    <hyperlink ref="G42" r:id="rId38" tooltip="https://aka.ms/wvdfirewall" xr:uid="{E839B7DA-8042-40C5-AD81-0516A269F256}"/>
    <hyperlink ref="G43" r:id="rId39" tooltip="https://techcommunity.microsoft.com/t5/microsoft-defender-for-endpoint/windows-virtual-desktop-support-is-now-generally-available/ba-p/2103712 " xr:uid="{9D0CF7F2-1057-4B7C-A205-64407A9B9F14}"/>
    <hyperlink ref="G44" r:id="rId40" location="host-pool-outbound-access-to-windows-virtual-desktop" tooltip="https://docs.microsoft.com/azure/firewall/protect-windows-virtual-desktop#host-pool-outbound-access-to-windows-virtual-desktop" xr:uid="{53282C53-B1E2-449D-9D5C-4DF65F1D4E79}"/>
    <hyperlink ref="G45" r:id="rId41" tooltip="https://docs.microsoft.com/azure/virtual-desktop/safe-url-list" xr:uid="{C63F8C0C-89EC-4C9F-839B-06FD045BAFA7}"/>
    <hyperlink ref="G46" r:id="rId42" tooltip="https://docs.microsoft.com/windows-server/remote/remote-desktop-services/network-guidance" xr:uid="{01BC1C4E-80BC-4CE6-A545-20E24AB24D9E}"/>
    <hyperlink ref="G47" r:id="rId43" tooltip="https://docs.microsoft.com/azure/virtual-desktop/set-up-customize-master-image" xr:uid="{45BC505D-4282-470D-A7AE-931CBC62EA60}"/>
    <hyperlink ref="G48" r:id="rId44" tooltip="https://docs.microsoft.com/azure/virtual-desktop/create-host-pools-azure-marketplace" xr:uid="{2D1D617D-9625-418F-B5D4-D9B7AB380B97}"/>
    <hyperlink ref="G49" r:id="rId45" location="supported-virtual-machine-os-images" tooltip="https://docs.microsoft.com/azure/virtual-desktop/overview#supported-virtual-machine-os-images" xr:uid="{11F6F287-4141-4709-9D0F-624CEC877D22}"/>
    <hyperlink ref="G50" r:id="rId46" tooltip="https://docs.microsoft.com/azure/virtual-machines/image-builder-overview" xr:uid="{83DB24F8-9AD4-4467-9EC3-08B8E7E4D0F4}"/>
    <hyperlink ref="G51" r:id="rId47" tooltip="https://docs.microsoft.com/azure/virtual-machines/windows/shared-image-galleries" xr:uid="{C8EC9B6F-8932-4680-8AC1-61D97B980FFD}"/>
    <hyperlink ref="G52" r:id="rId48" tooltip="https://docs.microsoft.com/azure/virtual-desktop/set-up-customize-master-image " xr:uid="{441F6DC6-81CB-4583-9217-7FE3CA0673DD}"/>
    <hyperlink ref="G53" r:id="rId49" tooltip="https://github.com/The-Virtual-Desktop-Team/Virtual-Desktop-Optimization-Tool" xr:uid="{8D40363E-A742-4465-8E84-C91B38524B56}"/>
    <hyperlink ref="G54" r:id="rId50" tooltip="https://docs.microsoft.com/mem/intune/fundamentals/windows-virtual-desktop-multi-session" xr:uid="{BEB540A6-404D-4273-A8E5-9E2AE3BED84F}"/>
    <hyperlink ref="G55" r:id="rId51" location="install-onedrive-in-per-machine-mode " tooltip="https://docs.microsoft.com/azure/virtual-desktop/install-office-on-wvd-master-image#install-onedrive-in-per-machine-mode " xr:uid="{37A60B3C-C0C3-4489-9391-351F884333A5}"/>
    <hyperlink ref="G56" r:id="rId52" tooltip="https://docs.microsoft.com/azure/virtual-desktop/teams-on-wvd" xr:uid="{6FE8FC8B-9461-4E19-A99B-C926813C01F7}"/>
    <hyperlink ref="G57" r:id="rId53" location="storage-recommendations" tooltip="https://docs.microsoft.com/azure/virtual-desktop/app-attach-file-share#storage-recommendations" xr:uid="{A677166A-A803-437E-9A16-3B17026F331E}"/>
    <hyperlink ref="G58" r:id="rId54" location="optimize-msix-app-attach-performance" tooltip="https://docs.microsoft.com/azure/virtual-desktop/app-attach-file-share#optimize-msix-app-attach-performance" xr:uid="{6E7BB98C-0132-4FE6-8CA6-FDD4D8EFB65F}"/>
    <hyperlink ref="G59" r:id="rId55" location="how-to-set-up-the-file-share" tooltip="https://docs.microsoft.com/azure/virtual-desktop/app-attach-file-share#how-to-set-up-the-file-share" xr:uid="{22E78F92-6419-40B1-8D28-5530D81DF026}"/>
    <hyperlink ref="G60" r:id="rId56" location="how-do-i-get-an-msix-package" tooltip="https://docs.microsoft.com/azure/virtual-desktop/app-attach-faq#how-do-i-get-an-msix-package" xr:uid="{B267501A-ED9E-4DA8-B5C4-74BB0C188F23}"/>
    <hyperlink ref="G61" r:id="rId57" location="should-i-disable-auto-update-when-using-msix-app-attach�https://docs.microsoft.com/azure/virtual-desktop/app-attach-azure-portal#turn-off-automatic-updates-for-msix-app-attach-applications" tooltip="https://docs.microsoft.com/azure/virtual-desktop/app-attach-faq#should-i-disable-auto-update-when-using-msix-app-attach�https://docs.microsoft.com/azure/virtual-desktop/app-attach-azure-portal#turn-off-automatic-updates-for-msix-app-attach-applications" xr:uid="{A1B41113-D472-4FF6-BF17-C80DE3214F71}"/>
    <hyperlink ref="G62" r:id="rId58" location="which-operating-systems-support-msix-app-attach" tooltip="https://docs.microsoft.com/azure/virtual-desktop/app-attach-faq#which-operating-systems-support-msix-app-attach" xr:uid="{2396057F-967A-41EC-8CAE-07C5DB157118}"/>
    <hyperlink ref="G63" r:id="rId59" tooltip="https://docs.microsoft.com/azure/virtual-machines/disks-types" xr:uid="{91B307FD-2DF3-447C-A543-2A8E01DAD6D0}"/>
    <hyperlink ref="G64" r:id="rId60" tooltip="https://docs.microsoft.com/azure/virtual-desktop/store-fslogix-profile " xr:uid="{2E8F2C7C-55F3-47C8-A342-3E959E504D7B}"/>
    <hyperlink ref="G65" r:id="rId61" tooltip="https://docs.microsoft.com/fslogix/profile-container-office-container-cncpt" xr:uid="{EFB6C76D-3021-494D-BD1A-1E8DDFFBCE2A}"/>
    <hyperlink ref="G66" r:id="rId62" location="performance-requirements" tooltip="https://docs.microsoft.com/azure/architecture/example-scenario/wvd/windows-virtual-desktop-fslogix#performance-requirements" xr:uid="{601E808F-86D3-4544-BDEE-38847651E7AB}"/>
    <hyperlink ref="G67" r:id="rId63" tooltip="https://azure.microsoft.com/global-infrastructure/services/ " xr:uid="{8A3F0056-83E0-490C-A5C7-C4159EA415CB}"/>
    <hyperlink ref="G68" r:id="rId64" location="best-practices-for-windows-virtual-desktop" tooltip="https://docs.microsoft.com/azure/virtual-desktop/fslogix-containers-azure-files#best-practices-for-windows-virtual-desktop" xr:uid="{7DE9A0EE-549A-4AD8-8E2D-F67E40C7A699}"/>
    <hyperlink ref="G69" r:id="rId65" location="antivirus-exclusions" tooltip="https://docs.microsoft.com/azure/architecture/example-scenario/wvd/windows-virtual-desktop-fslogix#antivirus-exclusions" xr:uid="{AE3C1D7E-FF8A-49C9-AF3F-38FAFDEBC8B8}"/>
    <hyperlink ref="G70" r:id="rId66" location="best-practice-settings-for-enterprises" tooltip="https://docs.microsoft.com/azure/architecture/example-scenario/wvd/windows-virtual-desktop-fslogix#best-practice-settings-for-enterprises" xr:uid="{39554741-9F54-4FAC-BD7B-BB49956E9C2C}"/>
    <hyperlink ref="G71" r:id="rId67" location="multiple-profile-connections" tooltip="https://docs.microsoft.com/azure/architecture/example-scenario/wvd/windows-virtual-desktop-fslogix#multiple-profile-connections" xr:uid="{1E8D2646-93E8-4F41-9A06-46A8749D0808}"/>
    <hyperlink ref="G72" r:id="rId68" location="azure-platform-details" tooltip="https://docs.microsoft.com/azure/virtual-desktop/store-fslogix-profile#azure-platform-details" xr:uid="{7B22004E-BC13-4363-BCD0-EC20125A3B75}"/>
    <hyperlink ref="G73" r:id="rId69" location="azure-files-best-practices " tooltip="https://docs.microsoft.com/azure/architecture/example-scenario/wvd/windows-virtual-desktop-fslogix#azure-files-best-practices " xr:uid="{B4439090-B49F-4934-B785-38827B4542C5}"/>
    <hyperlink ref="G74" r:id="rId70" location="azure-netapp-files-best-practices " tooltip="https://docs.microsoft.com/azure/architecture/example-scenario/wvd/windows-virtual-desktop-fslogix#azure-netapp-files-best-practices " xr:uid="{086B2D04-E6FC-4D88-BD66-18B5343EF3AB}"/>
    <hyperlink ref="G75" r:id="rId71" location="sizeinmbs" tooltip="https://docs.microsoft.com/fslogix/profile-container-configuration-reference#sizeinmbs" xr:uid="{525027EA-9DD9-4A57-8133-3556A1EF1D95}"/>
    <hyperlink ref="G76" r:id="rId72" location="establish-tiered-admin-access" tooltip="https://docs.microsoft.com/azure/virtual-desktop/security-guide#establish-tiered-admin-access" xr:uid="{011F2BEA-CC71-4649-AA9E-516C2B524152}"/>
    <hyperlink ref="G77" r:id="rId73" location="enable-endpoint-protection" tooltip="https://docs.microsoft.com/azure/virtual-desktop/security-guide#enable-endpoint-protection" xr:uid="{E48F24CA-9DC9-4785-9C83-9EA0FE171862}"/>
    <hyperlink ref="G78" r:id="rId74" location="antivirus-exclusions" tooltip="https://docs.microsoft.com/azure/architecture/example-scenario/wvd/windows-virtual-desktop-fslogix#antivirus-exclusions" xr:uid="{9C5A5269-3AC6-4FA6-81CB-4C6A19D0B121}"/>
    <hyperlink ref="G79" r:id="rId75" tooltip="https://docs.microsoft.com/azure/virtual-desktop/security-guide" xr:uid="{25AFB495-CC2C-4E75-B4B1-2564FE2FE4AE}"/>
    <hyperlink ref="G80" r:id="rId76" tooltip="https://techcommunity.microsoft.com/t5/microsoft-defender-for-endpoint/windows-virtual-desktop-support-is-now-generally-available/ba-p/2103712" xr:uid="{4DD05553-48F0-4788-A47B-F5A2D42F4E0A}"/>
    <hyperlink ref="G81" r:id="rId77" location="enable-azure-security-center" tooltip="https://docs.microsoft.com/azure/virtual-desktop/security-guide#enable-azure-security-center" xr:uid="{54F3D62F-A7D3-40D5-BCFA-76376186867F}"/>
    <hyperlink ref="G82" r:id="rId78" location="establish-maximum-inactive-time-and-disconnection-policies" tooltip="https://docs.microsoft.com/azure/virtual-desktop/security-guide#establish-maximum-inactive-time-and-disconnection-policies" xr:uid="{82B21826-D6F0-45CA-B239-93DD2898D583}"/>
    <hyperlink ref="G83" r:id="rId79" tooltip="https://docs.microsoft.com/azure/virtual-desktop/set-up-mfa" xr:uid="{8AF6CD5A-992E-46BB-A344-2F664CCD046D}"/>
    <hyperlink ref="G84" r:id="rId80" location="enable-conditional-access" tooltip="https://docs.microsoft.com/azure/virtual-desktop/security-guide#enable-conditional-access" xr:uid="{379BD284-E54A-4DBC-BBAD-C85305509182}"/>
    <hyperlink ref="G85" r:id="rId81" location="collect-audit-logs" tooltip="https://docs.microsoft.com/azure/virtual-desktop/security-guide#collect-audit-logs" xr:uid="{B282E7C1-4689-46A9-860B-A37F09C9C1B6}"/>
    <hyperlink ref="G86" r:id="rId82" tooltip="https://docs.microsoft.com/azure/virtual-desktop/rbac" xr:uid="{BD8023C8-EDAF-427C-946D-F8734349F83D}"/>
    <hyperlink ref="G87" r:id="rId83" tooltip="https://docs.microsoft.com/azure/virtual-desktop/security-guide" xr:uid="{FC1D1BAB-9D2E-4CF7-81DE-FC68D5600B7E}"/>
    <hyperlink ref="G88" r:id="rId84" tooltip="https://docs.microsoft.com/azure/virtual-desktop/azure-monitor" xr:uid="{6E56082E-497E-483A-905C-8D56A5EA4D86}"/>
    <hyperlink ref="G89" r:id="rId85" tooltip="https://docs.microsoft.com/azure/virtual-desktop/diagnostics-log-analytics" xr:uid="{EF34141F-3FE1-4EFB-8C96-8D99051603C7}"/>
    <hyperlink ref="G90" r:id="rId86" tooltip="https://docs.microsoft.com/azure/storage/files/storage-files-monitoring?tabs=azure-portal " xr:uid="{570B7373-3157-4003-A898-70AA214ADD08}"/>
    <hyperlink ref="G91" r:id="rId87" tooltip="https://docs.microsoft.com/azure/virtual-desktop/set-up-service-alerts" xr:uid="{013B7625-0EAA-48C4-AF86-D50040734CE9}"/>
    <hyperlink ref="G92" r:id="rId88" tooltip="https://docs.microsoft.com/azure/virtual-desktop/set-up-scaling-script" xr:uid="{F6216B88-B571-4C97-932F-680ED2419126}"/>
    <hyperlink ref="G93" r:id="rId89" tooltip="https://docs.microsoft.com/azure/virtual-desktop/azure-advisor" xr:uid="{EB9AD648-184C-438E-9554-808E6B063A06}"/>
    <hyperlink ref="G94" r:id="rId90" tooltip="https://docs.microsoft.com/azure/virtual-machines/windows/image-builder-virtual-desktop" xr:uid="{77F4106D-3151-4FD7-BC80-46345DDC3D28}"/>
    <hyperlink ref="G95" r:id="rId91" tooltip="https://docs.microsoft.com/azure/virtual-machines/windows/image-builder-virtual-desktop" xr:uid="{AE5C0511-77FB-45B9-84E3-05421383263A}"/>
    <hyperlink ref="G96" r:id="rId92" tooltip="https://docs.microsoft.com/azure/virtual-desktop/create-validation-host-pool " xr:uid="{536A3F6D-6CE3-4D74-8000-CAF7CF3E1D2C}"/>
    <hyperlink ref="G97" r:id="rId93" tooltip="https://github.com/Azure/RDS-Templates/tree/master/wvd-templates" xr:uid="{1862B8EA-74E4-407F-AC18-F36624B40CAB}"/>
    <hyperlink ref="G98" r:id="rId94" location="how-often-should-i-turn-my-vms-on-to-prevent-registration-issues" tooltip="https://docs.microsoft.com/azure/virtual-desktop/faq#how-often-should-i-turn-my-vms-on-to-prevent-registration-issues" xr:uid="{E89464AC-0D22-4BE1-A517-E4DEB5D11192}"/>
    <hyperlink ref="G99" r:id="rId95" tooltip="https://azure.microsoft.com/support/legal/sla/virtual-desktop/v1_0/" xr:uid="{1620D631-ACEA-4914-A8DE-376807DA025D}"/>
    <hyperlink ref="G100" r:id="rId96" tooltip="https://docs.microsoft.com/azure/virtual-desktop/disaster-recovery" xr:uid="{1F44D706-8D03-4D35-9730-A24C98A36FAD}"/>
    <hyperlink ref="G101" r:id="rId97" tooltip="https://docs.microsoft.com/azure/virtual-desktop/disaster-recovery" xr:uid="{F431AF41-072B-42F5-AD09-675B1FAB7DDA}"/>
    <hyperlink ref="G102" r:id="rId98" location="can-i-set-availability-options-when-creating-host-pools" tooltip="https://docs.microsoft.com/azure/virtual-desktop/faq#can-i-set-availability-options-when-creating-host-pools" xr:uid="{05A4A7B5-74F1-49CC-ADA4-3B05C51ADD4B}"/>
    <hyperlink ref="G103" r:id="rId99" tooltip="https://docs.microsoft.com/azure/virtual-desktop/disaster-recovery" xr:uid="{BD53F9D4-77DB-4E63-97E2-36D29284F9AB}"/>
    <hyperlink ref="G104" r:id="rId100" tooltip="https://docs.microsoft.com/fslogix/manage-profile-content-cncpt " xr:uid="{31632EFA-1AFE-439F-B0BE-44FAA2BB5840}"/>
    <hyperlink ref="G105" r:id="rId101" tooltip="https://docs.microsoft.com/azure/virtual-desktop/disaster-recovery" xr:uid="{6340C627-D624-41CD-8D25-FD885ACE1D41}"/>
    <hyperlink ref="G106" r:id="rId102" tooltip="https://docs.microsoft.com/azure/virtual-desktop/disaster-recovery" xr:uid="{AAB7F98A-0C2D-4A85-B83D-AD7C83BE6E39}"/>
    <hyperlink ref="G107" r:id="rId103" tooltip="https://docs.microsoft.com/azure/azure-netapp-files/azure-netapp-files-manage-snapshots" xr:uid="{CC350E21-CA6C-47D5-88EC-1E38BC017FF1}"/>
    <hyperlink ref="G108" r:id="rId104" tooltip="https://docs.microsoft.com/azure/backup/backup-afs" xr:uid="{1C229B68-0CF2-42B0-862D-60A5BC6C8F93}"/>
    <hyperlink ref="G109" r:id="rId105" tooltip="https://docs.microsoft.com/azure/virtual-machines/windows/shared-images-portal" xr:uid="{E9238CAF-013A-4A14-8B65-7DEE33CF2115}"/>
    <hyperlink ref="G110" r:id="rId106" tooltip="https://docs.microsoft.com/azure/virtual-desktop/disaster-recovery" xr:uid="{F3E64BE8-46A7-4AB0-B156-E4C234027FC6}"/>
  </hyperlinks>
  <pageMargins left="0.7" right="0.7" top="0.75" bottom="0.75" header="0.3" footer="0.3"/>
  <pageSetup paperSize="9" orientation="portrait" horizontalDpi="4294967293" r:id="rId107"/>
  <drawing r:id="rId108"/>
  <legacyDrawing r:id="rId10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0" name="Button 1">
              <controlPr defaultSize="0" print="0" autoFill="0" autoPict="0" macro="[0]!Sheet1.export_json">
                <anchor moveWithCells="1" sizeWithCells="1">
                  <from>
                    <xdr:col>2</xdr:col>
                    <xdr:colOff>8458200</xdr:colOff>
                    <xdr:row>0</xdr:row>
                    <xdr:rowOff>800100</xdr:rowOff>
                  </from>
                  <to>
                    <xdr:col>3</xdr:col>
                    <xdr:colOff>200025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1" name="Button 3">
              <controlPr defaultSize="0" print="0" autoFill="0" autoPict="0" macro="[0]!Sheet1.import_checklist">
                <anchor moveWithCells="1">
                  <from>
                    <xdr:col>2</xdr:col>
                    <xdr:colOff>8458200</xdr:colOff>
                    <xdr:row>0</xdr:row>
                    <xdr:rowOff>400050</xdr:rowOff>
                  </from>
                  <to>
                    <xdr:col>3</xdr:col>
                    <xdr:colOff>190500</xdr:colOff>
                    <xdr:row>0</xdr:row>
                    <xdr:rowOff>676275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2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5924550</xdr:colOff>
                    <xdr:row>0</xdr:row>
                    <xdr:rowOff>266700</xdr:rowOff>
                  </from>
                  <to>
                    <xdr:col>2</xdr:col>
                    <xdr:colOff>7791450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3" name="Group Box 5">
              <controlPr defaultSize="0" autoFill="0" autoPict="0">
                <anchor moveWithCells="1">
                  <from>
                    <xdr:col>2</xdr:col>
                    <xdr:colOff>8181975</xdr:colOff>
                    <xdr:row>0</xdr:row>
                    <xdr:rowOff>142875</xdr:rowOff>
                  </from>
                  <to>
                    <xdr:col>3</xdr:col>
                    <xdr:colOff>600075</xdr:colOff>
                    <xdr:row>0</xdr:row>
                    <xdr:rowOff>1276350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4" name="Group Box 6">
              <controlPr defaultSize="0" autoFill="0" autoPict="0">
                <anchor moveWithCells="1">
                  <from>
                    <xdr:col>2</xdr:col>
                    <xdr:colOff>5572125</xdr:colOff>
                    <xdr:row>0</xdr:row>
                    <xdr:rowOff>142875</xdr:rowOff>
                  </from>
                  <to>
                    <xdr:col>2</xdr:col>
                    <xdr:colOff>8001000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5" name="Group Box 7">
              <controlPr defaultSize="0" autoFill="0" autoPict="0">
                <anchor moveWithCells="1">
                  <from>
                    <xdr:col>2</xdr:col>
                    <xdr:colOff>6991350</xdr:colOff>
                    <xdr:row>0</xdr:row>
                    <xdr:rowOff>638175</xdr:rowOff>
                  </from>
                  <to>
                    <xdr:col>2</xdr:col>
                    <xdr:colOff>7896225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6" name="Option Button 8">
              <controlPr defaultSize="0" autoFill="0" autoLine="0" autoPict="0" macro="[0]!Sheet1.set_english">
                <anchor moveWithCells="1">
                  <from>
                    <xdr:col>2</xdr:col>
                    <xdr:colOff>7115175</xdr:colOff>
                    <xdr:row>0</xdr:row>
                    <xdr:rowOff>752475</xdr:rowOff>
                  </from>
                  <to>
                    <xdr:col>2</xdr:col>
                    <xdr:colOff>8029575</xdr:colOff>
                    <xdr:row>0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7" name="Option Button 9">
              <controlPr defaultSize="0" autoFill="0" autoLine="0" autoPict="0" macro="[0]!Sheet1.set_japanese">
                <anchor moveWithCells="1">
                  <from>
                    <xdr:col>2</xdr:col>
                    <xdr:colOff>7124700</xdr:colOff>
                    <xdr:row>0</xdr:row>
                    <xdr:rowOff>895350</xdr:rowOff>
                  </from>
                  <to>
                    <xdr:col>2</xdr:col>
                    <xdr:colOff>8039100</xdr:colOff>
                    <xdr:row>0</xdr:row>
                    <xdr:rowOff>1123950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8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2</xdr:col>
                    <xdr:colOff>6677025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9" name="Option Button 13">
              <controlPr defaultSize="0" autoFill="0" autoLine="0" autoPict="0" macro="[0]!Sheet1.set_lz">
                <anchor moveWithCells="1">
                  <from>
                    <xdr:col>2</xdr:col>
                    <xdr:colOff>5819775</xdr:colOff>
                    <xdr:row>0</xdr:row>
                    <xdr:rowOff>695325</xdr:rowOff>
                  </from>
                  <to>
                    <xdr:col>2</xdr:col>
                    <xdr:colOff>6781800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0" name="Option Button 14">
              <controlPr defaultSize="0" autoFill="0" autoLine="0" autoPict="0" macro="[0]!Sheet1.set_aks">
                <anchor moveWithCells="1">
                  <from>
                    <xdr:col>2</xdr:col>
                    <xdr:colOff>5819775</xdr:colOff>
                    <xdr:row>0</xdr:row>
                    <xdr:rowOff>857250</xdr:rowOff>
                  </from>
                  <to>
                    <xdr:col>2</xdr:col>
                    <xdr:colOff>6791325</xdr:colOff>
                    <xdr:row>0</xdr:row>
                    <xdr:rowOff>1076325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1" name="Option Button 15">
              <controlPr defaultSize="0" autoFill="0" autoLine="0" autoPict="0" macro="[0]!Sheet1.set_korean">
                <anchor moveWithCells="1">
                  <from>
                    <xdr:col>2</xdr:col>
                    <xdr:colOff>7115175</xdr:colOff>
                    <xdr:row>0</xdr:row>
                    <xdr:rowOff>1047750</xdr:rowOff>
                  </from>
                  <to>
                    <xdr:col>2</xdr:col>
                    <xdr:colOff>8162925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2" name="Option Button 18">
              <controlPr defaultSize="0" autoFill="0" autoLine="0" autoPict="0" macro="[0]!Sheet1.set_avd">
                <anchor moveWithCells="1">
                  <from>
                    <xdr:col>2</xdr:col>
                    <xdr:colOff>5829300</xdr:colOff>
                    <xdr:row>0</xdr:row>
                    <xdr:rowOff>1038225</xdr:rowOff>
                  </from>
                  <to>
                    <xdr:col>2</xdr:col>
                    <xdr:colOff>6877050</xdr:colOff>
                    <xdr:row>0</xdr:row>
                    <xdr:rowOff>1238250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E5:E168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D5:D285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D9"/>
  <sheetViews>
    <sheetView workbookViewId="0">
      <selection activeCell="C8" sqref="C8"/>
    </sheetView>
  </sheetViews>
  <sheetFormatPr defaultRowHeight="15" x14ac:dyDescent="0.25"/>
  <cols>
    <col min="2" max="2" width="10" bestFit="1" customWidth="1"/>
  </cols>
  <sheetData>
    <row r="1" spans="1:4" x14ac:dyDescent="0.25">
      <c r="A1" t="s">
        <v>3</v>
      </c>
      <c r="B1" t="s">
        <v>4</v>
      </c>
      <c r="C1" t="s">
        <v>16</v>
      </c>
      <c r="D1" t="s">
        <v>21</v>
      </c>
    </row>
    <row r="2" spans="1:4" x14ac:dyDescent="0.25">
      <c r="A2" t="s">
        <v>6</v>
      </c>
      <c r="B2" s="12" t="s">
        <v>7</v>
      </c>
      <c r="C2" t="s">
        <v>133</v>
      </c>
      <c r="D2" s="21" t="s">
        <v>22</v>
      </c>
    </row>
    <row r="3" spans="1:4" x14ac:dyDescent="0.25">
      <c r="A3" t="s">
        <v>9</v>
      </c>
      <c r="B3" s="9" t="s">
        <v>10</v>
      </c>
      <c r="C3" t="s">
        <v>23</v>
      </c>
    </row>
    <row r="4" spans="1:4" x14ac:dyDescent="0.25">
      <c r="A4" t="s">
        <v>8</v>
      </c>
      <c r="B4" s="10" t="s">
        <v>11</v>
      </c>
      <c r="C4" t="s">
        <v>24</v>
      </c>
    </row>
    <row r="5" spans="1:4" x14ac:dyDescent="0.25">
      <c r="B5" s="11" t="s">
        <v>12</v>
      </c>
      <c r="C5" t="s">
        <v>139</v>
      </c>
    </row>
    <row r="6" spans="1:4" x14ac:dyDescent="0.25">
      <c r="C6" t="s">
        <v>142</v>
      </c>
    </row>
    <row r="7" spans="1:4" x14ac:dyDescent="0.25">
      <c r="C7" t="s">
        <v>27</v>
      </c>
    </row>
    <row r="8" spans="1:4" x14ac:dyDescent="0.25">
      <c r="C8" t="s">
        <v>147</v>
      </c>
    </row>
    <row r="9" spans="1:4" x14ac:dyDescent="0.25">
      <c r="C9" t="s">
        <v>148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2021-10-15T13:42:20Z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