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amples\"/>
    </mc:Choice>
  </mc:AlternateContent>
  <xr:revisionPtr revIDLastSave="0" documentId="13_ncr:1_{964AAEA6-EC58-4F7E-8D41-C235BD12574B}" xr6:coauthVersionLast="47" xr6:coauthVersionMax="47" xr10:uidLastSave="{00000000-0000-0000-0000-000000000000}"/>
  <bookViews>
    <workbookView xWindow="-96" yWindow="-96" windowWidth="23232" windowHeight="12432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Checklist!$A$4:$H$166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8" i="7" l="1"/>
  <c r="Q28" i="7" s="1" a="1"/>
  <c r="Q28" i="7" s="1"/>
  <c r="H13" i="7"/>
  <c r="O28" i="7" l="1" a="1"/>
  <c r="O28" i="7" s="1"/>
  <c r="P28" i="7" a="1"/>
  <c r="P28" i="7" s="1"/>
  <c r="H7" i="7"/>
  <c r="H8" i="7"/>
  <c r="H9" i="7"/>
  <c r="K9" i="7" s="1" a="1"/>
  <c r="K9" i="7" s="1"/>
  <c r="H10" i="7"/>
  <c r="H11" i="7"/>
  <c r="I11" i="7" s="1" a="1"/>
  <c r="I11" i="7" s="1"/>
  <c r="H12" i="7"/>
  <c r="H6" i="7"/>
  <c r="N21" i="7"/>
  <c r="N22" i="7"/>
  <c r="N23" i="7"/>
  <c r="N24" i="7"/>
  <c r="N25" i="7"/>
  <c r="Q25" i="7" s="1" a="1"/>
  <c r="Q25" i="7" s="1"/>
  <c r="N26" i="7"/>
  <c r="N27" i="7"/>
  <c r="P20" i="7"/>
  <c r="O20" i="7"/>
  <c r="L5" i="7"/>
  <c r="L13" i="7" s="1" a="1"/>
  <c r="L13" i="7" s="1"/>
  <c r="K5" i="7"/>
  <c r="K13" i="7" s="1" a="1"/>
  <c r="K13" i="7" s="1"/>
  <c r="J5" i="7"/>
  <c r="J13" i="7" s="1" a="1"/>
  <c r="J13" i="7" s="1"/>
  <c r="I5" i="7"/>
  <c r="I13" i="7" s="1" a="1"/>
  <c r="I13" i="7" s="1"/>
  <c r="E5" i="7"/>
  <c r="D5" i="7"/>
  <c r="C5" i="7"/>
  <c r="B5" i="7"/>
  <c r="A7" i="7"/>
  <c r="A8" i="7"/>
  <c r="A6" i="7"/>
  <c r="L12" i="7" l="1" a="1"/>
  <c r="L12" i="7" s="1"/>
  <c r="L10" i="7" a="1"/>
  <c r="L10" i="7" s="1"/>
  <c r="L6" i="7" a="1"/>
  <c r="L6" i="7" s="1"/>
  <c r="R28" i="7"/>
  <c r="S28" i="7" s="1"/>
  <c r="M13" i="7"/>
  <c r="P21" i="7" a="1"/>
  <c r="P21" i="7" s="1"/>
  <c r="P27" i="7" a="1"/>
  <c r="P27" i="7" s="1"/>
  <c r="O24" i="7" a="1"/>
  <c r="O24" i="7" s="1"/>
  <c r="E8" i="7" a="1"/>
  <c r="E8" i="7" s="1"/>
  <c r="P23" i="7" a="1"/>
  <c r="P23" i="7" s="1"/>
  <c r="K8" i="7" a="1"/>
  <c r="K8" i="7" s="1"/>
  <c r="B6" i="7" a="1"/>
  <c r="B6" i="7" s="1"/>
  <c r="E7" i="7" a="1"/>
  <c r="E7" i="7" s="1"/>
  <c r="O22" i="7" a="1"/>
  <c r="O22" i="7" s="1"/>
  <c r="L7" i="7" a="1"/>
  <c r="L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J12" i="7" a="1"/>
  <c r="J12" i="7" s="1"/>
  <c r="Q24" i="7" a="1"/>
  <c r="Q24" i="7" s="1"/>
  <c r="J7" i="7" a="1"/>
  <c r="J7" i="7" s="1"/>
  <c r="K12" i="7" a="1"/>
  <c r="K12" i="7" s="1"/>
  <c r="Q27" i="7" a="1"/>
  <c r="Q27" i="7" s="1"/>
  <c r="L9" i="7" a="1"/>
  <c r="L9" i="7" s="1"/>
  <c r="I9" i="7" a="1"/>
  <c r="I9" i="7" s="1"/>
  <c r="O23" i="7" a="1"/>
  <c r="O23" i="7" s="1"/>
  <c r="Q23" i="7" a="1"/>
  <c r="Q23" i="7" s="1"/>
  <c r="I8" i="7" a="1"/>
  <c r="I8" i="7" s="1"/>
  <c r="L8" i="7" a="1"/>
  <c r="L8" i="7" s="1"/>
  <c r="Q22" i="7" a="1"/>
  <c r="Q22" i="7" s="1"/>
  <c r="I12" i="7" a="1"/>
  <c r="I12" i="7" s="1"/>
  <c r="O27" i="7" a="1"/>
  <c r="O27" i="7" s="1"/>
  <c r="Q26" i="7" a="1"/>
  <c r="Q26" i="7" s="1"/>
  <c r="O26" i="7" a="1"/>
  <c r="O26" i="7" s="1"/>
  <c r="P26" i="7" a="1"/>
  <c r="P26" i="7" s="1"/>
  <c r="J11" i="7" a="1"/>
  <c r="J11" i="7" s="1"/>
  <c r="K11" i="7" a="1"/>
  <c r="K11" i="7" s="1"/>
  <c r="L11" i="7" a="1"/>
  <c r="L11" i="7" s="1"/>
  <c r="P25" i="7" a="1"/>
  <c r="P25" i="7" s="1"/>
  <c r="J10" i="7" a="1"/>
  <c r="J10" i="7" s="1"/>
  <c r="O25" i="7" a="1"/>
  <c r="O25" i="7" s="1"/>
  <c r="K10" i="7" a="1"/>
  <c r="K10" i="7" s="1"/>
  <c r="I10" i="7" a="1"/>
  <c r="I10" i="7" s="1"/>
  <c r="P24" i="7" a="1"/>
  <c r="P24" i="7" s="1"/>
  <c r="J9" i="7" a="1"/>
  <c r="J9" i="7" s="1"/>
  <c r="J8" i="7" a="1"/>
  <c r="J8" i="7" s="1"/>
  <c r="P22" i="7" a="1"/>
  <c r="P22" i="7" s="1"/>
  <c r="K7" i="7" a="1"/>
  <c r="K7" i="7" s="1"/>
  <c r="I7" i="7" a="1"/>
  <c r="I7" i="7" s="1"/>
  <c r="J6" i="7" a="1"/>
  <c r="J6" i="7" s="1"/>
  <c r="O21" i="7" a="1"/>
  <c r="O21" i="7" s="1"/>
  <c r="I6" i="7" a="1"/>
  <c r="I6" i="7" s="1"/>
  <c r="K6" i="7" a="1"/>
  <c r="K6" i="7" s="1"/>
  <c r="Q21" i="7" a="1"/>
  <c r="Q21" i="7" s="1"/>
  <c r="O29" i="7" l="1"/>
  <c r="Q29" i="7"/>
  <c r="L14" i="7"/>
  <c r="P29" i="7"/>
  <c r="I14" i="7"/>
  <c r="K14" i="7"/>
  <c r="J14" i="7"/>
  <c r="E9" i="7"/>
  <c r="B9" i="7"/>
  <c r="F8" i="7"/>
  <c r="C9" i="7"/>
  <c r="F7" i="7"/>
  <c r="D9" i="7"/>
  <c r="F6" i="7"/>
  <c r="R24" i="7"/>
  <c r="S24" i="7" s="1"/>
  <c r="M12" i="7"/>
  <c r="R23" i="7"/>
  <c r="S23" i="7" s="1"/>
  <c r="R27" i="7"/>
  <c r="S27" i="7" s="1"/>
  <c r="M9" i="7"/>
  <c r="M8" i="7"/>
  <c r="R22" i="7"/>
  <c r="S22" i="7" s="1"/>
  <c r="R25" i="7"/>
  <c r="S25" i="7" s="1"/>
  <c r="M7" i="7"/>
  <c r="M6" i="7"/>
  <c r="M10" i="7"/>
  <c r="M11" i="7"/>
  <c r="R21" i="7"/>
  <c r="R26" i="7"/>
  <c r="S26" i="7" s="1"/>
  <c r="S21" i="7" l="1"/>
  <c r="R29" i="7"/>
  <c r="S29" i="7" s="1"/>
  <c r="D2" i="7" s="1"/>
  <c r="M14" i="7"/>
  <c r="F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<sst xmlns="http://schemas.openxmlformats.org/spreadsheetml/2006/main" count="518" uniqueCount="152">
  <si>
    <t>Main Area</t>
  </si>
  <si>
    <t>Sub Area</t>
  </si>
  <si>
    <t>Question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</si>
  <si>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</si>
  <si>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</si>
  <si>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</si>
  <si>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</si>
  <si>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</si>
  <si>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</si>
  <si>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</si>
  <si>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</si>
  <si>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</si>
  <si>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</si>
  <si>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</si>
  <si>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</si>
  <si>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</si>
  <si>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</si>
  <si>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</si>
  <si>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</si>
  <si>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</si>
  <si>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</si>
  <si>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</si>
  <si>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https://raw.githubusercontent.com/Azure/review-checklists/main/samples/</t>
  </si>
  <si>
    <t>Identity</t>
  </si>
  <si>
    <t>Monitoring</t>
  </si>
  <si>
    <t>Security</t>
  </si>
  <si>
    <t>Requirements</t>
  </si>
  <si>
    <t>Storage</t>
  </si>
  <si>
    <t>Graph Query Success</t>
  </si>
  <si>
    <t>Graph Query Failure</t>
  </si>
  <si>
    <t xml:space="preserve"> </t>
  </si>
  <si>
    <t>BC and DR</t>
  </si>
  <si>
    <t>Define non-functional requirements usch as SLAs, RTO and RPO.</t>
  </si>
  <si>
    <t>Perform DR tests</t>
  </si>
  <si>
    <t>Use Traffic Manager or Front Door as a global load balancer for region failover</t>
  </si>
  <si>
    <t>HA</t>
  </si>
  <si>
    <t>Use Availability Zones</t>
  </si>
  <si>
    <t>Use the SLA-backed AKS offering</t>
  </si>
  <si>
    <t>Use Disruption Budgets in your pod specs</t>
  </si>
  <si>
    <t>If using a private registry, configure region replication to store images in multiple regions</t>
  </si>
  <si>
    <t>Identity and Access Management</t>
  </si>
  <si>
    <t>Use managed identities instead of Service Principals</t>
  </si>
  <si>
    <t>Integrate authentication with AAD (using the managed integration)</t>
  </si>
  <si>
    <t>Limit access to admin kubeconfig (get-credentials --admin)</t>
  </si>
  <si>
    <t>Integrate authorization with AAD RBAC</t>
  </si>
  <si>
    <t>Use namespaces for restricting RBAC privilege in Kubernetes</t>
  </si>
  <si>
    <t>Use Pod identity for workload identities (addon v2 in preview today)</t>
  </si>
  <si>
    <t>Network Topology and Connectivity</t>
  </si>
  <si>
    <t>IPAM</t>
  </si>
  <si>
    <t>Choose the best CNI plugin for your requirements (Azure CNI recommended)</t>
  </si>
  <si>
    <t>If using Azure CNI, size your subnet accordingly</t>
  </si>
  <si>
    <t>If using Azure CNI, check the maximum pods/node (default 30)</t>
  </si>
  <si>
    <t>If using private-IP LoadBalancer services, use a dedicated subnet (not the AKS subnet)</t>
  </si>
  <si>
    <t>Filter egress traffic with AzFW/NVA if your security requirements mandate it</t>
  </si>
  <si>
    <t>If using public API enpoints, restrict the IP addresses that can access it</t>
  </si>
  <si>
    <t>Scalability</t>
  </si>
  <si>
    <t>Use an ingress controller to expose web-based apps</t>
  </si>
  <si>
    <t>Best practices</t>
  </si>
  <si>
    <t>If using AGIC, do not share an AppGW across clusters</t>
  </si>
  <si>
    <t>Cost</t>
  </si>
  <si>
    <t>Use Private Endpoints (preferred) or VNet Service Endpoints to access PaaS from the cluster</t>
  </si>
  <si>
    <t>Use private clusters if your requirements mandate it</t>
  </si>
  <si>
    <t>Enable a Kubernetes Network Policy option (Calico/Azure)</t>
  </si>
  <si>
    <t>Use Network policies to increase intra-cluster security</t>
  </si>
  <si>
    <t>Use a WAF for web workloads (UIs or APIs)</t>
  </si>
  <si>
    <t>Use DDoS Standard in the AKS VNet</t>
  </si>
  <si>
    <t>Do not use AKS Application Routing Add-On</t>
  </si>
  <si>
    <t>If hybrid connectivity is required, use 2xER or ER+VPN for better availability</t>
  </si>
  <si>
    <t>Consider using a service mesh for advanced microservice communication management</t>
  </si>
  <si>
    <t>Governance and Security</t>
  </si>
  <si>
    <t>Secrets</t>
  </si>
  <si>
    <t>Store your secrets in Azure Key Vault with the CSI Secrets Store driver</t>
  </si>
  <si>
    <t>If user Service Principals for the cluster, refresh credentials periodically (like quarterly)</t>
  </si>
  <si>
    <t>Compliance</t>
  </si>
  <si>
    <t>Use Azure Policy for Kubernetes to ensure cluster compliance</t>
  </si>
  <si>
    <t>Separate applications from the control plane with user/system nodepools</t>
  </si>
  <si>
    <t>Label your system nodepool to use it with node selectors</t>
  </si>
  <si>
    <t>Use a private registry for your images, such as ACR</t>
  </si>
  <si>
    <t>Scan your images for vulnerabilities</t>
  </si>
  <si>
    <t>Use Azure Security Center to detect security posture vulnerabiities</t>
  </si>
  <si>
    <t>Define app separation requirements (namespace/nodepool/cluster)</t>
  </si>
  <si>
    <t>Cost Governance</t>
  </si>
  <si>
    <t>Use an external application such as kubecost to allocate custs to different users</t>
  </si>
  <si>
    <t>Operations</t>
  </si>
  <si>
    <t>Use ephemeral OS disks</t>
  </si>
  <si>
    <t>If not using ephemeral disks, use larger OS disks for the nodes, especially if many pods/node</t>
  </si>
  <si>
    <t>Avoid keeping state in the cluster, and store data outside (AzStorage, AzSQL, Cosmos, etc)</t>
  </si>
  <si>
    <t>If using AzFiles Standard, consider AzFiles Premium and/or ANF for performance reasons</t>
  </si>
  <si>
    <t>If using Azure Disks and AZs, consider dedicating nodes per AZ and WaitForFirstConsumer</t>
  </si>
  <si>
    <t>Check regularly Azure Advisor for recommendations on your cluster</t>
  </si>
  <si>
    <t>Check regularly kubeadvisor for recommendations on your cluster</t>
  </si>
  <si>
    <t>Monitor your cluster metrics with Azure Monitor, Prometheus or similar</t>
  </si>
  <si>
    <t>Store and analyze your cluster logs with Azure Monitor, Telegraf/ElasticSearch or similar</t>
  </si>
  <si>
    <t>Alerting</t>
  </si>
  <si>
    <t>Configure alerts on the most critical metrics (Container Insights for recommendations)</t>
  </si>
  <si>
    <t>Have a regular process to upgrade the cluster periodically (quarterly, for example)</t>
  </si>
  <si>
    <t>Use kured for Linux node upgrades</t>
  </si>
  <si>
    <t>Consider gitops to deploy applications or cluster configuration to multiple clusters</t>
  </si>
  <si>
    <t>Consider spot node pools for non time-sensitive workloads</t>
  </si>
  <si>
    <t>Consider the virtual node for quick bursting</t>
  </si>
  <si>
    <t>Use tools like kubecost to allocate costs to different departments</t>
  </si>
  <si>
    <t>Make sure no changes are performed by operators in the node RG (aka 'infra RG')</t>
  </si>
  <si>
    <t>Use custom Node RG (aka 'Infra RG') name</t>
  </si>
  <si>
    <t>Do not use deprecated Kubernetes APIs in your YAML manifests</t>
  </si>
  <si>
    <t>Taint Windows nodes</t>
  </si>
  <si>
    <t>Keep windows containers patch level in sync with host patch level</t>
  </si>
  <si>
    <t>Monitor CPU and memory utilization of the nodes</t>
  </si>
  <si>
    <t>If using Azure CNI, monitor % of pod IPs consumed per node</t>
  </si>
  <si>
    <t>Monitor OS disk queue depth in nodes</t>
  </si>
  <si>
    <t>If not using egress filtering with AzFW/NVA, monitor standard ALB allocated SNAT ports</t>
  </si>
  <si>
    <t>Send master logs (aka API logs) to Log Analytics</t>
  </si>
  <si>
    <t>Use the Cluster Autoscaler</t>
  </si>
  <si>
    <t>Use the Horizontal Pod Autoscaler when required</t>
  </si>
  <si>
    <t>Consider an appropriate node size, not too large or too small</t>
  </si>
  <si>
    <t>Resources</t>
  </si>
  <si>
    <t>Configre requests and limits in your pod specs</t>
  </si>
  <si>
    <t>Enforce resource quotas for namespaces</t>
  </si>
  <si>
    <t>Ensure your subscription has enough quota to scale out your nodepools</t>
  </si>
  <si>
    <t>Application Deployment</t>
  </si>
  <si>
    <t>Use automation through ARM/TF to create your Azure resources</t>
  </si>
  <si>
    <t>Development</t>
  </si>
  <si>
    <t>Use canary or blue/green deployments</t>
  </si>
  <si>
    <t>Use KEDA if running event-driven workloads</t>
  </si>
  <si>
    <t>Use Dapr to ease microservice development</t>
  </si>
  <si>
    <t>where type=='microsoft.containerservice/managedclusters' | where sku.tier=='Paid' | distinct name,resourceGroup</t>
  </si>
  <si>
    <t>where type=='microsoft.containerservice/managedclusters' | where sku.tier=='Free' | distinct name,resourceGroup</t>
  </si>
  <si>
    <t>where type=='microsoft.containerservice/managedclusters' | where properties.publicNetworkAccess=='Enabled' and isnotnull(properties.apiServerAccessProfile) | distinct name,resourceGroup</t>
  </si>
  <si>
    <t>where type=='microsoft.containerservice/managedclusters' | where properties.publicNetworkAccess=='Enabled' and isnull(properties.apiServerAccessProfile) | distinct name,resourceGroup</t>
  </si>
  <si>
    <t>where type=='microsoft.containerservice/managedclusters' | where properties.publicNetworkAccess=='Disabled' | distinct name,resourceGroup</t>
  </si>
  <si>
    <t>where type=='microsoft.containerservice/managedclusters' | where properties.publicNetworkAccess=='Enabled' | distinct name,resourceGroup</t>
  </si>
  <si>
    <t>where type=='microsoft.containerservice/managedclusters' | where isnotnull(properties.networkProfile.networkPolicy) | distinct name,resourceGroup</t>
  </si>
  <si>
    <t>where type=='microsoft.containerservice/managedclusters' | where isnull(properties.networkProfile.networkPolicy) | distinct name,resourceGroup</t>
  </si>
  <si>
    <t>where type=='microsoft.containerservice/managedclusters' | where properties.networkProfile.networkPlugin=='azure' | distinct name,resourceGroup</t>
  </si>
  <si>
    <t>where type=='microsoft.containerservice/managedclusters' | where properties.networkProfile.networkPlugin=='kubenet' | distinct name,resourceGroup</t>
  </si>
  <si>
    <t>where type=='microsoft.containerservice/managedclusters' | where properties.networkProfile.outboundType=='userDefinedRouting' | distinct name,resourceGroup</t>
  </si>
  <si>
    <t>where type=='microsoft.containerservice/managedclusters' | where properties.networkProfile.outboundType!='userDefinedRouting' | distinct name,resourceGroup</t>
  </si>
  <si>
    <t>where type=='microsoft.containerservice/managedclusters' | where isnull(properties.addonProfiles.httpApplicationRouting) | distinct name,resourceGroup</t>
  </si>
  <si>
    <t>where type=='microsoft.containerservice/managedclusters' | where isnotnull(properties.addonProfiles.httpApplicationRouting) | distinct name,resourceGroup</t>
  </si>
  <si>
    <t>Disaster Recovery</t>
  </si>
  <si>
    <t>High Availability</t>
  </si>
  <si>
    <t>Infrastructure as Code</t>
  </si>
  <si>
    <t>Azure AKS Review</t>
  </si>
  <si>
    <t>where type=='microsoft.containerservice/managedclusters' | project resourceGroup,name,pools=properties.agentPoolProfiles | mvexpand pools | where pools.osDiskType=='Managed' | project name=strcat(name,'-',pools.name), resourceGroup</t>
  </si>
  <si>
    <t>where type=='microsoft.containerservice/managedclusters' | project resourceGroup,name,pools=properties.agentPoolProfiles | mvexpand pools | where pools.osDiskType=='Ephemeral' | project name=strcat(name,'-',pools.name), resourceGroup</t>
  </si>
  <si>
    <t>where type=='microsoft.containerservice/managedclusters' | project resourceGroup,name,pools=properties.agentPoolProfiles | project name,resourceGroup,poolcount=array_length(pools) | where poolcount &gt; 1</t>
  </si>
  <si>
    <t>where type=='microsoft.containerservice/managedclusters' | project resourceGroup,name,pools=properties.agentPoolProfiles | project name,resourceGroup,poolcount=array_length(pools) | where poolcount == 1</t>
  </si>
  <si>
    <t>where type=='microsoft.containerservice/managedclusters' | where isnull(zones) | distinct name,resourceGroup</t>
  </si>
  <si>
    <t>where type=='microsoft.containerservice/managedclusters' | where isnotnull(zones) | distinct name,resourceGroup</t>
  </si>
  <si>
    <t>where type=='microsoft.containerservice/managedclusters' | where properties.servicePrincipalProfile.clientId=='msi' | distinct name,resourceGroup</t>
  </si>
  <si>
    <t>where type=='microsoft.containerservice/managedclusters' | where properties.servicePrincipalProfile.clientId!='msi' | distinct name,resourceGroup</t>
  </si>
  <si>
    <t>where type=='microsoft.containerservice/managedclusters' | where isnull(properties.aadProfile) | distinct name,resourceGroup</t>
  </si>
  <si>
    <t>where type=='microsoft.containerservice/managedclusters' | where isnotnull(properties.aadProfile) | distinct name,resourceGroup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</si>
</sst>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u/>
      <sz val="11"/>
      <color theme="10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2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theme="1"/>
      <name val="Consolas"/>
      <family val="3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25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4" fillId="0" borderId="0" xfId="1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6" fillId="0" borderId="0" xfId="2" applyFont="1" applyFill="1" applyBorder="1" applyAlignment="1">
      <alignment vertical="top" wrapText="1"/>
    </xf>
    <xf numFmtId="0" fontId="6" fillId="0" borderId="0" xfId="0" applyFont="1" applyAlignment="1">
      <alignment horizontal="left" vertical="top"/>
    </xf>
    <xf numFmtId="0" fontId="5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1" fillId="0" borderId="0" xfId="1" applyAlignment="1">
      <alignment horizontal="left" vertical="top"/>
    </xf>
    <xf numFmtId="0" fontId="9" fillId="0" borderId="0" xfId="0" applyFont="1" applyAlignment="1">
      <alignment horizontal="left" vertical="center" wrapText="1" indent="10"/>
    </xf>
    <xf numFmtId="0" fontId="8" fillId="0" borderId="0" xfId="0" applyFont="1"/>
    <xf numFmtId="0" fontId="13" fillId="0" borderId="0" xfId="0" applyFont="1"/>
    <xf numFmtId="9" fontId="0" fillId="0" borderId="0" xfId="3" applyFont="1"/>
    <xf numFmtId="9" fontId="11" fillId="0" borderId="0" xfId="3" applyFont="1"/>
    <xf numFmtId="9" fontId="12" fillId="0" borderId="0" xfId="0" applyNumberFormat="1" applyFont="1"/>
    <xf numFmtId="0" fontId="1" fillId="0" borderId="0" xfId="1" applyFill="1" applyBorder="1" applyAlignment="1">
      <alignment vertical="center"/>
    </xf>
    <xf numFmtId="0" fontId="0" fillId="0" borderId="0" xfId="0" applyFill="1"/>
    <xf numFmtId="0" fontId="15" fillId="0" borderId="0" xfId="2" applyFont="1" applyFill="1" applyBorder="1" applyAlignment="1">
      <alignment horizontal="left" vertical="center"/>
    </xf>
    <xf numFmtId="0" fontId="16" fillId="0" borderId="0" xfId="0" applyFont="1" applyAlignment="1">
      <alignment horizontal="left" vertical="top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13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Dashboard!$F$6:$F$8</c:f>
              <c:numCache>
                <c:formatCode>General</c:formatCode>
                <c:ptCount val="3"/>
                <c:pt idx="0">
                  <c:v>28</c:v>
                </c:pt>
                <c:pt idx="1">
                  <c:v>32</c:v>
                </c:pt>
                <c:pt idx="2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Dashboard!$B$9:$E$9</c:f>
              <c:numCache>
                <c:formatCode>General</c:formatCode>
                <c:ptCount val="4"/>
                <c:pt idx="0">
                  <c:v>76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</a:t>
            </a:r>
            <a:r>
              <a:rPr lang="en-US" sz="1100" baseline="0"/>
              <a:t> (High)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06F-43A2-8931-AB6F9CC71AC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906F-43A2-8931-AB6F9CC71AC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906F-43A2-8931-AB6F9CC71AC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906F-43A2-8931-AB6F9CC71AC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906F-43A2-8931-AB6F9CC71ACD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06F-43A2-8931-AB6F9CC71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F46-451A-AE1C-09C4AD1E35C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F46-451A-AE1C-09C4AD1E35C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F46-451A-AE1C-09C4AD1E35C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F46-451A-AE1C-09C4AD1E35C2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Dashboard!$B$7:$E$7</c:f>
              <c:numCache>
                <c:formatCode>General</c:formatCode>
                <c:ptCount val="4"/>
                <c:pt idx="0">
                  <c:v>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2-438D-B00E-4E937DE39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Dashboard!$B$8:$E$8</c:f>
              <c:numCache>
                <c:formatCode>General</c:formatCode>
                <c:ptCount val="4"/>
                <c:pt idx="0">
                  <c:v>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6</c:v>
                </c:pt>
                <c:pt idx="1">
                  <c:v>17</c:v>
                </c:pt>
                <c:pt idx="2">
                  <c:v>7</c:v>
                </c:pt>
                <c:pt idx="3">
                  <c:v>9</c:v>
                </c:pt>
                <c:pt idx="4">
                  <c:v>1</c:v>
                </c:pt>
                <c:pt idx="5">
                  <c:v>32</c:v>
                </c:pt>
                <c:pt idx="6">
                  <c:v>4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Dashboard!$I$5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Dashboard!$I$6:$I$13</c:f>
              <c:numCache>
                <c:formatCode>General</c:formatCode>
                <c:ptCount val="8"/>
                <c:pt idx="0">
                  <c:v>6</c:v>
                </c:pt>
                <c:pt idx="1">
                  <c:v>17</c:v>
                </c:pt>
                <c:pt idx="2">
                  <c:v>7</c:v>
                </c:pt>
                <c:pt idx="3">
                  <c:v>9</c:v>
                </c:pt>
                <c:pt idx="4">
                  <c:v>1</c:v>
                </c:pt>
                <c:pt idx="5">
                  <c:v>32</c:v>
                </c:pt>
                <c:pt idx="6">
                  <c:v>4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Dashboard!$J$5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Dashboard!$K$5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Dashboard!$L$5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Dashboard!$S$20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Dashboard!$N$21:$N$28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Dashboard!$S$21:$S$28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31</xdr:row>
      <xdr:rowOff>180974</xdr:rowOff>
    </xdr:from>
    <xdr:to>
      <xdr:col>11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238125</xdr:colOff>
      <xdr:row>0</xdr:row>
      <xdr:rowOff>114300</xdr:rowOff>
    </xdr:from>
    <xdr:to>
      <xdr:col>21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161925</xdr:colOff>
      <xdr:row>0</xdr:row>
      <xdr:rowOff>152399</xdr:rowOff>
    </xdr:from>
    <xdr:to>
      <xdr:col>25</xdr:col>
      <xdr:colOff>428625</xdr:colOff>
      <xdr:row>7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171450</xdr:colOff>
      <xdr:row>8</xdr:row>
      <xdr:rowOff>19050</xdr:rowOff>
    </xdr:from>
    <xdr:to>
      <xdr:col>25</xdr:col>
      <xdr:colOff>428625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166687</xdr:colOff>
      <xdr:row>17</xdr:row>
      <xdr:rowOff>57150</xdr:rowOff>
    </xdr:from>
    <xdr:to>
      <xdr:col>25</xdr:col>
      <xdr:colOff>447675</xdr:colOff>
      <xdr:row>25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6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11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576263</xdr:colOff>
      <xdr:row>29</xdr:row>
      <xdr:rowOff>150019</xdr:rowOff>
    </xdr:from>
    <xdr:to>
      <xdr:col>20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4763</xdr:rowOff>
    </xdr:from>
    <xdr:to>
      <xdr:col>2</xdr:col>
      <xdr:colOff>171822</xdr:colOff>
      <xdr:row>1</xdr:row>
      <xdr:rowOff>103046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63"/>
          <a:ext cx="3140289" cy="16441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8458200</xdr:colOff>
          <xdr:row>0</xdr:row>
          <xdr:rowOff>800100</xdr:rowOff>
        </xdr:from>
        <xdr:to>
          <xdr:col>3</xdr:col>
          <xdr:colOff>201930</xdr:colOff>
          <xdr:row>0</xdr:row>
          <xdr:rowOff>1040130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8458200</xdr:colOff>
          <xdr:row>0</xdr:row>
          <xdr:rowOff>400050</xdr:rowOff>
        </xdr:from>
        <xdr:to>
          <xdr:col>3</xdr:col>
          <xdr:colOff>190500</xdr:colOff>
          <xdr:row>0</xdr:row>
          <xdr:rowOff>678180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5924550</xdr:colOff>
          <xdr:row>0</xdr:row>
          <xdr:rowOff>266700</xdr:rowOff>
        </xdr:from>
        <xdr:to>
          <xdr:col>2</xdr:col>
          <xdr:colOff>7791450</xdr:colOff>
          <xdr:row>0</xdr:row>
          <xdr:rowOff>514350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latest reference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8183880</xdr:colOff>
          <xdr:row>0</xdr:row>
          <xdr:rowOff>144780</xdr:rowOff>
        </xdr:from>
        <xdr:to>
          <xdr:col>3</xdr:col>
          <xdr:colOff>601980</xdr:colOff>
          <xdr:row>0</xdr:row>
          <xdr:rowOff>1276350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45720" tIns="5486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5574030</xdr:colOff>
          <xdr:row>0</xdr:row>
          <xdr:rowOff>144780</xdr:rowOff>
        </xdr:from>
        <xdr:to>
          <xdr:col>2</xdr:col>
          <xdr:colOff>8001000</xdr:colOff>
          <xdr:row>0</xdr:row>
          <xdr:rowOff>1295400</xdr:rowOff>
        </xdr:to>
        <xdr:sp macro="" textlink="">
          <xdr:nvSpPr>
            <xdr:cNvPr id="1030" name="Group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45720" tIns="5486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Easy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6991350</xdr:colOff>
          <xdr:row>0</xdr:row>
          <xdr:rowOff>640080</xdr:rowOff>
        </xdr:from>
        <xdr:to>
          <xdr:col>2</xdr:col>
          <xdr:colOff>7898130</xdr:colOff>
          <xdr:row>0</xdr:row>
          <xdr:rowOff>1257300</xdr:rowOff>
        </xdr:to>
        <xdr:sp macro="" textlink="">
          <xdr:nvSpPr>
            <xdr:cNvPr id="1031" name="Group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45720" tIns="5486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Language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7117080</xdr:colOff>
          <xdr:row>0</xdr:row>
          <xdr:rowOff>754380</xdr:rowOff>
        </xdr:from>
        <xdr:to>
          <xdr:col>2</xdr:col>
          <xdr:colOff>8031480</xdr:colOff>
          <xdr:row>0</xdr:row>
          <xdr:rowOff>982980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English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7124700</xdr:colOff>
          <xdr:row>0</xdr:row>
          <xdr:rowOff>895350</xdr:rowOff>
        </xdr:from>
        <xdr:to>
          <xdr:col>2</xdr:col>
          <xdr:colOff>8039100</xdr:colOff>
          <xdr:row>0</xdr:row>
          <xdr:rowOff>1123950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Japanese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5772150</xdr:colOff>
          <xdr:row>0</xdr:row>
          <xdr:rowOff>628650</xdr:rowOff>
        </xdr:from>
        <xdr:to>
          <xdr:col>2</xdr:col>
          <xdr:colOff>6678930</xdr:colOff>
          <xdr:row>0</xdr:row>
          <xdr:rowOff>1238250</xdr:rowOff>
        </xdr:to>
        <xdr:sp macro="" textlink="">
          <xdr:nvSpPr>
            <xdr:cNvPr id="1034" name="Group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45720" tIns="5486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Technology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5821680</xdr:colOff>
          <xdr:row>0</xdr:row>
          <xdr:rowOff>697230</xdr:rowOff>
        </xdr:from>
        <xdr:to>
          <xdr:col>2</xdr:col>
          <xdr:colOff>6781800</xdr:colOff>
          <xdr:row>0</xdr:row>
          <xdr:rowOff>914400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5821680</xdr:colOff>
          <xdr:row>0</xdr:row>
          <xdr:rowOff>857250</xdr:rowOff>
        </xdr:from>
        <xdr:to>
          <xdr:col>2</xdr:col>
          <xdr:colOff>6793230</xdr:colOff>
          <xdr:row>0</xdr:row>
          <xdr:rowOff>1078230</xdr:rowOff>
        </xdr:to>
        <xdr:sp macro="" textlink="">
          <xdr:nvSpPr>
            <xdr:cNvPr id="1038" name="Option 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7117080</xdr:colOff>
          <xdr:row>0</xdr:row>
          <xdr:rowOff>1047750</xdr:rowOff>
        </xdr:from>
        <xdr:to>
          <xdr:col>2</xdr:col>
          <xdr:colOff>8164830</xdr:colOff>
          <xdr:row>0</xdr:row>
          <xdr:rowOff>1257300</xdr:rowOff>
        </xdr:to>
        <xdr:sp macro="" textlink="">
          <xdr:nvSpPr>
            <xdr:cNvPr id="1039" name="Option 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Korean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5829300</xdr:colOff>
          <xdr:row>0</xdr:row>
          <xdr:rowOff>1040130</xdr:rowOff>
        </xdr:from>
        <xdr:to>
          <xdr:col>2</xdr:col>
          <xdr:colOff>6877050</xdr:colOff>
          <xdr:row>0</xdr:row>
          <xdr:rowOff>1238250</xdr:rowOff>
        </xdr:to>
        <xdr:sp macro="" textlink="">
          <xdr:nvSpPr>
            <xdr:cNvPr id="1042" name="Option 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AVD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docs.microsoft.com/azure/aks/operator-best-practices-network" TargetMode="External"/><Relationship Id="rId21" Type="http://schemas.openxmlformats.org/officeDocument/2006/relationships/hyperlink" Target="https://azure.github.io/application-gateway-kubernetes-ingress/setup/install-existing/" TargetMode="External"/><Relationship Id="rId42" Type="http://schemas.openxmlformats.org/officeDocument/2006/relationships/hyperlink" Target="https://docs.microsoft.com/azure/aks/operator-best-practices-multi-region" TargetMode="External"/><Relationship Id="rId47" Type="http://schemas.openxmlformats.org/officeDocument/2006/relationships/hyperlink" Target="https://docs.microsoft.com/azure/azure-monitor/insights/container-insights-overview" TargetMode="External"/><Relationship Id="rId63" Type="http://schemas.openxmlformats.org/officeDocument/2006/relationships/hyperlink" Target="https://docs.microsoft.com/azure/aks/load-balancer-standard" TargetMode="External"/><Relationship Id="rId68" Type="http://schemas.openxmlformats.org/officeDocument/2006/relationships/hyperlink" Target="https://docs.microsoft.com/azure/aks/operator-best-practices-scheduler" TargetMode="External"/><Relationship Id="rId84" Type="http://schemas.openxmlformats.org/officeDocument/2006/relationships/ctrlProp" Target="../ctrlProps/ctrlProp5.xml"/><Relationship Id="rId89" Type="http://schemas.openxmlformats.org/officeDocument/2006/relationships/ctrlProp" Target="../ctrlProps/ctrlProp10.xml"/><Relationship Id="rId16" Type="http://schemas.openxmlformats.org/officeDocument/2006/relationships/hyperlink" Target="https://docs.microsoft.com/azure/aks/configure-azure-cni" TargetMode="External"/><Relationship Id="rId11" Type="http://schemas.openxmlformats.org/officeDocument/2006/relationships/hyperlink" Target="https://docs.microsoft.com/azure/aks/manage-azure-rbac" TargetMode="External"/><Relationship Id="rId32" Type="http://schemas.openxmlformats.org/officeDocument/2006/relationships/hyperlink" Target="https://docs.microsoft.com/azure/aks/update-credentials" TargetMode="External"/><Relationship Id="rId37" Type="http://schemas.openxmlformats.org/officeDocument/2006/relationships/hyperlink" Target="https://docs.microsoft.com/azure/security-center/container-security" TargetMode="External"/><Relationship Id="rId53" Type="http://schemas.openxmlformats.org/officeDocument/2006/relationships/hyperlink" Target="https://docs.microsoft.com/azure/aks/concepts-scale" TargetMode="External"/><Relationship Id="rId58" Type="http://schemas.openxmlformats.org/officeDocument/2006/relationships/hyperlink" Target="https://docs.microsoft.com/azure-stack/aks-hci/adapt-apps-mixed-os-clusters" TargetMode="External"/><Relationship Id="rId74" Type="http://schemas.openxmlformats.org/officeDocument/2006/relationships/hyperlink" Target="https://dapr.io/" TargetMode="External"/><Relationship Id="rId79" Type="http://schemas.openxmlformats.org/officeDocument/2006/relationships/vmlDrawing" Target="../drawings/vmlDrawing1.vml"/><Relationship Id="rId5" Type="http://schemas.openxmlformats.org/officeDocument/2006/relationships/hyperlink" Target="https://docs.microsoft.com/azure/aks/uptime-sla" TargetMode="External"/><Relationship Id="rId90" Type="http://schemas.openxmlformats.org/officeDocument/2006/relationships/ctrlProp" Target="../ctrlProps/ctrlProp11.xml"/><Relationship Id="rId14" Type="http://schemas.openxmlformats.org/officeDocument/2006/relationships/hyperlink" Target="https://docs.microsoft.com/azure/aks/operator-best-practices-network" TargetMode="External"/><Relationship Id="rId22" Type="http://schemas.openxmlformats.org/officeDocument/2006/relationships/hyperlink" Target="https://docs.microsoft.com/azure/private-link/private-link-overview" TargetMode="External"/><Relationship Id="rId27" Type="http://schemas.openxmlformats.org/officeDocument/2006/relationships/hyperlink" Target="https://docs.microsoft.com/azure/virtual-network/ddos-protection-overview" TargetMode="External"/><Relationship Id="rId30" Type="http://schemas.openxmlformats.org/officeDocument/2006/relationships/hyperlink" Target="https://docs.microsoft.com/azure/aks/servicemesh-about" TargetMode="External"/><Relationship Id="rId35" Type="http://schemas.openxmlformats.org/officeDocument/2006/relationships/hyperlink" Target="https://docs.microsoft.com/azure/aks/use-multiple-node-pools" TargetMode="External"/><Relationship Id="rId43" Type="http://schemas.openxmlformats.org/officeDocument/2006/relationships/hyperlink" Target="https://docs.microsoft.com/azure/aks/operator-best-practices-storage" TargetMode="External"/><Relationship Id="rId48" Type="http://schemas.openxmlformats.org/officeDocument/2006/relationships/hyperlink" Target="https://docs.microsoft.com/azure/azure-monitor/insights/container-insights-overview" TargetMode="External"/><Relationship Id="rId56" Type="http://schemas.openxmlformats.org/officeDocument/2006/relationships/hyperlink" Target="https://docs.microsoft.com/azure/aks/cluster-configuration" TargetMode="External"/><Relationship Id="rId64" Type="http://schemas.openxmlformats.org/officeDocument/2006/relationships/hyperlink" Target="https://docs.microsoft.com/azure/aks/monitor-aks" TargetMode="External"/><Relationship Id="rId69" Type="http://schemas.openxmlformats.org/officeDocument/2006/relationships/hyperlink" Target="https://docs.microsoft.com/azure/aks/operator-best-practices-scheduler" TargetMode="External"/><Relationship Id="rId77" Type="http://schemas.openxmlformats.org/officeDocument/2006/relationships/printerSettings" Target="../printerSettings/printerSettings1.bin"/><Relationship Id="rId8" Type="http://schemas.openxmlformats.org/officeDocument/2006/relationships/hyperlink" Target="https://docs.microsoft.com/azure/aks/use-managed-identity" TargetMode="External"/><Relationship Id="rId51" Type="http://schemas.openxmlformats.org/officeDocument/2006/relationships/hyperlink" Target="https://docs.microsoft.com/azure/architecture/example-scenario/bedrock/bedrock-automated-deployments" TargetMode="External"/><Relationship Id="rId72" Type="http://schemas.openxmlformats.org/officeDocument/2006/relationships/hyperlink" Target="https://docs.microsoft.com/azure/architecture/reference-architectures/containers/aks/secure-baseline-aks" TargetMode="External"/><Relationship Id="rId80" Type="http://schemas.openxmlformats.org/officeDocument/2006/relationships/ctrlProp" Target="../ctrlProps/ctrlProp1.xml"/><Relationship Id="rId85" Type="http://schemas.openxmlformats.org/officeDocument/2006/relationships/ctrlProp" Target="../ctrlProps/ctrlProp6.xml"/><Relationship Id="rId3" Type="http://schemas.openxmlformats.org/officeDocument/2006/relationships/hyperlink" Target="https://docs.microsoft.com/azure/aks/operator-best-practices-multi-region" TargetMode="External"/><Relationship Id="rId12" Type="http://schemas.openxmlformats.org/officeDocument/2006/relationships/hyperlink" Target="https://docs.microsoft.com/azure/aks/operator-best-practices-identity" TargetMode="External"/><Relationship Id="rId17" Type="http://schemas.openxmlformats.org/officeDocument/2006/relationships/hyperlink" Target="https://docs.microsoft.com/azure/aks/internal-lb" TargetMode="External"/><Relationship Id="rId25" Type="http://schemas.openxmlformats.org/officeDocument/2006/relationships/hyperlink" Target="https://docs.microsoft.com/azure/aks/operator-best-practices-network" TargetMode="External"/><Relationship Id="rId33" Type="http://schemas.openxmlformats.org/officeDocument/2006/relationships/hyperlink" Target="https://docs.microsoft.com/azure/governance/policy/concepts/policy-for-kubernetes" TargetMode="External"/><Relationship Id="rId38" Type="http://schemas.openxmlformats.org/officeDocument/2006/relationships/hyperlink" Target="https://docs.microsoft.com/azure/security-center/container-security" TargetMode="External"/><Relationship Id="rId46" Type="http://schemas.openxmlformats.org/officeDocument/2006/relationships/hyperlink" Target="https://docs.microsoft.com/azure/aks/operator-best-practices-scheduler" TargetMode="External"/><Relationship Id="rId59" Type="http://schemas.openxmlformats.org/officeDocument/2006/relationships/hyperlink" Target="https://docs.microsoft.com/virtualization/windowscontainers/deploy-containers/version-compatibility?tabs=windows-server-20H2%2Cwindows-10-20H2" TargetMode="External"/><Relationship Id="rId67" Type="http://schemas.openxmlformats.org/officeDocument/2006/relationships/hyperlink" Target="https://blog.cloudtrooper.net/2020/10/23/which-vm-size-should-i-choose-as-aks-node/" TargetMode="External"/><Relationship Id="rId20" Type="http://schemas.openxmlformats.org/officeDocument/2006/relationships/hyperlink" Target="https://docs.microsoft.com/azure/aks/concepts-network" TargetMode="External"/><Relationship Id="rId41" Type="http://schemas.openxmlformats.org/officeDocument/2006/relationships/hyperlink" Target="https://docs.microsoft.com/azure/virtual-machines/disks-types" TargetMode="External"/><Relationship Id="rId54" Type="http://schemas.openxmlformats.org/officeDocument/2006/relationships/hyperlink" Target="https://kubecost.com/" TargetMode="External"/><Relationship Id="rId62" Type="http://schemas.openxmlformats.org/officeDocument/2006/relationships/hyperlink" Target="https://docs.microsoft.com/azure/virtual-machines/premium-storage-performance" TargetMode="External"/><Relationship Id="rId70" Type="http://schemas.openxmlformats.org/officeDocument/2006/relationships/hyperlink" Target="https://docs.microsoft.com/azure/azure-resource-manager/management/azure-subscription-service-limits" TargetMode="External"/><Relationship Id="rId75" Type="http://schemas.openxmlformats.org/officeDocument/2006/relationships/hyperlink" Target="https://docs.microsoft.com/azure/aks/operator-best-practices-cluster-isolation" TargetMode="External"/><Relationship Id="rId83" Type="http://schemas.openxmlformats.org/officeDocument/2006/relationships/ctrlProp" Target="../ctrlProps/ctrlProp4.xml"/><Relationship Id="rId88" Type="http://schemas.openxmlformats.org/officeDocument/2006/relationships/ctrlProp" Target="../ctrlProps/ctrlProp9.xml"/><Relationship Id="rId91" Type="http://schemas.openxmlformats.org/officeDocument/2006/relationships/ctrlProp" Target="../ctrlProps/ctrlProp12.xml"/><Relationship Id="rId1" Type="http://schemas.openxmlformats.org/officeDocument/2006/relationships/hyperlink" Target="https://docs.microsoft.com/azure/cloud-adoption-framework/ready/enterprise-scale/business-continuity-and-disaster-recovery" TargetMode="External"/><Relationship Id="rId6" Type="http://schemas.openxmlformats.org/officeDocument/2006/relationships/hyperlink" Target="https://docs.microsoft.com/azure/aks/operator-best-practices-scheduler" TargetMode="External"/><Relationship Id="rId15" Type="http://schemas.openxmlformats.org/officeDocument/2006/relationships/hyperlink" Target="https://docs.microsoft.com/azure/aks/configure-azure-cni" TargetMode="External"/><Relationship Id="rId23" Type="http://schemas.openxmlformats.org/officeDocument/2006/relationships/hyperlink" Target="https://docs.microsoft.com/azure/aks/private-clusters" TargetMode="External"/><Relationship Id="rId28" Type="http://schemas.openxmlformats.org/officeDocument/2006/relationships/hyperlink" Target="https://docs.microsoft.com/azure/aks/http-application-routing" TargetMode="External"/><Relationship Id="rId36" Type="http://schemas.openxmlformats.org/officeDocument/2006/relationships/hyperlink" Target="https://docs.microsoft.com/azure/container-registry/" TargetMode="External"/><Relationship Id="rId49" Type="http://schemas.openxmlformats.org/officeDocument/2006/relationships/hyperlink" Target="https://docs.microsoft.com/azure/azure-monitor/insights/container-insights-metric-alerts" TargetMode="External"/><Relationship Id="rId57" Type="http://schemas.openxmlformats.org/officeDocument/2006/relationships/hyperlink" Target="https://kubernetes.io/docs/setup/release/notes/" TargetMode="External"/><Relationship Id="rId10" Type="http://schemas.openxmlformats.org/officeDocument/2006/relationships/hyperlink" Target="https://docs.microsoft.com/azure/aks/control-kubeconfig-access" TargetMode="External"/><Relationship Id="rId31" Type="http://schemas.openxmlformats.org/officeDocument/2006/relationships/hyperlink" Target="https://github.com/Azure/secrets-store-csi-driver-provider-azure" TargetMode="External"/><Relationship Id="rId44" Type="http://schemas.openxmlformats.org/officeDocument/2006/relationships/hyperlink" Target="https://docs.microsoft.com/azure/aks/availability-zones" TargetMode="External"/><Relationship Id="rId52" Type="http://schemas.openxmlformats.org/officeDocument/2006/relationships/hyperlink" Target="https://docs.microsoft.com/azure/aks/spot-node-pool" TargetMode="External"/><Relationship Id="rId60" Type="http://schemas.openxmlformats.org/officeDocument/2006/relationships/hyperlink" Target="https://docs.microsoft.com/azure/azure-monitor/containers/container-insights-analyze" TargetMode="External"/><Relationship Id="rId65" Type="http://schemas.openxmlformats.org/officeDocument/2006/relationships/hyperlink" Target="https://docs.microsoft.com/azure/aks/concepts-scale" TargetMode="External"/><Relationship Id="rId73" Type="http://schemas.openxmlformats.org/officeDocument/2006/relationships/hyperlink" Target="https://docs.microsoft.com/azure/azure-functions/functions-kubernetes-keda" TargetMode="External"/><Relationship Id="rId78" Type="http://schemas.openxmlformats.org/officeDocument/2006/relationships/drawing" Target="../drawings/drawing2.xml"/><Relationship Id="rId81" Type="http://schemas.openxmlformats.org/officeDocument/2006/relationships/ctrlProp" Target="../ctrlProps/ctrlProp2.xml"/><Relationship Id="rId86" Type="http://schemas.openxmlformats.org/officeDocument/2006/relationships/ctrlProp" Target="../ctrlProps/ctrlProp7.xml"/><Relationship Id="rId4" Type="http://schemas.openxmlformats.org/officeDocument/2006/relationships/hyperlink" Target="https://docs.microsoft.com/azure/aks/availability-zones" TargetMode="External"/><Relationship Id="rId9" Type="http://schemas.openxmlformats.org/officeDocument/2006/relationships/hyperlink" Target="https://docs.microsoft.com/azure/aks/managed-aad" TargetMode="External"/><Relationship Id="rId13" Type="http://schemas.openxmlformats.org/officeDocument/2006/relationships/hyperlink" Target="https://docs.microsoft.com/azure/aks/operator-best-practices-identity" TargetMode="External"/><Relationship Id="rId18" Type="http://schemas.openxmlformats.org/officeDocument/2006/relationships/hyperlink" Target="https://docs.microsoft.com/azure/aks/limit-egress-traffic" TargetMode="External"/><Relationship Id="rId39" Type="http://schemas.openxmlformats.org/officeDocument/2006/relationships/hyperlink" Target="https://docs.microsoft.com/azure/cloud-adoption-framework/scenarios/aks/eslz-cost-governance-with-kubecost" TargetMode="External"/><Relationship Id="rId34" Type="http://schemas.openxmlformats.org/officeDocument/2006/relationships/hyperlink" Target="https://docs.microsoft.com/azure/aks/use-system-pools" TargetMode="External"/><Relationship Id="rId50" Type="http://schemas.openxmlformats.org/officeDocument/2006/relationships/hyperlink" Target="https://docs.microsoft.com/azure/aks/node-updates-kured" TargetMode="External"/><Relationship Id="rId55" Type="http://schemas.openxmlformats.org/officeDocument/2006/relationships/hyperlink" Target="https://docs.microsoft.com/azure/aks/faq" TargetMode="External"/><Relationship Id="rId76" Type="http://schemas.openxmlformats.org/officeDocument/2006/relationships/hyperlink" Target="https://docs.microsoft.com/azure/aks/supported-kubernetes-versions" TargetMode="External"/><Relationship Id="rId7" Type="http://schemas.openxmlformats.org/officeDocument/2006/relationships/hyperlink" Target="https://docs.microsoft.com/azure/container-registry/container-registry-geo-replication" TargetMode="External"/><Relationship Id="rId71" Type="http://schemas.openxmlformats.org/officeDocument/2006/relationships/hyperlink" Target="https://docs.microsoft.com/azure/developer/terraform/create-k8s-cluster-with-tf-and-aks" TargetMode="External"/><Relationship Id="rId92" Type="http://schemas.openxmlformats.org/officeDocument/2006/relationships/ctrlProp" Target="../ctrlProps/ctrlProp13.xml"/><Relationship Id="rId2" Type="http://schemas.openxmlformats.org/officeDocument/2006/relationships/hyperlink" Target="https://docs.microsoft.com/azure/cloud-adoption-framework/ready/enterprise-scale/business-continuity-and-disaster-recovery" TargetMode="External"/><Relationship Id="rId29" Type="http://schemas.openxmlformats.org/officeDocument/2006/relationships/hyperlink" Target="https://docs.microsoft.com/azure/expressroute/designing-for-disaster-recovery-with-expressroute-privatepeering" TargetMode="External"/><Relationship Id="rId24" Type="http://schemas.openxmlformats.org/officeDocument/2006/relationships/hyperlink" Target="https://docs.microsoft.com/azure/aks/use-network-policies" TargetMode="External"/><Relationship Id="rId40" Type="http://schemas.openxmlformats.org/officeDocument/2006/relationships/hyperlink" Target="https://docs.microsoft.com/azure/aks/cluster-configuration" TargetMode="External"/><Relationship Id="rId45" Type="http://schemas.openxmlformats.org/officeDocument/2006/relationships/hyperlink" Target="https://docs.microsoft.com/azure/advisor/advisor-get-started" TargetMode="External"/><Relationship Id="rId66" Type="http://schemas.openxmlformats.org/officeDocument/2006/relationships/hyperlink" Target="https://docs.microsoft.com/azure/aks/concepts-scale" TargetMode="External"/><Relationship Id="rId87" Type="http://schemas.openxmlformats.org/officeDocument/2006/relationships/ctrlProp" Target="../ctrlProps/ctrlProp8.xml"/><Relationship Id="rId61" Type="http://schemas.openxmlformats.org/officeDocument/2006/relationships/hyperlink" Target="https://docs.microsoft.com/azure/aks/configure-azure-cni" TargetMode="External"/><Relationship Id="rId82" Type="http://schemas.openxmlformats.org/officeDocument/2006/relationships/ctrlProp" Target="../ctrlProps/ctrlProp3.xml"/><Relationship Id="rId19" Type="http://schemas.openxmlformats.org/officeDocument/2006/relationships/hyperlink" Target="https://docs.microsoft.com/azure/aks/api-server-authorized-ip-range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2:S29"/>
  <sheetViews>
    <sheetView topLeftCell="A4" zoomScale="80" zoomScaleNormal="80" workbookViewId="0">
      <selection activeCell="M34" sqref="M34"/>
    </sheetView>
  </sheetViews>
  <sheetFormatPr defaultRowHeight="14.4" x14ac:dyDescent="0.55000000000000004"/>
  <cols>
    <col min="1" max="1" width="28.26171875" customWidth="1"/>
  </cols>
  <sheetData>
    <row r="2" spans="1:13" ht="30.6" x14ac:dyDescent="1.1000000000000001">
      <c r="A2" s="16" t="s">
        <v>15</v>
      </c>
      <c r="D2" s="19">
        <f>S29</f>
        <v>0</v>
      </c>
    </row>
    <row r="5" spans="1:13" x14ac:dyDescent="0.55000000000000004">
      <c r="B5" s="15" t="str">
        <f>Values!$B$2</f>
        <v>Not verified</v>
      </c>
      <c r="C5" s="15" t="str">
        <f>Values!$B$3</f>
        <v>Open</v>
      </c>
      <c r="D5" s="15" t="str">
        <f>Values!$B$4</f>
        <v>Fulfilled</v>
      </c>
      <c r="E5" s="15" t="str">
        <f>Values!$B$5</f>
        <v>N/A</v>
      </c>
      <c r="I5" s="15" t="str">
        <f>Values!$B$2</f>
        <v>Not verified</v>
      </c>
      <c r="J5" s="15" t="str">
        <f>Values!$B$3</f>
        <v>Open</v>
      </c>
      <c r="K5" s="15" t="str">
        <f>Values!$B$4</f>
        <v>Fulfilled</v>
      </c>
      <c r="L5" s="15" t="str">
        <f>Values!$B$5</f>
        <v>N/A</v>
      </c>
      <c r="M5" s="15" t="s">
        <v>17</v>
      </c>
    </row>
    <row r="6" spans="1:13" x14ac:dyDescent="0.55000000000000004">
      <c r="A6" s="15" t="str">
        <f>Values!A2</f>
        <v>High</v>
      </c>
      <c r="B6" cm="1">
        <f t="array" ref="B6">SUMPRODUCT(--(Checklist!$D$5:$G$500=$A6)*--(Checklist!$E$5:$E$500=B$5))</f>
        <v>28</v>
      </c>
      <c r="C6" cm="1">
        <f t="array" ref="C6">SUMPRODUCT(--(Checklist!$D$5:$G$500=$A6)*--(Checklist!$E$5:$E$500=C$5))</f>
        <v>0</v>
      </c>
      <c r="D6" cm="1">
        <f t="array" ref="D6">SUMPRODUCT(--(Checklist!$D$5:$G$500=$A6)*--(Checklist!$E$5:$E$500=D$5))</f>
        <v>0</v>
      </c>
      <c r="E6" cm="1">
        <f t="array" ref="E6">SUMPRODUCT(--(Checklist!$D$5:$G$500=$A6)*--(Checklist!$E$5:$E$500=E$5))</f>
        <v>0</v>
      </c>
      <c r="F6">
        <f>SUM(B6:E6)</f>
        <v>28</v>
      </c>
      <c r="H6" s="15" t="str">
        <f>IF(Values!$C2="","",Values!$C2)</f>
        <v>Identity and Access Management</v>
      </c>
      <c r="I6" cm="1">
        <f t="array" ref="I6">IF($H6="","",SUMPRODUCT(--(Checklist!$A$5:$A$500=$H6)*--(Checklist!$E$5:$E$500=I$5)))</f>
        <v>6</v>
      </c>
      <c r="J6" cm="1">
        <f t="array" ref="J6">IF($H6="","",SUMPRODUCT(--(Checklist!$A$5:$A$500=$H6)*--(Checklist!$E$5:$E$500=J$5)))</f>
        <v>0</v>
      </c>
      <c r="K6" cm="1">
        <f t="array" ref="K6">IF($H6="","",SUMPRODUCT(--(Checklist!$A$5:$A$500=$H6)*--(Checklist!$E$5:$E$500=K$5)))</f>
        <v>0</v>
      </c>
      <c r="L6" cm="1">
        <f t="array" ref="L6">IF($H6="","",SUMPRODUCT(--(Checklist!$A$5:$A$500=$H6)*--(Checklist!$E$5:$E$500=L$5)))</f>
        <v>0</v>
      </c>
      <c r="M6">
        <f>IF($H6="","",SUM(I6:L6))</f>
        <v>6</v>
      </c>
    </row>
    <row r="7" spans="1:13" x14ac:dyDescent="0.55000000000000004">
      <c r="A7" s="15" t="str">
        <f>Values!A3</f>
        <v>Medium</v>
      </c>
      <c r="B7" cm="1">
        <f t="array" ref="B7">SUMPRODUCT(--(Checklist!$D$5:$G$500=$A7)*--(Checklist!$E$5:$E$500=B$5))</f>
        <v>32</v>
      </c>
      <c r="C7" cm="1">
        <f t="array" ref="C7">SUMPRODUCT(--(Checklist!$D$5:$G$500=$A7)*--(Checklist!$E$5:$E$500=C$5))</f>
        <v>0</v>
      </c>
      <c r="D7" cm="1">
        <f t="array" ref="D7">SUMPRODUCT(--(Checklist!$D$5:$G$500=$A7)*--(Checklist!$E$5:$E$500=D$5))</f>
        <v>0</v>
      </c>
      <c r="E7" cm="1">
        <f t="array" ref="E7">SUMPRODUCT(--(Checklist!$D$5:$G$500=$A7)*--(Checklist!$E$5:$E$500=E$5))</f>
        <v>0</v>
      </c>
      <c r="F7">
        <f>SUM(B7:E7)</f>
        <v>32</v>
      </c>
      <c r="H7" s="15" t="str">
        <f>IF(Values!$C3="","",Values!$C3)</f>
        <v>Network Topology and Connectivity</v>
      </c>
      <c r="I7" cm="1">
        <f t="array" ref="I7">IF($H7="","",SUMPRODUCT(--(Checklist!$A$5:$A$500=$H7)*--(Checklist!$E$5:$E$500=I$5)))</f>
        <v>17</v>
      </c>
      <c r="J7" cm="1">
        <f t="array" ref="J7">IF($H7="","",SUMPRODUCT(--(Checklist!$A$5:$A$500=$H7)*--(Checklist!$E$5:$E$500=J$5)))</f>
        <v>0</v>
      </c>
      <c r="K7" cm="1">
        <f t="array" ref="K7">IF($H7="","",SUMPRODUCT(--(Checklist!$A$5:$A$500=$H7)*--(Checklist!$E$5:$E$500=K$5)))</f>
        <v>0</v>
      </c>
      <c r="L7" cm="1">
        <f t="array" ref="L7">IF($H7="","",SUMPRODUCT(--(Checklist!$A$5:$A$500=$H7)*--(Checklist!$E$5:$E$500=L$5)))</f>
        <v>0</v>
      </c>
      <c r="M7">
        <f t="shared" ref="M7:M12" si="0">IF($H7="","",SUM(I7:L7))</f>
        <v>17</v>
      </c>
    </row>
    <row r="8" spans="1:13" x14ac:dyDescent="0.55000000000000004">
      <c r="A8" s="15" t="str">
        <f>Values!A4</f>
        <v>Low</v>
      </c>
      <c r="B8" cm="1">
        <f t="array" ref="B8">SUMPRODUCT(--(Checklist!$D$5:$G$500=$A8)*--(Checklist!$E$5:$E$500=B$5))</f>
        <v>16</v>
      </c>
      <c r="C8" cm="1">
        <f t="array" ref="C8">SUMPRODUCT(--(Checklist!$D$5:$G$500=$A8)*--(Checklist!$E$5:$E$500=C$5))</f>
        <v>0</v>
      </c>
      <c r="D8" cm="1">
        <f t="array" ref="D8">SUMPRODUCT(--(Checklist!$D$5:$G$500=$A8)*--(Checklist!$E$5:$E$500=D$5))</f>
        <v>0</v>
      </c>
      <c r="E8" cm="1">
        <f t="array" ref="E8">SUMPRODUCT(--(Checklist!$D$5:$G$500=$A8)*--(Checklist!$E$5:$E$500=E$5))</f>
        <v>0</v>
      </c>
      <c r="F8">
        <f>SUM(B8:E8)</f>
        <v>16</v>
      </c>
      <c r="H8" s="15" t="str">
        <f>IF(Values!$C4="","",Values!$C4)</f>
        <v>BC and DR</v>
      </c>
      <c r="I8" cm="1">
        <f t="array" ref="I8">IF($H8="","",SUMPRODUCT(--(Checklist!$A$5:$A$500=$H8)*--(Checklist!$E$5:$E$500=I$5)))</f>
        <v>7</v>
      </c>
      <c r="J8" cm="1">
        <f t="array" ref="J8">IF($H8="","",SUMPRODUCT(--(Checklist!$A$5:$A$500=$H8)*--(Checklist!$E$5:$E$500=J$5)))</f>
        <v>0</v>
      </c>
      <c r="K8" cm="1">
        <f t="array" ref="K8">IF($H8="","",SUMPRODUCT(--(Checklist!$A$5:$A$500=$H8)*--(Checklist!$E$5:$E$500=K$5)))</f>
        <v>0</v>
      </c>
      <c r="L8" cm="1">
        <f t="array" ref="L8">IF($H8="","",SUMPRODUCT(--(Checklist!$A$5:$A$500=$H8)*--(Checklist!$E$5:$E$500=L$5)))</f>
        <v>0</v>
      </c>
      <c r="M8">
        <f t="shared" si="0"/>
        <v>7</v>
      </c>
    </row>
    <row r="9" spans="1:13" x14ac:dyDescent="0.55000000000000004">
      <c r="B9">
        <f>SUM(B6:B8)</f>
        <v>76</v>
      </c>
      <c r="C9">
        <f>SUM(C6:C8)</f>
        <v>0</v>
      </c>
      <c r="D9">
        <f>SUM(D6:D8)</f>
        <v>0</v>
      </c>
      <c r="E9">
        <f>SUM(E6:E8)</f>
        <v>0</v>
      </c>
      <c r="F9" s="15">
        <f>SUM(F6:F8)</f>
        <v>76</v>
      </c>
      <c r="H9" s="15" t="str">
        <f>IF(Values!$C5="","",Values!$C5)</f>
        <v>Governance and Security</v>
      </c>
      <c r="I9" cm="1">
        <f t="array" ref="I9">IF($H9="","",SUMPRODUCT(--(Checklist!$A$5:$A$500=$H9)*--(Checklist!$E$5:$E$500=I$5)))</f>
        <v>9</v>
      </c>
      <c r="J9" cm="1">
        <f t="array" ref="J9">IF($H9="","",SUMPRODUCT(--(Checklist!$A$5:$A$500=$H9)*--(Checklist!$E$5:$E$500=J$5)))</f>
        <v>0</v>
      </c>
      <c r="K9" cm="1">
        <f t="array" ref="K9">IF($H9="","",SUMPRODUCT(--(Checklist!$A$5:$A$500=$H9)*--(Checklist!$E$5:$E$500=K$5)))</f>
        <v>0</v>
      </c>
      <c r="L9" cm="1">
        <f t="array" ref="L9">IF($H9="","",SUMPRODUCT(--(Checklist!$A$5:$A$500=$H9)*--(Checklist!$E$5:$E$500=L$5)))</f>
        <v>0</v>
      </c>
      <c r="M9">
        <f t="shared" si="0"/>
        <v>9</v>
      </c>
    </row>
    <row r="10" spans="1:13" x14ac:dyDescent="0.55000000000000004">
      <c r="H10" s="15" t="str">
        <f>IF(Values!$C6="","",Values!$C6)</f>
        <v>Cost Governance</v>
      </c>
      <c r="I10" cm="1">
        <f t="array" ref="I10">IF($H10="","",SUMPRODUCT(--(Checklist!$A$5:$A$500=$H10)*--(Checklist!$E$5:$E$500=I$5)))</f>
        <v>1</v>
      </c>
      <c r="J10" cm="1">
        <f t="array" ref="J10">IF($H10="","",SUMPRODUCT(--(Checklist!$A$5:$A$500=$H10)*--(Checklist!$E$5:$E$500=J$5)))</f>
        <v>0</v>
      </c>
      <c r="K10" cm="1">
        <f t="array" ref="K10">IF($H10="","",SUMPRODUCT(--(Checklist!$A$5:$A$500=$H10)*--(Checklist!$E$5:$E$500=K$5)))</f>
        <v>0</v>
      </c>
      <c r="L10" cm="1">
        <f t="array" ref="L10">IF($H10="","",SUMPRODUCT(--(Checklist!$A$5:$A$500=$H10)*--(Checklist!$E$5:$E$500=L$5)))</f>
        <v>0</v>
      </c>
      <c r="M10">
        <f t="shared" si="0"/>
        <v>1</v>
      </c>
    </row>
    <row r="11" spans="1:13" x14ac:dyDescent="0.55000000000000004">
      <c r="H11" s="15" t="str">
        <f>IF(Values!$C7="","",Values!$C7)</f>
        <v>Operations</v>
      </c>
      <c r="I11" cm="1">
        <f t="array" ref="I11">IF($H11="","",SUMPRODUCT(--(Checklist!$A$5:$A$500=$H11)*--(Checklist!$E$5:$E$500=I$5)))</f>
        <v>32</v>
      </c>
      <c r="J11" cm="1">
        <f t="array" ref="J11">IF($H11="","",SUMPRODUCT(--(Checklist!$A$5:$A$500=$H11)*--(Checklist!$E$5:$E$500=J$5)))</f>
        <v>0</v>
      </c>
      <c r="K11" cm="1">
        <f t="array" ref="K11">IF($H11="","",SUMPRODUCT(--(Checklist!$A$5:$A$500=$H11)*--(Checklist!$E$5:$E$500=K$5)))</f>
        <v>0</v>
      </c>
      <c r="L11" cm="1">
        <f t="array" ref="L11">IF($H11="","",SUMPRODUCT(--(Checklist!$A$5:$A$500=$H11)*--(Checklist!$E$5:$E$500=L$5)))</f>
        <v>0</v>
      </c>
      <c r="M11">
        <f t="shared" si="0"/>
        <v>32</v>
      </c>
    </row>
    <row r="12" spans="1:13" x14ac:dyDescent="0.55000000000000004">
      <c r="H12" s="15" t="str">
        <f>IF(Values!$C8="","",Values!$C8)</f>
        <v>Application Deployment</v>
      </c>
      <c r="I12" cm="1">
        <f t="array" ref="I12">IF($H12="","",SUMPRODUCT(--(Checklist!$A$5:$A$500=$H12)*--(Checklist!$E$5:$E$500=I$5)))</f>
        <v>4</v>
      </c>
      <c r="J12" cm="1">
        <f t="array" ref="J12">IF($H12="","",SUMPRODUCT(--(Checklist!$A$5:$A$500=$H12)*--(Checklist!$E$5:$E$500=J$5)))</f>
        <v>0</v>
      </c>
      <c r="K12" cm="1">
        <f t="array" ref="K12">IF($H12="","",SUMPRODUCT(--(Checklist!$A$5:$A$500=$H12)*--(Checklist!$E$5:$E$500=K$5)))</f>
        <v>0</v>
      </c>
      <c r="L12" cm="1">
        <f t="array" ref="L12">IF($H12="","",SUMPRODUCT(--(Checklist!$A$5:$A$500=$H12)*--(Checklist!$E$5:$E$500=L$5)))</f>
        <v>0</v>
      </c>
      <c r="M12">
        <f t="shared" si="0"/>
        <v>4</v>
      </c>
    </row>
    <row r="13" spans="1:13" x14ac:dyDescent="0.55000000000000004">
      <c r="H13" s="15" t="str">
        <f>IF(Values!$C9="","",Values!$C9)</f>
        <v/>
      </c>
      <c r="I13" t="str" cm="1">
        <f t="array" ref="I13">IF($H13="","",SUMPRODUCT(--(Checklist!$A$5:$A$500=$H13)*--(Checklist!$E$5:$E$500=I$5)))</f>
        <v/>
      </c>
      <c r="J13" t="str" cm="1">
        <f t="array" ref="J13">IF($H13="","",SUMPRODUCT(--(Checklist!$A$5:$A$500=$H13)*--(Checklist!$E$5:$E$500=J$5)))</f>
        <v/>
      </c>
      <c r="K13" t="str" cm="1">
        <f t="array" ref="K13">IF($H13="","",SUMPRODUCT(--(Checklist!$A$5:$A$500=$H13)*--(Checklist!$E$5:$E$500=K$5)))</f>
        <v/>
      </c>
      <c r="L13" t="str" cm="1">
        <f t="array" ref="L13">IF($H13="","",SUMPRODUCT(--(Checklist!$A$5:$A$500=$H13)*--(Checklist!$E$5:$E$500=L$5)))</f>
        <v/>
      </c>
      <c r="M13" t="str">
        <f>IF($H13="","",SUM(I13:L13))</f>
        <v/>
      </c>
    </row>
    <row r="14" spans="1:13" x14ac:dyDescent="0.55000000000000004">
      <c r="I14">
        <f>SUM(I6:I13)</f>
        <v>76</v>
      </c>
      <c r="J14">
        <f>SUM(J6:J13)</f>
        <v>0</v>
      </c>
      <c r="K14">
        <f>SUM(K6:K13)</f>
        <v>0</v>
      </c>
      <c r="L14">
        <f>SUM(L6:L13)</f>
        <v>0</v>
      </c>
      <c r="M14" s="15">
        <f>SUM(M6:M13)</f>
        <v>76</v>
      </c>
    </row>
    <row r="20" spans="14:19" x14ac:dyDescent="0.55000000000000004">
      <c r="N20" s="15" t="s">
        <v>16</v>
      </c>
      <c r="O20" s="15" t="str">
        <f>Values!$B$2</f>
        <v>Not verified</v>
      </c>
      <c r="P20" s="15" t="str">
        <f>Values!$B$3</f>
        <v>Open</v>
      </c>
      <c r="Q20" s="15" t="s">
        <v>19</v>
      </c>
      <c r="R20" s="15" t="s">
        <v>17</v>
      </c>
      <c r="S20" s="15" t="s">
        <v>18</v>
      </c>
    </row>
    <row r="21" spans="14:19" x14ac:dyDescent="0.55000000000000004">
      <c r="N21" s="15" t="str">
        <f>IF(Values!$C2="","",Values!$C2)</f>
        <v>Identity and Access Management</v>
      </c>
      <c r="O21" cm="1">
        <f t="array" ref="O21">IF($N21="","",SUMPRODUCT(--(Checklist!$A$5:$A$500=$N21)*--(Checklist!$E$5:$E$500=O$20)))</f>
        <v>6</v>
      </c>
      <c r="P21" cm="1">
        <f t="array" ref="P21">IF($N21="","",SUMPRODUCT(--(Checklist!$A$5:$A$500=$N21)*--(Checklist!$E$5:$E$500=P$20)))</f>
        <v>0</v>
      </c>
      <c r="Q21" cm="1">
        <f t="array" ref="Q21">IF($N21="","",SUMPRODUCT(--(Checklist!$A$5:$A$500=$N21)*(--(Checklist!$E$5:$E$500=Values!$B$4)+--(Checklist!$E$5:$E$500=Values!$B$5))))</f>
        <v>0</v>
      </c>
      <c r="R21">
        <f>IF($N21="","",SUM(O21:Q21))</f>
        <v>6</v>
      </c>
      <c r="S21" s="17">
        <f>IF($N21="","",Q21/R21)</f>
        <v>0</v>
      </c>
    </row>
    <row r="22" spans="14:19" x14ac:dyDescent="0.55000000000000004">
      <c r="N22" s="15" t="str">
        <f>IF(Values!$C3="","",Values!$C3)</f>
        <v>Network Topology and Connectivity</v>
      </c>
      <c r="O22" cm="1">
        <f t="array" ref="O22">IF($N22="","",SUMPRODUCT(--(Checklist!$A$5:$A$500=$N22)*--(Checklist!$E$5:$E$500=O$20)))</f>
        <v>17</v>
      </c>
      <c r="P22" cm="1">
        <f t="array" ref="P22">IF($N22="","",SUMPRODUCT(--(Checklist!$A$5:$A$500=$N22)*--(Checklist!$E$5:$E$500=P$20)))</f>
        <v>0</v>
      </c>
      <c r="Q22" cm="1">
        <f t="array" ref="Q22">IF($N22="","",SUMPRODUCT(--(Checklist!$A$5:$A$500=$N22)*(--(Checklist!$E$5:$E$500=Values!$B$4)+--(Checklist!$E$5:$E$500=Values!$B$5))))</f>
        <v>0</v>
      </c>
      <c r="R22">
        <f t="shared" ref="R22:R27" si="1">IF($N22="","",SUM(O22:Q22))</f>
        <v>17</v>
      </c>
      <c r="S22" s="17">
        <f t="shared" ref="S22:S27" si="2">IF($N22="","",Q22/R22)</f>
        <v>0</v>
      </c>
    </row>
    <row r="23" spans="14:19" x14ac:dyDescent="0.55000000000000004">
      <c r="N23" s="15" t="str">
        <f>IF(Values!$C4="","",Values!$C4)</f>
        <v>BC and DR</v>
      </c>
      <c r="O23" cm="1">
        <f t="array" ref="O23">IF($N23="","",SUMPRODUCT(--(Checklist!$A$5:$A$500=$N23)*--(Checklist!$E$5:$E$500=O$20)))</f>
        <v>7</v>
      </c>
      <c r="P23" cm="1">
        <f t="array" ref="P23">IF($N23="","",SUMPRODUCT(--(Checklist!$A$5:$A$500=$N23)*--(Checklist!$E$5:$E$500=P$20)))</f>
        <v>0</v>
      </c>
      <c r="Q23" cm="1">
        <f t="array" ref="Q23">IF($N23="","",SUMPRODUCT(--(Checklist!$A$5:$A$500=$N23)*(--(Checklist!$E$5:$E$500=Values!$B$4)+--(Checklist!$E$5:$E$500=Values!$B$5))))</f>
        <v>0</v>
      </c>
      <c r="R23">
        <f t="shared" si="1"/>
        <v>7</v>
      </c>
      <c r="S23" s="17">
        <f t="shared" si="2"/>
        <v>0</v>
      </c>
    </row>
    <row r="24" spans="14:19" x14ac:dyDescent="0.55000000000000004">
      <c r="N24" s="15" t="str">
        <f>IF(Values!$C5="","",Values!$C5)</f>
        <v>Governance and Security</v>
      </c>
      <c r="O24" cm="1">
        <f t="array" ref="O24">IF($N24="","",SUMPRODUCT(--(Checklist!$A$5:$A$500=$N24)*--(Checklist!$E$5:$E$500=O$20)))</f>
        <v>9</v>
      </c>
      <c r="P24" cm="1">
        <f t="array" ref="P24">IF($N24="","",SUMPRODUCT(--(Checklist!$A$5:$A$500=$N24)*--(Checklist!$E$5:$E$500=P$20)))</f>
        <v>0</v>
      </c>
      <c r="Q24" cm="1">
        <f t="array" ref="Q24">IF($N24="","",SUMPRODUCT(--(Checklist!$A$5:$A$500=$N24)*(--(Checklist!$E$5:$E$500=Values!$B$4)+--(Checklist!$E$5:$E$500=Values!$B$5))))</f>
        <v>0</v>
      </c>
      <c r="R24">
        <f t="shared" si="1"/>
        <v>9</v>
      </c>
      <c r="S24" s="17">
        <f t="shared" si="2"/>
        <v>0</v>
      </c>
    </row>
    <row r="25" spans="14:19" x14ac:dyDescent="0.55000000000000004">
      <c r="N25" s="15" t="str">
        <f>IF(Values!$C6="","",Values!$C6)</f>
        <v>Cost Governance</v>
      </c>
      <c r="O25" cm="1">
        <f t="array" ref="O25">IF($N25="","",SUMPRODUCT(--(Checklist!$A$5:$A$500=$N25)*--(Checklist!$E$5:$E$500=O$20)))</f>
        <v>1</v>
      </c>
      <c r="P25" cm="1">
        <f t="array" ref="P25">IF($N25="","",SUMPRODUCT(--(Checklist!$A$5:$A$500=$N25)*--(Checklist!$E$5:$E$500=P$20)))</f>
        <v>0</v>
      </c>
      <c r="Q25" cm="1">
        <f t="array" ref="Q25">IF($N25="","",SUMPRODUCT(--(Checklist!$A$5:$A$500=$N25)*(--(Checklist!$E$5:$E$500=Values!$B$4)+--(Checklist!$E$5:$E$500=Values!$B$5))))</f>
        <v>0</v>
      </c>
      <c r="R25">
        <f t="shared" si="1"/>
        <v>1</v>
      </c>
      <c r="S25" s="17">
        <f t="shared" si="2"/>
        <v>0</v>
      </c>
    </row>
    <row r="26" spans="14:19" x14ac:dyDescent="0.55000000000000004">
      <c r="N26" s="15" t="str">
        <f>IF(Values!$C7="","",Values!$C7)</f>
        <v>Operations</v>
      </c>
      <c r="O26" cm="1">
        <f t="array" ref="O26">IF($N26="","",SUMPRODUCT(--(Checklist!$A$5:$A$500=$N26)*--(Checklist!$E$5:$E$500=O$20)))</f>
        <v>32</v>
      </c>
      <c r="P26" cm="1">
        <f t="array" ref="P26">IF($N26="","",SUMPRODUCT(--(Checklist!$A$5:$A$500=$N26)*--(Checklist!$E$5:$E$500=P$20)))</f>
        <v>0</v>
      </c>
      <c r="Q26" cm="1">
        <f t="array" ref="Q26">IF($N26="","",SUMPRODUCT(--(Checklist!$A$5:$A$500=$N26)*(--(Checklist!$E$5:$E$500=Values!$B$4)+--(Checklist!$E$5:$E$500=Values!$B$5))))</f>
        <v>0</v>
      </c>
      <c r="R26">
        <f t="shared" si="1"/>
        <v>32</v>
      </c>
      <c r="S26" s="17">
        <f t="shared" si="2"/>
        <v>0</v>
      </c>
    </row>
    <row r="27" spans="14:19" x14ac:dyDescent="0.55000000000000004">
      <c r="N27" s="15" t="str">
        <f>IF(Values!$C8="","",Values!$C8)</f>
        <v>Application Deployment</v>
      </c>
      <c r="O27" cm="1">
        <f t="array" ref="O27">IF($N27="","",SUMPRODUCT(--(Checklist!$A$5:$A$500=$N27)*--(Checklist!$E$5:$E$500=O$20)))</f>
        <v>4</v>
      </c>
      <c r="P27" cm="1">
        <f t="array" ref="P27">IF($N27="","",SUMPRODUCT(--(Checklist!$A$5:$A$500=$N27)*--(Checklist!$E$5:$E$500=P$20)))</f>
        <v>0</v>
      </c>
      <c r="Q27" cm="1">
        <f t="array" ref="Q27">IF($N27="","",SUMPRODUCT(--(Checklist!$A$5:$A$500=$N27)*(--(Checklist!$E$5:$E$500=Values!$B$4)+--(Checklist!$E$5:$E$500=Values!$B$5))))</f>
        <v>0</v>
      </c>
      <c r="R27">
        <f t="shared" si="1"/>
        <v>4</v>
      </c>
      <c r="S27" s="17">
        <f t="shared" si="2"/>
        <v>0</v>
      </c>
    </row>
    <row r="28" spans="14:19" x14ac:dyDescent="0.55000000000000004">
      <c r="N28" s="15" t="str">
        <f>IF(Values!$C9="","",Values!$C9)</f>
        <v/>
      </c>
      <c r="O28" t="str" cm="1">
        <f t="array" ref="O28">IF($N28="","",SUMPRODUCT(--(Checklist!$A$5:$A$500=$N28)*--(Checklist!$E$5:$E$500=O$20)))</f>
        <v/>
      </c>
      <c r="P28" t="str" cm="1">
        <f t="array" ref="P28">IF($N28="","",SUMPRODUCT(--(Checklist!$A$5:$A$500=$N28)*--(Checklist!$E$5:$E$500=P$20)))</f>
        <v/>
      </c>
      <c r="Q28" t="str" cm="1">
        <f t="array" ref="Q28">IF($N28="","",SUMPRODUCT(--(Checklist!$A$5:$A$500=$N28)*(--(Checklist!$E$5:$E$500=Values!$B$4)+--(Checklist!$E$5:$E$500=Values!$B$5))))</f>
        <v/>
      </c>
      <c r="R28" t="str">
        <f>IF($N28="","",SUM(O28:Q28))</f>
        <v/>
      </c>
      <c r="S28" s="17" t="str">
        <f>IF($N28="","",Q28/R28)</f>
        <v/>
      </c>
    </row>
    <row r="29" spans="14:19" x14ac:dyDescent="0.55000000000000004">
      <c r="O29">
        <f>SUM(O21:O28)</f>
        <v>76</v>
      </c>
      <c r="P29">
        <f>SUM(P21:P28)</f>
        <v>0</v>
      </c>
      <c r="Q29">
        <f>SUM(Q21:Q28)</f>
        <v>0</v>
      </c>
      <c r="R29" s="15">
        <f>SUM(R21:R28)</f>
        <v>76</v>
      </c>
      <c r="S29" s="18">
        <f>Q29/R29</f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K303"/>
  <sheetViews>
    <sheetView showGridLines="0" tabSelected="1" zoomScale="90" zoomScaleNormal="90" workbookViewId="0">
      <selection activeCell="A17" sqref="A17"/>
    </sheetView>
  </sheetViews>
  <sheetFormatPr defaultColWidth="9" defaultRowHeight="16.2" x14ac:dyDescent="0.55000000000000004"/>
  <cols>
    <col min="1" max="1" width="19" style="1" customWidth="1"/>
    <col min="2" max="2" width="22.26171875" style="1" customWidth="1"/>
    <col min="3" max="3" width="148.83984375" style="2" customWidth="1"/>
    <col min="4" max="4" width="16.15625" style="2" customWidth="1"/>
    <col min="5" max="5" width="15.15625" style="2" customWidth="1"/>
    <col min="6" max="6" width="49.578125" style="2" customWidth="1"/>
    <col min="7" max="7" width="18.41796875" style="2" customWidth="1"/>
    <col min="8" max="8" width="14.578125" style="2" customWidth="1"/>
    <col min="9" max="16384" width="9" style="2"/>
  </cols>
  <sheetData>
    <row r="1" spans="1:11" ht="121.9" customHeight="1" x14ac:dyDescent="0.7">
      <c r="A1" s="24"/>
      <c r="B1" s="24"/>
      <c r="C1" s="14" t="s">
        <v>13</v>
      </c>
    </row>
    <row r="2" spans="1:11" s="6" customFormat="1" ht="24.6" customHeight="1" x14ac:dyDescent="0.55000000000000004">
      <c r="A2" s="22" t="s">
        <v>141</v>
      </c>
      <c r="B2" s="5"/>
      <c r="C2" s="5"/>
      <c r="D2" s="5"/>
      <c r="E2" s="5"/>
      <c r="F2" s="5"/>
      <c r="G2" s="5"/>
    </row>
    <row r="3" spans="1:11" x14ac:dyDescent="0.55000000000000004">
      <c r="A3" s="4"/>
      <c r="B3" s="4"/>
      <c r="C3" s="8"/>
      <c r="D3" s="4"/>
      <c r="E3" s="4"/>
      <c r="F3" s="4"/>
      <c r="G3" s="4"/>
    </row>
    <row r="4" spans="1:11" s="7" customFormat="1" ht="22.8" x14ac:dyDescent="0.55000000000000004">
      <c r="A4" s="7" t="s">
        <v>0</v>
      </c>
      <c r="B4" s="7" t="s">
        <v>1</v>
      </c>
      <c r="C4" s="7" t="s">
        <v>2</v>
      </c>
      <c r="D4" s="7" t="s">
        <v>3</v>
      </c>
      <c r="E4" s="7" t="s">
        <v>4</v>
      </c>
      <c r="F4" s="7" t="s">
        <v>5</v>
      </c>
      <c r="G4" s="7" t="s">
        <v>14</v>
      </c>
      <c r="H4" s="7" t="s">
        <v>20</v>
      </c>
      <c r="I4" s="7" t="s">
        <v>28</v>
      </c>
      <c r="J4" s="7" t="s">
        <v>29</v>
      </c>
      <c r="K4" s="7" t="s">
        <v>30</v>
      </c>
    </row>
    <row r="5" spans="1:11" ht="16.5" customHeight="1" x14ac:dyDescent="0.55000000000000004">
      <c r="A5" s="2" t="s">
        <v>31</v>
      </c>
      <c r="B5" s="2" t="s">
        <v>26</v>
      </c>
      <c r="C5" s="2" t="s">
        <v>32</v>
      </c>
      <c r="D5" s="2" t="s">
        <v>6</v>
      </c>
      <c r="E5" s="2" t="s">
        <v>7</v>
      </c>
      <c r="G5" s="20" t="s">
        <v>14</v>
      </c>
      <c r="H5" s="13"/>
      <c r="I5" s="23"/>
      <c r="J5" s="23"/>
    </row>
    <row r="6" spans="1:11" ht="16.5" customHeight="1" x14ac:dyDescent="0.55000000000000004">
      <c r="A6" s="2" t="s">
        <v>31</v>
      </c>
      <c r="B6" s="2" t="s">
        <v>138</v>
      </c>
      <c r="C6" s="2" t="s">
        <v>33</v>
      </c>
      <c r="D6" s="2" t="s">
        <v>6</v>
      </c>
      <c r="E6" s="2" t="s">
        <v>7</v>
      </c>
      <c r="G6" s="20" t="s">
        <v>14</v>
      </c>
      <c r="H6" s="13"/>
      <c r="I6" s="23"/>
      <c r="J6" s="23"/>
    </row>
    <row r="7" spans="1:11" ht="16.5" customHeight="1" x14ac:dyDescent="0.55000000000000004">
      <c r="A7" s="2" t="s">
        <v>31</v>
      </c>
      <c r="B7" s="2" t="s">
        <v>139</v>
      </c>
      <c r="C7" s="2" t="s">
        <v>34</v>
      </c>
      <c r="D7" s="2" t="s">
        <v>9</v>
      </c>
      <c r="E7" s="2" t="s">
        <v>7</v>
      </c>
      <c r="G7" s="20" t="s">
        <v>14</v>
      </c>
      <c r="H7" s="13"/>
      <c r="I7" s="23"/>
      <c r="J7" s="23"/>
    </row>
    <row r="8" spans="1:11" ht="16.5" customHeight="1" x14ac:dyDescent="0.55000000000000004">
      <c r="A8" s="2" t="s">
        <v>31</v>
      </c>
      <c r="B8" s="2" t="s">
        <v>139</v>
      </c>
      <c r="C8" s="2" t="s">
        <v>36</v>
      </c>
      <c r="D8" s="2" t="s">
        <v>9</v>
      </c>
      <c r="E8" s="2" t="s">
        <v>7</v>
      </c>
      <c r="F8" s="1"/>
      <c r="G8" s="20" t="s">
        <v>14</v>
      </c>
      <c r="H8" s="13"/>
      <c r="I8" s="23" t="s">
        <v>147</v>
      </c>
      <c r="J8" s="23" t="s">
        <v>146</v>
      </c>
    </row>
    <row r="9" spans="1:11" ht="16.5" customHeight="1" x14ac:dyDescent="0.55000000000000004">
      <c r="A9" s="2" t="s">
        <v>31</v>
      </c>
      <c r="B9" s="2" t="s">
        <v>139</v>
      </c>
      <c r="C9" s="2" t="s">
        <v>37</v>
      </c>
      <c r="D9" s="2" t="s">
        <v>6</v>
      </c>
      <c r="E9" s="2" t="s">
        <v>7</v>
      </c>
      <c r="G9" s="20" t="s">
        <v>14</v>
      </c>
      <c r="H9" s="13"/>
      <c r="I9" s="23" t="s">
        <v>124</v>
      </c>
      <c r="J9" s="23" t="s">
        <v>125</v>
      </c>
    </row>
    <row r="10" spans="1:11" ht="16.5" customHeight="1" x14ac:dyDescent="0.55000000000000004">
      <c r="A10" s="2" t="s">
        <v>31</v>
      </c>
      <c r="B10" s="2" t="s">
        <v>139</v>
      </c>
      <c r="C10" s="2" t="s">
        <v>38</v>
      </c>
      <c r="D10" s="2" t="s">
        <v>8</v>
      </c>
      <c r="E10" s="2" t="s">
        <v>7</v>
      </c>
      <c r="F10" s="1"/>
      <c r="G10" s="20" t="s">
        <v>14</v>
      </c>
      <c r="H10" s="13"/>
      <c r="I10" s="23"/>
      <c r="J10" s="23"/>
    </row>
    <row r="11" spans="1:11" ht="16.5" customHeight="1" x14ac:dyDescent="0.55000000000000004">
      <c r="A11" s="2" t="s">
        <v>31</v>
      </c>
      <c r="B11" s="2" t="s">
        <v>139</v>
      </c>
      <c r="C11" s="2" t="s">
        <v>39</v>
      </c>
      <c r="D11" s="2" t="s">
        <v>6</v>
      </c>
      <c r="E11" s="2" t="s">
        <v>7</v>
      </c>
      <c r="G11" s="20" t="s">
        <v>14</v>
      </c>
      <c r="H11" s="13"/>
      <c r="I11" s="23"/>
      <c r="J11" s="23"/>
    </row>
    <row r="12" spans="1:11" ht="16.5" customHeight="1" x14ac:dyDescent="0.55000000000000004">
      <c r="A12" s="2" t="s">
        <v>40</v>
      </c>
      <c r="B12" s="2" t="s">
        <v>23</v>
      </c>
      <c r="C12" s="2" t="s">
        <v>41</v>
      </c>
      <c r="D12" s="2" t="s">
        <v>6</v>
      </c>
      <c r="E12" s="2" t="s">
        <v>7</v>
      </c>
      <c r="G12" s="20" t="s">
        <v>14</v>
      </c>
      <c r="H12" s="13"/>
      <c r="I12" s="23" t="s">
        <v>148</v>
      </c>
      <c r="J12" s="23" t="s">
        <v>149</v>
      </c>
    </row>
    <row r="13" spans="1:11" ht="16.5" customHeight="1" x14ac:dyDescent="0.55000000000000004">
      <c r="A13" s="2" t="s">
        <v>40</v>
      </c>
      <c r="B13" s="2" t="s">
        <v>23</v>
      </c>
      <c r="C13" s="1" t="s">
        <v>42</v>
      </c>
      <c r="D13" s="2" t="s">
        <v>9</v>
      </c>
      <c r="E13" s="2" t="s">
        <v>7</v>
      </c>
      <c r="G13" s="20" t="s">
        <v>14</v>
      </c>
      <c r="H13" s="13"/>
      <c r="I13" s="23" t="s">
        <v>151</v>
      </c>
      <c r="J13" s="23" t="s">
        <v>150</v>
      </c>
    </row>
    <row r="14" spans="1:11" ht="16.5" customHeight="1" x14ac:dyDescent="0.55000000000000004">
      <c r="A14" s="2" t="s">
        <v>40</v>
      </c>
      <c r="B14" s="2" t="s">
        <v>23</v>
      </c>
      <c r="C14" s="2" t="s">
        <v>43</v>
      </c>
      <c r="D14" s="2" t="s">
        <v>9</v>
      </c>
      <c r="E14" s="2" t="s">
        <v>7</v>
      </c>
      <c r="G14" s="20" t="s">
        <v>14</v>
      </c>
      <c r="H14" s="13"/>
      <c r="I14" s="23"/>
      <c r="J14" s="23"/>
    </row>
    <row r="15" spans="1:11" ht="16.5" customHeight="1" x14ac:dyDescent="0.55000000000000004">
      <c r="A15" s="2" t="s">
        <v>40</v>
      </c>
      <c r="B15" s="2" t="s">
        <v>23</v>
      </c>
      <c r="C15" s="2" t="s">
        <v>44</v>
      </c>
      <c r="D15" s="2" t="s">
        <v>9</v>
      </c>
      <c r="E15" s="2" t="s">
        <v>7</v>
      </c>
      <c r="G15" s="20" t="s">
        <v>14</v>
      </c>
      <c r="H15" s="13"/>
      <c r="I15" s="23"/>
      <c r="J15" s="23"/>
    </row>
    <row r="16" spans="1:11" ht="16.5" customHeight="1" x14ac:dyDescent="0.55000000000000004">
      <c r="A16" s="2" t="s">
        <v>40</v>
      </c>
      <c r="B16" s="2" t="s">
        <v>23</v>
      </c>
      <c r="C16" s="2" t="s">
        <v>45</v>
      </c>
      <c r="D16" s="2" t="s">
        <v>6</v>
      </c>
      <c r="E16" s="2" t="s">
        <v>7</v>
      </c>
      <c r="G16" s="20" t="s">
        <v>14</v>
      </c>
      <c r="H16" s="13"/>
      <c r="I16" s="23"/>
      <c r="J16" s="23"/>
    </row>
    <row r="17" spans="1:10" ht="16.5" customHeight="1" x14ac:dyDescent="0.55000000000000004">
      <c r="A17" s="2" t="s">
        <v>40</v>
      </c>
      <c r="B17" s="2" t="s">
        <v>23</v>
      </c>
      <c r="C17" s="2" t="s">
        <v>46</v>
      </c>
      <c r="D17" s="2" t="s">
        <v>9</v>
      </c>
      <c r="E17" s="2" t="s">
        <v>7</v>
      </c>
      <c r="G17" s="20" t="s">
        <v>14</v>
      </c>
      <c r="H17" s="13"/>
      <c r="I17" s="23"/>
      <c r="J17" s="23"/>
    </row>
    <row r="18" spans="1:10" ht="16.5" customHeight="1" x14ac:dyDescent="0.55000000000000004">
      <c r="A18" s="2" t="s">
        <v>47</v>
      </c>
      <c r="B18" s="2" t="s">
        <v>48</v>
      </c>
      <c r="C18" s="2" t="s">
        <v>49</v>
      </c>
      <c r="D18" s="2" t="s">
        <v>6</v>
      </c>
      <c r="E18" s="2" t="s">
        <v>7</v>
      </c>
      <c r="G18" s="20" t="s">
        <v>14</v>
      </c>
      <c r="H18" s="13"/>
      <c r="I18" s="23" t="s">
        <v>132</v>
      </c>
      <c r="J18" s="23" t="s">
        <v>133</v>
      </c>
    </row>
    <row r="19" spans="1:10" ht="16.5" customHeight="1" x14ac:dyDescent="0.55000000000000004">
      <c r="A19" s="2" t="s">
        <v>47</v>
      </c>
      <c r="B19" s="2" t="s">
        <v>48</v>
      </c>
      <c r="C19" s="2" t="s">
        <v>50</v>
      </c>
      <c r="D19" s="2" t="s">
        <v>6</v>
      </c>
      <c r="E19" s="2" t="s">
        <v>7</v>
      </c>
      <c r="G19" s="20" t="s">
        <v>14</v>
      </c>
      <c r="H19" s="13"/>
      <c r="I19" s="23"/>
      <c r="J19" s="23"/>
    </row>
    <row r="20" spans="1:10" ht="16.5" customHeight="1" x14ac:dyDescent="0.55000000000000004">
      <c r="A20" s="2" t="s">
        <v>47</v>
      </c>
      <c r="B20" s="2" t="s">
        <v>48</v>
      </c>
      <c r="C20" s="2" t="s">
        <v>51</v>
      </c>
      <c r="D20" s="2" t="s">
        <v>6</v>
      </c>
      <c r="E20" s="2" t="s">
        <v>7</v>
      </c>
      <c r="F20" s="1"/>
      <c r="G20" s="20" t="s">
        <v>14</v>
      </c>
      <c r="H20" s="13"/>
      <c r="I20" s="23"/>
      <c r="J20" s="23"/>
    </row>
    <row r="21" spans="1:10" ht="16.5" customHeight="1" x14ac:dyDescent="0.55000000000000004">
      <c r="A21" s="2" t="s">
        <v>47</v>
      </c>
      <c r="B21" s="2" t="s">
        <v>48</v>
      </c>
      <c r="C21" s="2" t="s">
        <v>52</v>
      </c>
      <c r="D21" s="2" t="s">
        <v>8</v>
      </c>
      <c r="E21" s="2" t="s">
        <v>7</v>
      </c>
      <c r="G21" s="20" t="s">
        <v>14</v>
      </c>
      <c r="H21" s="13"/>
      <c r="I21" s="23"/>
      <c r="J21" s="23"/>
    </row>
    <row r="22" spans="1:10" ht="16.5" customHeight="1" x14ac:dyDescent="0.55000000000000004">
      <c r="A22" s="2" t="s">
        <v>47</v>
      </c>
      <c r="B22" s="2" t="s">
        <v>25</v>
      </c>
      <c r="C22" s="2" t="s">
        <v>53</v>
      </c>
      <c r="D22" s="2" t="s">
        <v>6</v>
      </c>
      <c r="E22" s="2" t="s">
        <v>7</v>
      </c>
      <c r="G22" s="20" t="s">
        <v>14</v>
      </c>
      <c r="H22" s="13"/>
      <c r="I22" s="23" t="s">
        <v>134</v>
      </c>
      <c r="J22" s="23" t="s">
        <v>135</v>
      </c>
    </row>
    <row r="23" spans="1:10" ht="16.5" customHeight="1" x14ac:dyDescent="0.55000000000000004">
      <c r="A23" s="2" t="s">
        <v>47</v>
      </c>
      <c r="B23" s="2" t="s">
        <v>25</v>
      </c>
      <c r="C23" s="2" t="s">
        <v>54</v>
      </c>
      <c r="D23" s="2" t="s">
        <v>9</v>
      </c>
      <c r="E23" s="2" t="s">
        <v>7</v>
      </c>
      <c r="G23" s="20" t="s">
        <v>14</v>
      </c>
      <c r="H23" s="13"/>
      <c r="I23" s="23" t="s">
        <v>126</v>
      </c>
      <c r="J23" s="23" t="s">
        <v>127</v>
      </c>
    </row>
    <row r="24" spans="1:10" ht="16.5" customHeight="1" x14ac:dyDescent="0.55000000000000004">
      <c r="A24" s="2" t="s">
        <v>47</v>
      </c>
      <c r="B24" s="2" t="s">
        <v>55</v>
      </c>
      <c r="C24" s="2" t="s">
        <v>56</v>
      </c>
      <c r="D24" s="2" t="s">
        <v>9</v>
      </c>
      <c r="E24" s="2" t="s">
        <v>7</v>
      </c>
      <c r="G24" s="20" t="s">
        <v>14</v>
      </c>
      <c r="H24" s="13"/>
      <c r="I24" s="23"/>
      <c r="J24" s="23"/>
    </row>
    <row r="25" spans="1:10" ht="16.5" customHeight="1" x14ac:dyDescent="0.55000000000000004">
      <c r="A25" s="2" t="s">
        <v>47</v>
      </c>
      <c r="B25" s="2" t="s">
        <v>57</v>
      </c>
      <c r="C25" s="2" t="s">
        <v>58</v>
      </c>
      <c r="D25" s="2" t="s">
        <v>9</v>
      </c>
      <c r="E25" s="2" t="s">
        <v>7</v>
      </c>
      <c r="G25" s="20" t="s">
        <v>14</v>
      </c>
      <c r="H25" s="13"/>
      <c r="I25" s="23"/>
      <c r="J25" s="23"/>
    </row>
    <row r="26" spans="1:10" ht="16.5" customHeight="1" x14ac:dyDescent="0.55000000000000004">
      <c r="A26" s="2" t="s">
        <v>47</v>
      </c>
      <c r="B26" s="2" t="s">
        <v>59</v>
      </c>
      <c r="C26" s="2" t="s">
        <v>60</v>
      </c>
      <c r="D26" s="2" t="s">
        <v>9</v>
      </c>
      <c r="E26" s="2" t="s">
        <v>7</v>
      </c>
      <c r="G26" s="20" t="s">
        <v>14</v>
      </c>
      <c r="H26" s="13"/>
      <c r="I26" s="23"/>
      <c r="J26" s="23"/>
    </row>
    <row r="27" spans="1:10" ht="16.5" customHeight="1" x14ac:dyDescent="0.55000000000000004">
      <c r="A27" s="2" t="s">
        <v>47</v>
      </c>
      <c r="B27" s="2" t="s">
        <v>25</v>
      </c>
      <c r="C27" s="2" t="s">
        <v>61</v>
      </c>
      <c r="D27" s="2" t="s">
        <v>6</v>
      </c>
      <c r="E27" s="2" t="s">
        <v>7</v>
      </c>
      <c r="G27" s="20" t="s">
        <v>14</v>
      </c>
      <c r="H27" s="13"/>
      <c r="I27" s="23" t="s">
        <v>128</v>
      </c>
      <c r="J27" s="23" t="s">
        <v>129</v>
      </c>
    </row>
    <row r="28" spans="1:10" ht="16.5" customHeight="1" x14ac:dyDescent="0.55000000000000004">
      <c r="A28" s="2" t="s">
        <v>47</v>
      </c>
      <c r="B28" s="2" t="s">
        <v>25</v>
      </c>
      <c r="C28" s="2" t="s">
        <v>62</v>
      </c>
      <c r="D28" s="2" t="s">
        <v>6</v>
      </c>
      <c r="E28" s="2" t="s">
        <v>7</v>
      </c>
      <c r="G28" s="20" t="s">
        <v>14</v>
      </c>
      <c r="H28" s="13"/>
      <c r="I28" s="23" t="s">
        <v>130</v>
      </c>
      <c r="J28" s="23" t="s">
        <v>131</v>
      </c>
    </row>
    <row r="29" spans="1:10" ht="16.5" customHeight="1" x14ac:dyDescent="0.55000000000000004">
      <c r="A29" s="2" t="s">
        <v>47</v>
      </c>
      <c r="B29" s="2" t="s">
        <v>25</v>
      </c>
      <c r="C29" s="2" t="s">
        <v>63</v>
      </c>
      <c r="D29" s="2" t="s">
        <v>6</v>
      </c>
      <c r="E29" s="2" t="s">
        <v>7</v>
      </c>
      <c r="G29" s="20" t="s">
        <v>14</v>
      </c>
      <c r="H29" s="13"/>
      <c r="I29" s="23"/>
      <c r="J29" s="23"/>
    </row>
    <row r="30" spans="1:10" ht="16.5" customHeight="1" x14ac:dyDescent="0.55000000000000004">
      <c r="A30" s="2" t="s">
        <v>47</v>
      </c>
      <c r="B30" s="2" t="s">
        <v>25</v>
      </c>
      <c r="C30" s="2" t="s">
        <v>64</v>
      </c>
      <c r="D30" s="2" t="s">
        <v>6</v>
      </c>
      <c r="E30" s="2" t="s">
        <v>7</v>
      </c>
      <c r="F30" s="1"/>
      <c r="G30" s="20" t="s">
        <v>14</v>
      </c>
      <c r="H30" s="13"/>
      <c r="I30" s="23"/>
      <c r="J30" s="23"/>
    </row>
    <row r="31" spans="1:10" ht="16.5" customHeight="1" x14ac:dyDescent="0.55000000000000004">
      <c r="A31" s="2" t="s">
        <v>47</v>
      </c>
      <c r="B31" s="2" t="s">
        <v>25</v>
      </c>
      <c r="C31" s="2" t="s">
        <v>65</v>
      </c>
      <c r="D31" s="2" t="s">
        <v>9</v>
      </c>
      <c r="E31" s="2" t="s">
        <v>7</v>
      </c>
      <c r="G31" s="20" t="s">
        <v>14</v>
      </c>
      <c r="H31" s="13"/>
      <c r="I31" s="23"/>
      <c r="J31" s="23"/>
    </row>
    <row r="32" spans="1:10" ht="16.5" customHeight="1" x14ac:dyDescent="0.55000000000000004">
      <c r="A32" s="2" t="s">
        <v>47</v>
      </c>
      <c r="B32" s="2" t="s">
        <v>57</v>
      </c>
      <c r="C32" s="2" t="s">
        <v>66</v>
      </c>
      <c r="D32" s="2" t="s">
        <v>6</v>
      </c>
      <c r="E32" s="2" t="s">
        <v>7</v>
      </c>
      <c r="G32" s="20" t="s">
        <v>14</v>
      </c>
      <c r="H32" s="13"/>
      <c r="I32" s="23" t="s">
        <v>136</v>
      </c>
      <c r="J32" s="23" t="s">
        <v>137</v>
      </c>
    </row>
    <row r="33" spans="1:10" ht="16.5" customHeight="1" x14ac:dyDescent="0.55000000000000004">
      <c r="A33" s="2" t="s">
        <v>47</v>
      </c>
      <c r="B33" s="2" t="s">
        <v>35</v>
      </c>
      <c r="C33" s="2" t="s">
        <v>67</v>
      </c>
      <c r="D33" s="2" t="s">
        <v>9</v>
      </c>
      <c r="E33" s="2" t="s">
        <v>7</v>
      </c>
      <c r="G33" s="20" t="s">
        <v>14</v>
      </c>
      <c r="H33" s="13"/>
      <c r="I33" s="23"/>
      <c r="J33" s="23"/>
    </row>
    <row r="34" spans="1:10" ht="16.5" customHeight="1" x14ac:dyDescent="0.55000000000000004">
      <c r="A34" s="2" t="s">
        <v>47</v>
      </c>
      <c r="B34" s="2" t="s">
        <v>25</v>
      </c>
      <c r="C34" s="2" t="s">
        <v>68</v>
      </c>
      <c r="D34" s="2" t="s">
        <v>9</v>
      </c>
      <c r="E34" s="2" t="s">
        <v>7</v>
      </c>
      <c r="F34" s="1"/>
      <c r="G34" s="20" t="s">
        <v>14</v>
      </c>
      <c r="H34" s="13"/>
      <c r="I34" s="23"/>
      <c r="J34" s="23"/>
    </row>
    <row r="35" spans="1:10" ht="16.5" customHeight="1" x14ac:dyDescent="0.55000000000000004">
      <c r="A35" s="2" t="s">
        <v>69</v>
      </c>
      <c r="B35" s="2" t="s">
        <v>70</v>
      </c>
      <c r="C35" s="2" t="s">
        <v>71</v>
      </c>
      <c r="D35" s="2" t="s">
        <v>9</v>
      </c>
      <c r="E35" s="2" t="s">
        <v>7</v>
      </c>
      <c r="G35" s="20" t="s">
        <v>14</v>
      </c>
      <c r="H35" s="13"/>
      <c r="I35" s="23"/>
      <c r="J35" s="23"/>
    </row>
    <row r="36" spans="1:10" ht="16.5" customHeight="1" x14ac:dyDescent="0.55000000000000004">
      <c r="A36" s="2" t="s">
        <v>69</v>
      </c>
      <c r="B36" s="2" t="s">
        <v>70</v>
      </c>
      <c r="C36" s="2" t="s">
        <v>72</v>
      </c>
      <c r="D36" s="2" t="s">
        <v>6</v>
      </c>
      <c r="E36" s="2" t="s">
        <v>7</v>
      </c>
      <c r="G36" s="20" t="s">
        <v>14</v>
      </c>
      <c r="H36" s="13"/>
      <c r="I36" s="23"/>
      <c r="J36" s="23"/>
    </row>
    <row r="37" spans="1:10" ht="16.5" customHeight="1" x14ac:dyDescent="0.55000000000000004">
      <c r="A37" s="2" t="s">
        <v>69</v>
      </c>
      <c r="B37" s="2" t="s">
        <v>73</v>
      </c>
      <c r="C37" s="2" t="s">
        <v>74</v>
      </c>
      <c r="D37" s="2" t="s">
        <v>9</v>
      </c>
      <c r="E37" s="2" t="s">
        <v>7</v>
      </c>
      <c r="G37" s="20" t="s">
        <v>14</v>
      </c>
      <c r="H37" s="13"/>
      <c r="I37" s="23"/>
      <c r="J37" s="23"/>
    </row>
    <row r="38" spans="1:10" ht="16.5" customHeight="1" x14ac:dyDescent="0.55000000000000004">
      <c r="A38" s="2" t="s">
        <v>69</v>
      </c>
      <c r="B38" s="2" t="s">
        <v>73</v>
      </c>
      <c r="C38" s="2" t="s">
        <v>75</v>
      </c>
      <c r="D38" s="2" t="s">
        <v>9</v>
      </c>
      <c r="E38" s="2" t="s">
        <v>7</v>
      </c>
      <c r="G38" s="20" t="s">
        <v>14</v>
      </c>
      <c r="H38" s="13"/>
      <c r="I38" s="23" t="s">
        <v>144</v>
      </c>
      <c r="J38" s="23" t="s">
        <v>145</v>
      </c>
    </row>
    <row r="39" spans="1:10" ht="16.5" customHeight="1" x14ac:dyDescent="0.55000000000000004">
      <c r="A39" s="2" t="s">
        <v>69</v>
      </c>
      <c r="B39" s="2" t="s">
        <v>73</v>
      </c>
      <c r="C39" s="2" t="s">
        <v>76</v>
      </c>
      <c r="D39" s="2" t="s">
        <v>8</v>
      </c>
      <c r="E39" s="2" t="s">
        <v>7</v>
      </c>
      <c r="G39" s="20" t="s">
        <v>14</v>
      </c>
      <c r="H39" s="13"/>
      <c r="I39" s="23"/>
      <c r="J39" s="23"/>
    </row>
    <row r="40" spans="1:10" ht="16.5" customHeight="1" x14ac:dyDescent="0.55000000000000004">
      <c r="A40" s="2" t="s">
        <v>69</v>
      </c>
      <c r="B40" s="2" t="s">
        <v>73</v>
      </c>
      <c r="C40" s="2" t="s">
        <v>77</v>
      </c>
      <c r="D40" s="2" t="s">
        <v>9</v>
      </c>
      <c r="E40" s="2" t="s">
        <v>7</v>
      </c>
      <c r="G40" s="20" t="s">
        <v>14</v>
      </c>
      <c r="H40" s="13"/>
      <c r="I40" s="23"/>
      <c r="J40" s="23"/>
    </row>
    <row r="41" spans="1:10" ht="16.5" customHeight="1" x14ac:dyDescent="0.55000000000000004">
      <c r="A41" s="2" t="s">
        <v>69</v>
      </c>
      <c r="B41" s="2" t="s">
        <v>73</v>
      </c>
      <c r="C41" s="1" t="s">
        <v>78</v>
      </c>
      <c r="D41" s="2" t="s">
        <v>9</v>
      </c>
      <c r="E41" s="2" t="s">
        <v>7</v>
      </c>
      <c r="G41" s="20" t="s">
        <v>14</v>
      </c>
      <c r="H41" s="13"/>
      <c r="I41" s="23"/>
      <c r="J41" s="23"/>
    </row>
    <row r="42" spans="1:10" ht="16.5" customHeight="1" x14ac:dyDescent="0.55000000000000004">
      <c r="A42" s="2" t="s">
        <v>69</v>
      </c>
      <c r="B42" s="2" t="s">
        <v>73</v>
      </c>
      <c r="C42" s="2" t="s">
        <v>79</v>
      </c>
      <c r="D42" s="2" t="s">
        <v>9</v>
      </c>
      <c r="E42" s="2" t="s">
        <v>7</v>
      </c>
      <c r="G42" s="20" t="s">
        <v>14</v>
      </c>
      <c r="H42" s="13"/>
      <c r="I42" s="23"/>
      <c r="J42" s="23"/>
    </row>
    <row r="43" spans="1:10" ht="16.5" customHeight="1" x14ac:dyDescent="0.55000000000000004">
      <c r="A43" s="2" t="s">
        <v>69</v>
      </c>
      <c r="B43" s="2" t="s">
        <v>73</v>
      </c>
      <c r="C43" s="2" t="s">
        <v>80</v>
      </c>
      <c r="D43" s="2" t="s">
        <v>6</v>
      </c>
      <c r="E43" s="2" t="s">
        <v>7</v>
      </c>
      <c r="G43" s="20" t="s">
        <v>14</v>
      </c>
      <c r="H43" s="13"/>
      <c r="I43" s="23"/>
      <c r="J43" s="23"/>
    </row>
    <row r="44" spans="1:10" ht="16.5" customHeight="1" x14ac:dyDescent="0.55000000000000004">
      <c r="A44" s="2" t="s">
        <v>81</v>
      </c>
      <c r="B44" s="2" t="s">
        <v>59</v>
      </c>
      <c r="C44" s="2" t="s">
        <v>82</v>
      </c>
      <c r="D44" s="2" t="s">
        <v>8</v>
      </c>
      <c r="E44" s="2" t="s">
        <v>7</v>
      </c>
      <c r="G44" s="20" t="s">
        <v>14</v>
      </c>
      <c r="H44" s="13"/>
      <c r="I44" s="23"/>
      <c r="J44" s="23"/>
    </row>
    <row r="45" spans="1:10" ht="16.5" customHeight="1" x14ac:dyDescent="0.55000000000000004">
      <c r="A45" s="2" t="s">
        <v>83</v>
      </c>
      <c r="B45" s="2" t="s">
        <v>27</v>
      </c>
      <c r="C45" s="2" t="s">
        <v>84</v>
      </c>
      <c r="D45" s="2" t="s">
        <v>6</v>
      </c>
      <c r="E45" s="2" t="s">
        <v>7</v>
      </c>
      <c r="G45" s="20" t="s">
        <v>14</v>
      </c>
      <c r="H45" s="13"/>
      <c r="I45" s="23" t="s">
        <v>143</v>
      </c>
      <c r="J45" s="23" t="s">
        <v>142</v>
      </c>
    </row>
    <row r="46" spans="1:10" ht="16.5" customHeight="1" x14ac:dyDescent="0.55000000000000004">
      <c r="A46" s="2" t="s">
        <v>83</v>
      </c>
      <c r="B46" s="2" t="s">
        <v>27</v>
      </c>
      <c r="C46" s="2" t="s">
        <v>85</v>
      </c>
      <c r="D46" s="2" t="s">
        <v>6</v>
      </c>
      <c r="E46" s="2" t="s">
        <v>7</v>
      </c>
      <c r="G46" s="20" t="s">
        <v>14</v>
      </c>
      <c r="H46" s="13"/>
      <c r="I46" s="23"/>
      <c r="J46" s="23"/>
    </row>
    <row r="47" spans="1:10" ht="16.5" customHeight="1" x14ac:dyDescent="0.55000000000000004">
      <c r="A47" s="2" t="s">
        <v>83</v>
      </c>
      <c r="B47" s="2" t="s">
        <v>27</v>
      </c>
      <c r="C47" s="2" t="s">
        <v>86</v>
      </c>
      <c r="D47" s="2" t="s">
        <v>9</v>
      </c>
      <c r="E47" s="2" t="s">
        <v>7</v>
      </c>
      <c r="G47" s="20" t="s">
        <v>14</v>
      </c>
      <c r="H47" s="13"/>
      <c r="I47" s="23"/>
      <c r="J47" s="23"/>
    </row>
    <row r="48" spans="1:10" ht="16.5" customHeight="1" x14ac:dyDescent="0.55000000000000004">
      <c r="A48" s="2" t="s">
        <v>83</v>
      </c>
      <c r="B48" s="2" t="s">
        <v>27</v>
      </c>
      <c r="C48" s="2" t="s">
        <v>87</v>
      </c>
      <c r="D48" s="2" t="s">
        <v>9</v>
      </c>
      <c r="E48" s="2" t="s">
        <v>7</v>
      </c>
      <c r="G48" s="20" t="s">
        <v>14</v>
      </c>
      <c r="H48" s="13"/>
      <c r="I48" s="23"/>
      <c r="J48" s="23"/>
    </row>
    <row r="49" spans="1:10" ht="16.5" customHeight="1" x14ac:dyDescent="0.55000000000000004">
      <c r="A49" s="2" t="s">
        <v>83</v>
      </c>
      <c r="B49" s="2" t="s">
        <v>27</v>
      </c>
      <c r="C49" s="2" t="s">
        <v>88</v>
      </c>
      <c r="D49" s="2" t="s">
        <v>9</v>
      </c>
      <c r="E49" s="2" t="s">
        <v>7</v>
      </c>
      <c r="G49" s="20" t="s">
        <v>14</v>
      </c>
      <c r="H49" s="13"/>
      <c r="I49" s="23"/>
      <c r="J49" s="23"/>
    </row>
    <row r="50" spans="1:10" ht="16.5" customHeight="1" x14ac:dyDescent="0.55000000000000004">
      <c r="A50" s="2" t="s">
        <v>83</v>
      </c>
      <c r="B50" s="2" t="s">
        <v>73</v>
      </c>
      <c r="C50" s="2" t="s">
        <v>89</v>
      </c>
      <c r="D50" s="2" t="s">
        <v>8</v>
      </c>
      <c r="E50" s="2" t="s">
        <v>7</v>
      </c>
      <c r="G50" s="20" t="s">
        <v>14</v>
      </c>
      <c r="H50" s="13"/>
      <c r="I50" s="23"/>
      <c r="J50" s="23"/>
    </row>
    <row r="51" spans="1:10" ht="16.5" customHeight="1" x14ac:dyDescent="0.55000000000000004">
      <c r="A51" s="2" t="s">
        <v>83</v>
      </c>
      <c r="B51" s="2" t="s">
        <v>73</v>
      </c>
      <c r="C51" s="2" t="s">
        <v>90</v>
      </c>
      <c r="D51" s="2" t="s">
        <v>8</v>
      </c>
      <c r="E51" s="2" t="s">
        <v>7</v>
      </c>
      <c r="G51" s="20" t="s">
        <v>14</v>
      </c>
      <c r="H51" s="13"/>
      <c r="I51" s="23"/>
      <c r="J51" s="23"/>
    </row>
    <row r="52" spans="1:10" ht="16.5" customHeight="1" x14ac:dyDescent="0.55000000000000004">
      <c r="A52" s="2" t="s">
        <v>83</v>
      </c>
      <c r="B52" s="2" t="s">
        <v>24</v>
      </c>
      <c r="C52" s="2" t="s">
        <v>91</v>
      </c>
      <c r="D52" s="2" t="s">
        <v>6</v>
      </c>
      <c r="E52" s="2" t="s">
        <v>7</v>
      </c>
      <c r="G52" s="20" t="s">
        <v>14</v>
      </c>
      <c r="H52" s="13"/>
      <c r="I52" s="23"/>
      <c r="J52" s="23"/>
    </row>
    <row r="53" spans="1:10" ht="16.5" customHeight="1" x14ac:dyDescent="0.55000000000000004">
      <c r="A53" s="2" t="s">
        <v>83</v>
      </c>
      <c r="B53" s="2" t="s">
        <v>24</v>
      </c>
      <c r="C53" s="2" t="s">
        <v>92</v>
      </c>
      <c r="D53" s="2" t="s">
        <v>6</v>
      </c>
      <c r="E53" s="2" t="s">
        <v>7</v>
      </c>
      <c r="G53" s="20" t="s">
        <v>14</v>
      </c>
      <c r="H53" s="13"/>
      <c r="I53" s="23"/>
      <c r="J53" s="23"/>
    </row>
    <row r="54" spans="1:10" ht="16.5" customHeight="1" x14ac:dyDescent="0.55000000000000004">
      <c r="A54" s="2" t="s">
        <v>83</v>
      </c>
      <c r="B54" s="2" t="s">
        <v>93</v>
      </c>
      <c r="C54" s="2" t="s">
        <v>94</v>
      </c>
      <c r="D54" s="2" t="s">
        <v>6</v>
      </c>
      <c r="E54" s="2" t="s">
        <v>7</v>
      </c>
      <c r="G54" s="20" t="s">
        <v>14</v>
      </c>
      <c r="H54" s="13"/>
      <c r="I54" s="23"/>
      <c r="J54" s="23"/>
    </row>
    <row r="55" spans="1:10" ht="16.5" customHeight="1" x14ac:dyDescent="0.55000000000000004">
      <c r="A55" s="2" t="s">
        <v>83</v>
      </c>
      <c r="B55" s="2" t="s">
        <v>73</v>
      </c>
      <c r="C55" s="2" t="s">
        <v>95</v>
      </c>
      <c r="D55" s="2" t="s">
        <v>6</v>
      </c>
      <c r="E55" s="2" t="s">
        <v>7</v>
      </c>
      <c r="G55" s="20" t="s">
        <v>14</v>
      </c>
      <c r="H55" s="13"/>
      <c r="I55" s="23"/>
      <c r="J55" s="23"/>
    </row>
    <row r="56" spans="1:10" ht="16.5" customHeight="1" x14ac:dyDescent="0.55000000000000004">
      <c r="A56" s="2" t="s">
        <v>83</v>
      </c>
      <c r="B56" s="2" t="s">
        <v>73</v>
      </c>
      <c r="C56" s="1" t="s">
        <v>96</v>
      </c>
      <c r="D56" s="2" t="s">
        <v>6</v>
      </c>
      <c r="E56" s="2" t="s">
        <v>7</v>
      </c>
      <c r="G56" s="20" t="s">
        <v>14</v>
      </c>
      <c r="H56" s="13"/>
      <c r="I56" s="23"/>
      <c r="J56" s="23"/>
    </row>
    <row r="57" spans="1:10" ht="16.5" customHeight="1" x14ac:dyDescent="0.55000000000000004">
      <c r="A57" s="2" t="s">
        <v>83</v>
      </c>
      <c r="B57" s="2" t="s">
        <v>73</v>
      </c>
      <c r="C57" s="1" t="s">
        <v>97</v>
      </c>
      <c r="D57" s="2" t="s">
        <v>8</v>
      </c>
      <c r="E57" s="2" t="s">
        <v>7</v>
      </c>
      <c r="G57" s="20" t="s">
        <v>14</v>
      </c>
      <c r="H57" s="13"/>
      <c r="I57" s="23"/>
      <c r="J57" s="23"/>
    </row>
    <row r="58" spans="1:10" ht="16.5" customHeight="1" x14ac:dyDescent="0.55000000000000004">
      <c r="A58" s="2" t="s">
        <v>83</v>
      </c>
      <c r="B58" s="2" t="s">
        <v>59</v>
      </c>
      <c r="C58" s="2" t="s">
        <v>98</v>
      </c>
      <c r="D58" s="2" t="s">
        <v>8</v>
      </c>
      <c r="E58" s="2" t="s">
        <v>7</v>
      </c>
      <c r="G58" s="20" t="s">
        <v>14</v>
      </c>
      <c r="H58" s="13"/>
      <c r="I58" s="23"/>
      <c r="J58" s="23"/>
    </row>
    <row r="59" spans="1:10" ht="16.5" customHeight="1" x14ac:dyDescent="0.55000000000000004">
      <c r="A59" s="2" t="s">
        <v>83</v>
      </c>
      <c r="B59" s="2" t="s">
        <v>59</v>
      </c>
      <c r="C59" s="1" t="s">
        <v>99</v>
      </c>
      <c r="D59" s="2" t="s">
        <v>8</v>
      </c>
      <c r="E59" s="2" t="s">
        <v>7</v>
      </c>
      <c r="G59" s="20" t="s">
        <v>14</v>
      </c>
      <c r="H59" s="13"/>
      <c r="I59" s="23"/>
      <c r="J59" s="23"/>
    </row>
    <row r="60" spans="1:10" ht="16.5" customHeight="1" x14ac:dyDescent="0.55000000000000004">
      <c r="A60" s="2" t="s">
        <v>83</v>
      </c>
      <c r="B60" s="2" t="s">
        <v>59</v>
      </c>
      <c r="C60" s="2" t="s">
        <v>100</v>
      </c>
      <c r="D60" s="2" t="s">
        <v>8</v>
      </c>
      <c r="E60" s="2" t="s">
        <v>7</v>
      </c>
      <c r="G60" s="20" t="s">
        <v>14</v>
      </c>
      <c r="H60" s="13"/>
      <c r="I60" s="23"/>
      <c r="J60" s="23"/>
    </row>
    <row r="61" spans="1:10" ht="16.5" customHeight="1" x14ac:dyDescent="0.55000000000000004">
      <c r="A61" s="2" t="s">
        <v>83</v>
      </c>
      <c r="B61" s="2" t="s">
        <v>73</v>
      </c>
      <c r="C61" s="2" t="s">
        <v>101</v>
      </c>
      <c r="D61" s="2" t="s">
        <v>6</v>
      </c>
      <c r="E61" s="2" t="s">
        <v>7</v>
      </c>
      <c r="G61" s="20" t="s">
        <v>14</v>
      </c>
      <c r="H61" s="13"/>
      <c r="I61" s="23"/>
      <c r="J61" s="23"/>
    </row>
    <row r="62" spans="1:10" ht="16.5" customHeight="1" x14ac:dyDescent="0.55000000000000004">
      <c r="A62" s="2" t="s">
        <v>83</v>
      </c>
      <c r="B62" s="2" t="s">
        <v>73</v>
      </c>
      <c r="C62" s="2" t="s">
        <v>102</v>
      </c>
      <c r="D62" s="2" t="s">
        <v>8</v>
      </c>
      <c r="E62" s="2" t="s">
        <v>7</v>
      </c>
      <c r="G62" s="20" t="s">
        <v>14</v>
      </c>
      <c r="H62" s="13"/>
      <c r="I62" s="23"/>
      <c r="J62" s="23"/>
    </row>
    <row r="63" spans="1:10" ht="16.5" customHeight="1" x14ac:dyDescent="0.55000000000000004">
      <c r="A63" s="2" t="s">
        <v>83</v>
      </c>
      <c r="B63" s="2" t="s">
        <v>73</v>
      </c>
      <c r="C63" s="2" t="s">
        <v>103</v>
      </c>
      <c r="D63" s="2" t="s">
        <v>9</v>
      </c>
      <c r="E63" s="2" t="s">
        <v>7</v>
      </c>
      <c r="G63" s="20" t="s">
        <v>14</v>
      </c>
      <c r="H63" s="13"/>
      <c r="I63" s="23"/>
      <c r="J63" s="23"/>
    </row>
    <row r="64" spans="1:10" ht="16.5" customHeight="1" x14ac:dyDescent="0.55000000000000004">
      <c r="A64" s="2" t="s">
        <v>83</v>
      </c>
      <c r="B64" s="2" t="s">
        <v>73</v>
      </c>
      <c r="C64" s="2" t="s">
        <v>104</v>
      </c>
      <c r="D64" s="2" t="s">
        <v>8</v>
      </c>
      <c r="E64" s="2" t="s">
        <v>7</v>
      </c>
      <c r="F64" s="1"/>
      <c r="G64" s="20" t="s">
        <v>14</v>
      </c>
      <c r="H64" s="13"/>
      <c r="I64" s="23"/>
      <c r="J64" s="23"/>
    </row>
    <row r="65" spans="1:10" ht="16.5" customHeight="1" x14ac:dyDescent="0.55000000000000004">
      <c r="A65" s="2" t="s">
        <v>83</v>
      </c>
      <c r="B65" s="2" t="s">
        <v>73</v>
      </c>
      <c r="C65" s="1" t="s">
        <v>105</v>
      </c>
      <c r="D65" s="2" t="s">
        <v>8</v>
      </c>
      <c r="E65" s="2" t="s">
        <v>7</v>
      </c>
      <c r="G65" s="20" t="s">
        <v>14</v>
      </c>
      <c r="H65" s="13"/>
      <c r="I65" s="23"/>
      <c r="J65" s="23"/>
    </row>
    <row r="66" spans="1:10" ht="16.5" customHeight="1" x14ac:dyDescent="0.55000000000000004">
      <c r="A66" s="2" t="s">
        <v>83</v>
      </c>
      <c r="B66" s="2" t="s">
        <v>24</v>
      </c>
      <c r="C66" s="2" t="s">
        <v>106</v>
      </c>
      <c r="D66" s="2" t="s">
        <v>9</v>
      </c>
      <c r="E66" s="2" t="s">
        <v>7</v>
      </c>
      <c r="G66" s="20" t="s">
        <v>14</v>
      </c>
      <c r="H66" s="13"/>
      <c r="I66" s="23"/>
      <c r="J66" s="23"/>
    </row>
    <row r="67" spans="1:10" ht="16.5" customHeight="1" x14ac:dyDescent="0.55000000000000004">
      <c r="A67" s="2" t="s">
        <v>83</v>
      </c>
      <c r="B67" s="2" t="s">
        <v>24</v>
      </c>
      <c r="C67" s="2" t="s">
        <v>107</v>
      </c>
      <c r="D67" s="2" t="s">
        <v>9</v>
      </c>
      <c r="E67" s="2" t="s">
        <v>7</v>
      </c>
      <c r="G67" s="20" t="s">
        <v>14</v>
      </c>
      <c r="H67" s="13"/>
      <c r="I67" s="23"/>
      <c r="J67" s="23"/>
    </row>
    <row r="68" spans="1:10" ht="16.5" customHeight="1" x14ac:dyDescent="0.55000000000000004">
      <c r="A68" s="2" t="s">
        <v>83</v>
      </c>
      <c r="B68" s="2" t="s">
        <v>24</v>
      </c>
      <c r="C68" s="2" t="s">
        <v>108</v>
      </c>
      <c r="D68" s="2" t="s">
        <v>9</v>
      </c>
      <c r="E68" s="2" t="s">
        <v>7</v>
      </c>
      <c r="G68" s="20" t="s">
        <v>14</v>
      </c>
      <c r="H68" s="13"/>
      <c r="I68" s="23"/>
      <c r="J68" s="23"/>
    </row>
    <row r="69" spans="1:10" ht="16.5" customHeight="1" x14ac:dyDescent="0.55000000000000004">
      <c r="A69" s="2" t="s">
        <v>83</v>
      </c>
      <c r="B69" s="2" t="s">
        <v>24</v>
      </c>
      <c r="C69" s="2" t="s">
        <v>109</v>
      </c>
      <c r="D69" s="2" t="s">
        <v>9</v>
      </c>
      <c r="E69" s="2" t="s">
        <v>7</v>
      </c>
      <c r="G69" s="20" t="s">
        <v>14</v>
      </c>
      <c r="H69" s="13"/>
      <c r="I69" s="23"/>
      <c r="J69" s="23"/>
    </row>
    <row r="70" spans="1:10" ht="16.5" customHeight="1" x14ac:dyDescent="0.55000000000000004">
      <c r="A70" s="2" t="s">
        <v>83</v>
      </c>
      <c r="B70" s="2" t="s">
        <v>73</v>
      </c>
      <c r="C70" s="2" t="s">
        <v>110</v>
      </c>
      <c r="D70" s="2" t="s">
        <v>8</v>
      </c>
      <c r="E70" s="2" t="s">
        <v>7</v>
      </c>
      <c r="G70" s="20" t="s">
        <v>14</v>
      </c>
      <c r="H70" s="13"/>
      <c r="I70" s="23"/>
      <c r="J70" s="23"/>
    </row>
    <row r="71" spans="1:10" ht="16.5" customHeight="1" x14ac:dyDescent="0.55000000000000004">
      <c r="A71" s="2" t="s">
        <v>83</v>
      </c>
      <c r="B71" s="2" t="s">
        <v>55</v>
      </c>
      <c r="C71" s="2" t="s">
        <v>111</v>
      </c>
      <c r="D71" s="2" t="s">
        <v>9</v>
      </c>
      <c r="E71" s="2" t="s">
        <v>7</v>
      </c>
      <c r="G71" s="20" t="s">
        <v>14</v>
      </c>
      <c r="H71" s="13"/>
      <c r="I71" s="23"/>
      <c r="J71" s="23"/>
    </row>
    <row r="72" spans="1:10" ht="16.5" customHeight="1" x14ac:dyDescent="0.55000000000000004">
      <c r="A72" s="2" t="s">
        <v>83</v>
      </c>
      <c r="B72" s="2" t="s">
        <v>55</v>
      </c>
      <c r="C72" s="2" t="s">
        <v>112</v>
      </c>
      <c r="D72" s="2" t="s">
        <v>9</v>
      </c>
      <c r="E72" s="2" t="s">
        <v>7</v>
      </c>
      <c r="G72" s="20" t="s">
        <v>14</v>
      </c>
      <c r="H72" s="13"/>
      <c r="I72" s="23"/>
      <c r="J72" s="23"/>
    </row>
    <row r="73" spans="1:10" ht="16.5" customHeight="1" x14ac:dyDescent="0.55000000000000004">
      <c r="A73" s="2" t="s">
        <v>83</v>
      </c>
      <c r="B73" s="2" t="s">
        <v>55</v>
      </c>
      <c r="C73" s="2" t="s">
        <v>113</v>
      </c>
      <c r="D73" s="2" t="s">
        <v>6</v>
      </c>
      <c r="E73" s="2" t="s">
        <v>7</v>
      </c>
      <c r="G73" s="20" t="s">
        <v>14</v>
      </c>
      <c r="H73" s="13"/>
      <c r="I73" s="23"/>
      <c r="J73" s="23"/>
    </row>
    <row r="74" spans="1:10" ht="16.5" customHeight="1" x14ac:dyDescent="0.55000000000000004">
      <c r="A74" s="2" t="s">
        <v>83</v>
      </c>
      <c r="B74" s="2" t="s">
        <v>114</v>
      </c>
      <c r="C74" s="2" t="s">
        <v>115</v>
      </c>
      <c r="D74" s="2" t="s">
        <v>6</v>
      </c>
      <c r="E74" s="2" t="s">
        <v>7</v>
      </c>
      <c r="G74" s="20" t="s">
        <v>14</v>
      </c>
      <c r="H74" s="13"/>
      <c r="I74" s="23"/>
      <c r="J74" s="23"/>
    </row>
    <row r="75" spans="1:10" ht="16.5" customHeight="1" x14ac:dyDescent="0.55000000000000004">
      <c r="A75" s="2" t="s">
        <v>83</v>
      </c>
      <c r="B75" s="2" t="s">
        <v>114</v>
      </c>
      <c r="C75" s="2" t="s">
        <v>116</v>
      </c>
      <c r="D75" s="2" t="s">
        <v>9</v>
      </c>
      <c r="E75" s="2" t="s">
        <v>7</v>
      </c>
      <c r="F75" s="1"/>
      <c r="G75" s="20" t="s">
        <v>14</v>
      </c>
      <c r="H75" s="13"/>
      <c r="I75" s="23"/>
      <c r="J75" s="23"/>
    </row>
    <row r="76" spans="1:10" ht="16.5" customHeight="1" x14ac:dyDescent="0.55000000000000004">
      <c r="A76" s="2" t="s">
        <v>83</v>
      </c>
      <c r="B76" s="2" t="s">
        <v>114</v>
      </c>
      <c r="C76" s="2" t="s">
        <v>117</v>
      </c>
      <c r="D76" s="2" t="s">
        <v>6</v>
      </c>
      <c r="E76" s="2" t="s">
        <v>7</v>
      </c>
      <c r="G76" s="20" t="s">
        <v>14</v>
      </c>
      <c r="H76" s="13"/>
      <c r="I76" s="23"/>
      <c r="J76" s="23"/>
    </row>
    <row r="77" spans="1:10" ht="16.5" customHeight="1" x14ac:dyDescent="0.55000000000000004">
      <c r="A77" s="2" t="s">
        <v>118</v>
      </c>
      <c r="B77" s="2" t="s">
        <v>140</v>
      </c>
      <c r="C77" s="2" t="s">
        <v>119</v>
      </c>
      <c r="D77" s="2" t="s">
        <v>9</v>
      </c>
      <c r="E77" s="2" t="s">
        <v>7</v>
      </c>
      <c r="G77" s="20" t="s">
        <v>14</v>
      </c>
      <c r="H77" s="13"/>
      <c r="I77" s="23"/>
      <c r="J77" s="23"/>
    </row>
    <row r="78" spans="1:10" ht="16.5" customHeight="1" x14ac:dyDescent="0.55000000000000004">
      <c r="A78" s="2" t="s">
        <v>118</v>
      </c>
      <c r="B78" s="2" t="s">
        <v>120</v>
      </c>
      <c r="C78" s="2" t="s">
        <v>121</v>
      </c>
      <c r="D78" s="2" t="s">
        <v>9</v>
      </c>
      <c r="E78" s="2" t="s">
        <v>7</v>
      </c>
      <c r="G78" s="20" t="s">
        <v>14</v>
      </c>
      <c r="H78" s="13"/>
      <c r="I78" s="23"/>
      <c r="J78" s="23"/>
    </row>
    <row r="79" spans="1:10" ht="16.5" customHeight="1" x14ac:dyDescent="0.55000000000000004">
      <c r="A79" s="2" t="s">
        <v>118</v>
      </c>
      <c r="B79" s="2" t="s">
        <v>120</v>
      </c>
      <c r="C79" s="2" t="s">
        <v>122</v>
      </c>
      <c r="D79" s="2" t="s">
        <v>8</v>
      </c>
      <c r="E79" s="2" t="s">
        <v>7</v>
      </c>
      <c r="G79" s="20" t="s">
        <v>14</v>
      </c>
      <c r="H79" s="13"/>
      <c r="I79" s="23"/>
      <c r="J79" s="23"/>
    </row>
    <row r="80" spans="1:10" ht="16.5" customHeight="1" x14ac:dyDescent="0.55000000000000004">
      <c r="A80" s="2" t="s">
        <v>118</v>
      </c>
      <c r="B80" s="2" t="s">
        <v>120</v>
      </c>
      <c r="C80" s="2" t="s">
        <v>123</v>
      </c>
      <c r="D80" s="2" t="s">
        <v>8</v>
      </c>
      <c r="E80" s="2" t="s">
        <v>7</v>
      </c>
      <c r="G80" s="20" t="s">
        <v>14</v>
      </c>
      <c r="H80" s="13"/>
      <c r="I80" s="23"/>
      <c r="J80" s="23"/>
    </row>
    <row r="81" spans="1:10" ht="16.5" customHeight="1" x14ac:dyDescent="0.55000000000000004">
      <c r="A81" s="2"/>
      <c r="B81" s="2"/>
      <c r="C81" s="1"/>
      <c r="G81" s="20"/>
      <c r="H81" s="13"/>
      <c r="I81" s="23"/>
      <c r="J81" s="23"/>
    </row>
    <row r="82" spans="1:10" ht="16.5" customHeight="1" x14ac:dyDescent="0.55000000000000004">
      <c r="A82" s="2"/>
      <c r="B82" s="2"/>
      <c r="G82" s="13"/>
      <c r="H82" s="13"/>
      <c r="I82" s="23"/>
      <c r="J82" s="23"/>
    </row>
    <row r="83" spans="1:10" ht="16.5" customHeight="1" x14ac:dyDescent="0.55000000000000004">
      <c r="A83" s="2"/>
      <c r="B83" s="2"/>
      <c r="G83" s="13"/>
      <c r="H83" s="13"/>
      <c r="I83" s="23"/>
      <c r="J83" s="23"/>
    </row>
    <row r="84" spans="1:10" ht="16.5" customHeight="1" x14ac:dyDescent="0.55000000000000004">
      <c r="A84" s="2"/>
      <c r="B84" s="2"/>
      <c r="G84" s="13"/>
      <c r="H84" s="13"/>
      <c r="I84" s="23"/>
      <c r="J84" s="23"/>
    </row>
    <row r="85" spans="1:10" ht="16.5" customHeight="1" x14ac:dyDescent="0.55000000000000004">
      <c r="A85" s="2"/>
      <c r="B85" s="2"/>
      <c r="C85" s="1"/>
      <c r="G85" s="13"/>
      <c r="H85" s="13"/>
      <c r="I85" s="23"/>
      <c r="J85" s="23"/>
    </row>
    <row r="86" spans="1:10" ht="16.5" customHeight="1" x14ac:dyDescent="0.55000000000000004">
      <c r="A86" s="2"/>
      <c r="B86" s="2"/>
      <c r="G86" s="13"/>
      <c r="H86" s="13"/>
      <c r="I86" s="23"/>
      <c r="J86" s="23"/>
    </row>
    <row r="87" spans="1:10" ht="16.5" customHeight="1" x14ac:dyDescent="0.55000000000000004">
      <c r="A87" s="2"/>
      <c r="B87" s="2"/>
      <c r="C87" s="1"/>
      <c r="G87" s="13"/>
      <c r="H87" s="13"/>
      <c r="I87" s="23"/>
      <c r="J87" s="23"/>
    </row>
    <row r="88" spans="1:10" ht="16.5" customHeight="1" x14ac:dyDescent="0.55000000000000004">
      <c r="A88"/>
      <c r="B88" s="2"/>
      <c r="G88" s="13"/>
      <c r="H88" s="13"/>
      <c r="I88" s="23"/>
      <c r="J88" s="23"/>
    </row>
    <row r="89" spans="1:10" ht="16.5" customHeight="1" x14ac:dyDescent="0.55000000000000004">
      <c r="A89"/>
      <c r="B89" s="2"/>
      <c r="G89" s="13"/>
      <c r="H89" s="13"/>
      <c r="I89" s="23"/>
      <c r="J89" s="23"/>
    </row>
    <row r="90" spans="1:10" ht="16.5" customHeight="1" x14ac:dyDescent="0.55000000000000004">
      <c r="A90"/>
      <c r="B90" s="2"/>
      <c r="G90" s="13"/>
      <c r="H90" s="13"/>
      <c r="I90" s="23"/>
      <c r="J90" s="23"/>
    </row>
    <row r="91" spans="1:10" ht="16.5" customHeight="1" x14ac:dyDescent="0.55000000000000004">
      <c r="A91"/>
      <c r="B91" s="2"/>
      <c r="G91" s="13"/>
      <c r="H91" s="13"/>
      <c r="I91" s="23"/>
      <c r="J91" s="23"/>
    </row>
    <row r="92" spans="1:10" ht="15.75" customHeight="1" x14ac:dyDescent="0.55000000000000004">
      <c r="A92"/>
      <c r="B92" s="2"/>
      <c r="C92" s="1"/>
      <c r="G92" s="13"/>
      <c r="H92" s="13"/>
      <c r="I92" s="23"/>
      <c r="J92" s="23"/>
    </row>
    <row r="93" spans="1:10" ht="16.5" customHeight="1" x14ac:dyDescent="0.55000000000000004">
      <c r="A93"/>
      <c r="B93" s="2"/>
      <c r="G93" s="13"/>
      <c r="H93" s="13"/>
      <c r="I93" s="23"/>
      <c r="J93" s="23"/>
    </row>
    <row r="94" spans="1:10" ht="16.5" customHeight="1" x14ac:dyDescent="0.55000000000000004">
      <c r="A94"/>
      <c r="B94" s="2"/>
      <c r="G94" s="13"/>
      <c r="H94" s="13"/>
      <c r="I94" s="23"/>
      <c r="J94" s="23"/>
    </row>
    <row r="95" spans="1:10" ht="16.5" customHeight="1" x14ac:dyDescent="0.55000000000000004">
      <c r="A95"/>
      <c r="B95" s="2"/>
      <c r="G95" s="13"/>
      <c r="H95" s="13"/>
      <c r="I95" s="23"/>
      <c r="J95" s="23"/>
    </row>
    <row r="96" spans="1:10" ht="16.5" customHeight="1" x14ac:dyDescent="0.55000000000000004">
      <c r="A96"/>
      <c r="B96" s="2"/>
      <c r="G96" s="13"/>
      <c r="H96" s="13"/>
      <c r="I96" s="23"/>
      <c r="J96" s="23"/>
    </row>
    <row r="97" spans="1:10" ht="16.5" customHeight="1" x14ac:dyDescent="0.55000000000000004">
      <c r="A97"/>
      <c r="B97" s="2"/>
      <c r="G97" s="13"/>
      <c r="H97" s="13"/>
      <c r="I97" s="23"/>
      <c r="J97" s="23"/>
    </row>
    <row r="98" spans="1:10" ht="16.5" customHeight="1" x14ac:dyDescent="0.55000000000000004">
      <c r="A98"/>
      <c r="B98" s="2"/>
      <c r="G98" s="13"/>
      <c r="H98" s="13"/>
      <c r="I98" s="23"/>
      <c r="J98" s="23"/>
    </row>
    <row r="99" spans="1:10" ht="16.5" customHeight="1" x14ac:dyDescent="0.55000000000000004">
      <c r="A99" s="2"/>
      <c r="B99" s="2"/>
      <c r="G99" s="13"/>
      <c r="H99" s="13"/>
      <c r="I99" s="23"/>
      <c r="J99" s="23"/>
    </row>
    <row r="100" spans="1:10" ht="16.5" customHeight="1" x14ac:dyDescent="0.55000000000000004">
      <c r="A100" s="2"/>
      <c r="B100" s="2"/>
      <c r="G100" s="13"/>
      <c r="H100" s="13"/>
      <c r="I100" s="23"/>
      <c r="J100" s="23"/>
    </row>
    <row r="101" spans="1:10" ht="16.5" customHeight="1" x14ac:dyDescent="0.55000000000000004">
      <c r="A101" s="2"/>
      <c r="B101" s="2"/>
      <c r="G101" s="13"/>
      <c r="H101" s="13"/>
      <c r="I101" s="23"/>
      <c r="J101" s="23"/>
    </row>
    <row r="102" spans="1:10" ht="16.5" customHeight="1" x14ac:dyDescent="0.55000000000000004">
      <c r="A102" s="2"/>
      <c r="B102" s="2"/>
      <c r="G102" s="13"/>
      <c r="H102" s="13"/>
      <c r="I102" s="23"/>
      <c r="J102" s="23"/>
    </row>
    <row r="103" spans="1:10" ht="16.5" customHeight="1" x14ac:dyDescent="0.55000000000000004">
      <c r="A103" s="2"/>
      <c r="B103" s="2"/>
      <c r="G103" s="13"/>
      <c r="H103" s="13"/>
      <c r="I103" s="23"/>
      <c r="J103" s="23"/>
    </row>
    <row r="104" spans="1:10" ht="16.5" customHeight="1" x14ac:dyDescent="0.55000000000000004">
      <c r="A104" s="2"/>
      <c r="B104" s="2"/>
      <c r="G104" s="13"/>
      <c r="H104" s="13"/>
      <c r="I104" s="23"/>
      <c r="J104" s="23"/>
    </row>
    <row r="105" spans="1:10" ht="16.5" customHeight="1" x14ac:dyDescent="0.55000000000000004">
      <c r="A105" s="2"/>
      <c r="B105" s="2"/>
      <c r="G105" s="13"/>
      <c r="H105" s="13"/>
      <c r="I105" s="23"/>
      <c r="J105" s="23"/>
    </row>
    <row r="106" spans="1:10" ht="16.5" customHeight="1" x14ac:dyDescent="0.55000000000000004">
      <c r="A106" s="2"/>
      <c r="B106" s="2"/>
      <c r="G106" s="13"/>
      <c r="H106" s="13"/>
      <c r="I106" s="23"/>
      <c r="J106" s="23"/>
    </row>
    <row r="107" spans="1:10" ht="16.5" customHeight="1" x14ac:dyDescent="0.55000000000000004">
      <c r="A107" s="2"/>
      <c r="B107" s="2"/>
      <c r="F107" s="1"/>
      <c r="G107" s="13"/>
      <c r="H107" s="13"/>
      <c r="I107" s="23"/>
      <c r="J107" s="23"/>
    </row>
    <row r="108" spans="1:10" ht="16.5" customHeight="1" x14ac:dyDescent="0.55000000000000004">
      <c r="A108" s="2"/>
      <c r="B108" s="2"/>
      <c r="G108" s="13"/>
      <c r="H108" s="13"/>
      <c r="I108" s="23"/>
      <c r="J108" s="23"/>
    </row>
    <row r="109" spans="1:10" ht="16.5" customHeight="1" x14ac:dyDescent="0.55000000000000004">
      <c r="A109" s="2"/>
      <c r="B109" s="2"/>
      <c r="G109" s="13"/>
      <c r="H109" s="13"/>
      <c r="I109" s="23"/>
      <c r="J109" s="23"/>
    </row>
    <row r="110" spans="1:10" ht="16.5" customHeight="1" x14ac:dyDescent="0.55000000000000004">
      <c r="A110" s="2"/>
      <c r="B110" s="2"/>
      <c r="G110" s="13"/>
      <c r="H110" s="13"/>
      <c r="I110" s="23"/>
      <c r="J110" s="23"/>
    </row>
    <row r="111" spans="1:10" ht="16.5" customHeight="1" x14ac:dyDescent="0.55000000000000004">
      <c r="B111" s="2"/>
      <c r="G111" s="13"/>
      <c r="H111" s="13"/>
      <c r="I111" s="23"/>
      <c r="J111" s="23"/>
    </row>
    <row r="112" spans="1:10" ht="16.5" customHeight="1" x14ac:dyDescent="0.55000000000000004">
      <c r="B112" s="2"/>
      <c r="G112" s="13"/>
      <c r="H112" s="13"/>
      <c r="I112" s="23"/>
      <c r="J112" s="23"/>
    </row>
    <row r="113" spans="2:10" ht="16.5" customHeight="1" x14ac:dyDescent="0.55000000000000004">
      <c r="B113" s="2"/>
      <c r="G113" s="13"/>
      <c r="H113" s="13"/>
      <c r="I113" s="23"/>
      <c r="J113" s="23"/>
    </row>
    <row r="114" spans="2:10" ht="16.5" customHeight="1" x14ac:dyDescent="0.55000000000000004">
      <c r="B114" s="2"/>
      <c r="F114" s="1"/>
      <c r="G114" s="13"/>
      <c r="H114" s="13"/>
      <c r="I114" s="23"/>
      <c r="J114" s="23"/>
    </row>
    <row r="115" spans="2:10" ht="16.5" customHeight="1" x14ac:dyDescent="0.55000000000000004">
      <c r="B115" s="2"/>
      <c r="G115" s="13"/>
      <c r="H115" s="13"/>
      <c r="I115" s="23"/>
      <c r="J115" s="23"/>
    </row>
    <row r="116" spans="2:10" ht="16.5" customHeight="1" x14ac:dyDescent="0.55000000000000004">
      <c r="B116" s="2"/>
      <c r="G116" s="13"/>
      <c r="H116" s="13"/>
      <c r="I116" s="23"/>
      <c r="J116" s="23"/>
    </row>
    <row r="117" spans="2:10" ht="16.5" customHeight="1" x14ac:dyDescent="0.55000000000000004">
      <c r="B117" s="2"/>
      <c r="F117" s="1"/>
      <c r="G117" s="13"/>
      <c r="H117" s="13"/>
      <c r="I117" s="23"/>
      <c r="J117" s="23"/>
    </row>
    <row r="118" spans="2:10" ht="16.5" customHeight="1" x14ac:dyDescent="0.55000000000000004">
      <c r="B118" s="2"/>
      <c r="G118" s="13"/>
      <c r="H118" s="13"/>
      <c r="I118" s="23"/>
      <c r="J118" s="23"/>
    </row>
    <row r="119" spans="2:10" ht="16.5" customHeight="1" x14ac:dyDescent="0.55000000000000004">
      <c r="B119" s="2"/>
      <c r="G119" s="13"/>
      <c r="H119" s="13"/>
      <c r="I119" s="23"/>
      <c r="J119" s="23"/>
    </row>
    <row r="120" spans="2:10" ht="16.5" customHeight="1" x14ac:dyDescent="0.55000000000000004">
      <c r="B120" s="2"/>
      <c r="F120" s="1"/>
      <c r="G120" s="13"/>
      <c r="H120" s="13"/>
      <c r="I120" s="23"/>
      <c r="J120" s="23"/>
    </row>
    <row r="121" spans="2:10" ht="16.5" customHeight="1" x14ac:dyDescent="0.55000000000000004">
      <c r="B121" s="2"/>
      <c r="G121" s="13"/>
      <c r="H121" s="13"/>
      <c r="I121" s="23"/>
      <c r="J121" s="23"/>
    </row>
    <row r="122" spans="2:10" ht="16.5" customHeight="1" x14ac:dyDescent="0.55000000000000004">
      <c r="B122" s="2"/>
      <c r="G122" s="13"/>
      <c r="H122" s="13"/>
      <c r="I122" s="23"/>
      <c r="J122" s="23"/>
    </row>
    <row r="123" spans="2:10" ht="16.5" customHeight="1" x14ac:dyDescent="0.55000000000000004">
      <c r="B123" s="2"/>
      <c r="G123" s="13"/>
      <c r="H123" s="13"/>
      <c r="I123" s="23"/>
      <c r="J123" s="23"/>
    </row>
    <row r="124" spans="2:10" ht="16.5" customHeight="1" x14ac:dyDescent="0.55000000000000004">
      <c r="B124" s="2"/>
      <c r="F124" s="1"/>
      <c r="G124" s="13"/>
      <c r="H124" s="13"/>
      <c r="I124" s="23"/>
      <c r="J124" s="23"/>
    </row>
    <row r="125" spans="2:10" ht="16.5" customHeight="1" x14ac:dyDescent="0.55000000000000004">
      <c r="B125" s="2"/>
      <c r="F125" s="1"/>
      <c r="G125" s="13"/>
      <c r="H125" s="13"/>
      <c r="I125" s="23"/>
      <c r="J125" s="23"/>
    </row>
    <row r="126" spans="2:10" ht="16.5" customHeight="1" x14ac:dyDescent="0.55000000000000004">
      <c r="B126" s="2"/>
      <c r="F126" s="1"/>
      <c r="G126" s="13"/>
      <c r="H126" s="13"/>
      <c r="I126" s="23"/>
      <c r="J126" s="23"/>
    </row>
    <row r="127" spans="2:10" ht="16.5" customHeight="1" x14ac:dyDescent="0.55000000000000004">
      <c r="B127" s="2"/>
      <c r="F127" s="1"/>
      <c r="G127" s="13"/>
      <c r="H127" s="13"/>
      <c r="I127" s="23"/>
      <c r="J127" s="23"/>
    </row>
    <row r="128" spans="2:10" ht="16.5" customHeight="1" x14ac:dyDescent="0.55000000000000004">
      <c r="B128" s="2"/>
      <c r="G128" s="13"/>
      <c r="H128" s="13"/>
      <c r="I128" s="23"/>
      <c r="J128" s="23"/>
    </row>
    <row r="129" spans="2:10" ht="16.5" customHeight="1" x14ac:dyDescent="0.55000000000000004">
      <c r="B129" s="2"/>
      <c r="F129" s="1"/>
      <c r="G129" s="13"/>
      <c r="H129" s="13"/>
      <c r="I129" s="23"/>
      <c r="J129" s="23"/>
    </row>
    <row r="130" spans="2:10" ht="16.5" customHeight="1" x14ac:dyDescent="0.55000000000000004">
      <c r="B130" s="2"/>
      <c r="F130" s="1"/>
      <c r="G130" s="13"/>
      <c r="H130" s="13"/>
      <c r="I130" s="23"/>
      <c r="J130" s="23"/>
    </row>
    <row r="131" spans="2:10" ht="16.5" customHeight="1" x14ac:dyDescent="0.55000000000000004">
      <c r="B131" s="2"/>
      <c r="F131" s="1"/>
      <c r="G131" s="13"/>
      <c r="H131" s="13"/>
      <c r="I131" s="23"/>
      <c r="J131" s="23"/>
    </row>
    <row r="132" spans="2:10" ht="16.5" customHeight="1" x14ac:dyDescent="0.55000000000000004">
      <c r="B132" s="2"/>
      <c r="F132" s="1"/>
      <c r="G132" s="13"/>
      <c r="H132" s="13"/>
      <c r="I132" s="23"/>
      <c r="J132" s="23"/>
    </row>
    <row r="133" spans="2:10" ht="16.5" customHeight="1" x14ac:dyDescent="0.55000000000000004">
      <c r="B133" s="2"/>
      <c r="G133" s="13"/>
      <c r="H133" s="13"/>
      <c r="I133" s="23"/>
      <c r="J133" s="23"/>
    </row>
    <row r="134" spans="2:10" ht="16.5" customHeight="1" x14ac:dyDescent="0.55000000000000004">
      <c r="B134" s="2"/>
      <c r="G134" s="13"/>
      <c r="H134" s="13"/>
      <c r="I134" s="23"/>
      <c r="J134" s="23"/>
    </row>
    <row r="135" spans="2:10" ht="16.5" customHeight="1" x14ac:dyDescent="0.55000000000000004">
      <c r="B135" s="2"/>
      <c r="F135" s="1"/>
      <c r="G135" s="13"/>
      <c r="H135" s="13"/>
      <c r="I135" s="23"/>
      <c r="J135" s="23"/>
    </row>
    <row r="136" spans="2:10" ht="16.5" customHeight="1" x14ac:dyDescent="0.55000000000000004">
      <c r="B136" s="2"/>
      <c r="G136" s="13"/>
      <c r="H136" s="13"/>
      <c r="I136" s="23"/>
      <c r="J136" s="23"/>
    </row>
    <row r="137" spans="2:10" ht="16.5" customHeight="1" x14ac:dyDescent="0.55000000000000004">
      <c r="B137" s="2"/>
      <c r="G137" s="13"/>
      <c r="H137" s="13"/>
      <c r="I137" s="23"/>
      <c r="J137" s="23"/>
    </row>
    <row r="138" spans="2:10" ht="16.5" customHeight="1" x14ac:dyDescent="0.55000000000000004">
      <c r="B138" s="2"/>
      <c r="G138" s="13"/>
      <c r="H138" s="13"/>
      <c r="I138" s="23"/>
      <c r="J138" s="23"/>
    </row>
    <row r="139" spans="2:10" ht="16.5" customHeight="1" x14ac:dyDescent="0.55000000000000004">
      <c r="B139" s="2"/>
      <c r="G139" s="13"/>
      <c r="H139" s="13"/>
      <c r="I139" s="23"/>
      <c r="J139" s="23"/>
    </row>
    <row r="140" spans="2:10" ht="16.5" customHeight="1" x14ac:dyDescent="0.55000000000000004">
      <c r="B140" s="2"/>
      <c r="G140" s="13"/>
      <c r="H140" s="13"/>
      <c r="I140" s="23"/>
      <c r="J140" s="23"/>
    </row>
    <row r="141" spans="2:10" ht="16.5" customHeight="1" x14ac:dyDescent="0.55000000000000004">
      <c r="B141" s="2"/>
      <c r="G141" s="13"/>
      <c r="H141" s="13"/>
      <c r="I141" s="23"/>
      <c r="J141" s="23"/>
    </row>
    <row r="142" spans="2:10" ht="16.5" customHeight="1" x14ac:dyDescent="0.55000000000000004">
      <c r="B142" s="2"/>
      <c r="G142" s="13"/>
      <c r="H142" s="13"/>
      <c r="I142" s="23"/>
      <c r="J142" s="23"/>
    </row>
    <row r="143" spans="2:10" ht="16.5" customHeight="1" x14ac:dyDescent="0.55000000000000004">
      <c r="B143" s="2"/>
      <c r="G143" s="13"/>
      <c r="H143" s="13"/>
      <c r="I143" s="23"/>
      <c r="J143" s="23"/>
    </row>
    <row r="144" spans="2:10" ht="16.5" customHeight="1" x14ac:dyDescent="0.55000000000000004">
      <c r="B144" s="2"/>
      <c r="G144" s="13"/>
      <c r="H144" s="13"/>
      <c r="I144" s="23"/>
      <c r="J144" s="23"/>
    </row>
    <row r="145" spans="2:10" ht="16.5" customHeight="1" x14ac:dyDescent="0.55000000000000004">
      <c r="B145" s="2"/>
      <c r="G145" s="13"/>
      <c r="H145" s="13"/>
      <c r="I145" s="23"/>
      <c r="J145" s="23"/>
    </row>
    <row r="146" spans="2:10" ht="16.5" customHeight="1" x14ac:dyDescent="0.55000000000000004">
      <c r="B146" s="2"/>
      <c r="G146" s="13"/>
      <c r="H146" s="13"/>
      <c r="I146" s="23"/>
      <c r="J146" s="23"/>
    </row>
    <row r="147" spans="2:10" ht="16.5" customHeight="1" x14ac:dyDescent="0.55000000000000004">
      <c r="B147" s="2"/>
      <c r="G147" s="13"/>
      <c r="H147" s="13"/>
      <c r="I147" s="23"/>
      <c r="J147" s="23"/>
    </row>
    <row r="148" spans="2:10" ht="16.5" customHeight="1" x14ac:dyDescent="0.55000000000000004">
      <c r="B148" s="2"/>
      <c r="G148" s="13"/>
      <c r="H148" s="13"/>
      <c r="I148" s="23"/>
      <c r="J148" s="23"/>
    </row>
    <row r="149" spans="2:10" ht="16.5" customHeight="1" x14ac:dyDescent="0.55000000000000004">
      <c r="B149" s="2"/>
      <c r="F149" s="1"/>
      <c r="G149" s="13"/>
      <c r="H149" s="13"/>
      <c r="I149" s="23"/>
      <c r="J149" s="23"/>
    </row>
    <row r="150" spans="2:10" ht="16.5" customHeight="1" x14ac:dyDescent="0.55000000000000004">
      <c r="B150" s="2"/>
      <c r="F150" s="1"/>
      <c r="G150" s="13"/>
      <c r="H150" s="13"/>
      <c r="I150" s="23"/>
      <c r="J150" s="23"/>
    </row>
    <row r="151" spans="2:10" ht="16.5" customHeight="1" x14ac:dyDescent="0.55000000000000004">
      <c r="B151" s="2"/>
      <c r="F151" s="1"/>
      <c r="G151" s="13"/>
      <c r="H151" s="13"/>
      <c r="I151" s="23"/>
      <c r="J151" s="23"/>
    </row>
    <row r="152" spans="2:10" ht="16.5" customHeight="1" x14ac:dyDescent="0.55000000000000004">
      <c r="B152" s="2"/>
      <c r="C152" s="1"/>
      <c r="F152" s="1"/>
      <c r="G152" s="13"/>
      <c r="H152" s="13"/>
      <c r="I152" s="23"/>
      <c r="J152" s="23"/>
    </row>
    <row r="153" spans="2:10" ht="16.5" customHeight="1" x14ac:dyDescent="0.55000000000000004">
      <c r="B153" s="2"/>
      <c r="C153" s="1"/>
      <c r="F153" s="1"/>
      <c r="G153" s="13"/>
      <c r="H153" s="13"/>
      <c r="I153" s="23"/>
      <c r="J153" s="23"/>
    </row>
    <row r="154" spans="2:10" ht="16.5" customHeight="1" x14ac:dyDescent="0.55000000000000004">
      <c r="B154" s="2"/>
      <c r="C154" s="1"/>
      <c r="F154" s="1"/>
      <c r="G154" s="13"/>
      <c r="H154" s="13"/>
      <c r="I154" s="23"/>
      <c r="J154" s="23"/>
    </row>
    <row r="155" spans="2:10" ht="16.5" customHeight="1" x14ac:dyDescent="0.55000000000000004">
      <c r="B155" s="2"/>
      <c r="F155" s="1"/>
      <c r="G155" s="13"/>
      <c r="H155" s="13"/>
      <c r="I155" s="23"/>
      <c r="J155" s="23"/>
    </row>
    <row r="156" spans="2:10" ht="16.5" customHeight="1" x14ac:dyDescent="0.55000000000000004">
      <c r="B156" s="2"/>
      <c r="F156" s="1"/>
      <c r="G156" s="13"/>
      <c r="H156" s="13"/>
      <c r="I156" s="23"/>
      <c r="J156" s="23"/>
    </row>
    <row r="157" spans="2:10" ht="16.5" customHeight="1" x14ac:dyDescent="0.55000000000000004">
      <c r="B157" s="2"/>
      <c r="F157" s="1"/>
      <c r="G157" s="13"/>
      <c r="H157" s="13"/>
      <c r="I157" s="23"/>
      <c r="J157" s="23"/>
    </row>
    <row r="158" spans="2:10" ht="16.5" customHeight="1" x14ac:dyDescent="0.55000000000000004">
      <c r="B158" s="2"/>
      <c r="F158" s="1"/>
      <c r="G158" s="13"/>
      <c r="H158" s="13"/>
      <c r="I158" s="23"/>
      <c r="J158" s="23"/>
    </row>
    <row r="159" spans="2:10" ht="16.5" customHeight="1" x14ac:dyDescent="0.55000000000000004">
      <c r="B159" s="2"/>
      <c r="F159" s="1"/>
      <c r="G159" s="13"/>
      <c r="H159" s="13"/>
      <c r="I159" s="23"/>
      <c r="J159" s="23"/>
    </row>
    <row r="160" spans="2:10" ht="16.5" customHeight="1" x14ac:dyDescent="0.55000000000000004">
      <c r="B160" s="2"/>
      <c r="G160" s="13"/>
      <c r="H160" s="13"/>
      <c r="I160" s="23"/>
      <c r="J160" s="23"/>
    </row>
    <row r="161" spans="1:10" ht="16.5" customHeight="1" x14ac:dyDescent="0.55000000000000004">
      <c r="B161" s="2"/>
      <c r="G161" s="13"/>
      <c r="H161" s="13"/>
      <c r="I161" s="23"/>
      <c r="J161" s="23"/>
    </row>
    <row r="162" spans="1:10" ht="16.5" customHeight="1" x14ac:dyDescent="0.55000000000000004">
      <c r="B162" s="2"/>
      <c r="G162" s="13"/>
      <c r="H162" s="13"/>
      <c r="I162" s="23"/>
      <c r="J162" s="23"/>
    </row>
    <row r="163" spans="1:10" ht="16.5" customHeight="1" x14ac:dyDescent="0.55000000000000004">
      <c r="B163" s="2"/>
      <c r="G163" s="13"/>
      <c r="H163" s="13"/>
      <c r="I163" s="23"/>
      <c r="J163" s="23"/>
    </row>
    <row r="164" spans="1:10" ht="16.5" customHeight="1" x14ac:dyDescent="0.55000000000000004">
      <c r="B164" s="2"/>
      <c r="F164" s="1"/>
      <c r="G164" s="13"/>
      <c r="H164" s="13"/>
      <c r="I164" s="23"/>
      <c r="J164" s="23"/>
    </row>
    <row r="165" spans="1:10" ht="16.5" customHeight="1" x14ac:dyDescent="0.55000000000000004">
      <c r="B165" s="2"/>
      <c r="G165" s="13"/>
      <c r="H165" s="13"/>
      <c r="I165" s="23"/>
      <c r="J165" s="23"/>
    </row>
    <row r="166" spans="1:10" ht="16.5" customHeight="1" x14ac:dyDescent="0.55000000000000004">
      <c r="B166" s="2"/>
      <c r="G166" s="13"/>
      <c r="H166" s="13"/>
      <c r="I166" s="23"/>
      <c r="J166" s="23"/>
    </row>
    <row r="167" spans="1:10" ht="16.5" customHeight="1" x14ac:dyDescent="0.55000000000000004">
      <c r="A167" s="2"/>
      <c r="B167" s="2"/>
      <c r="G167" s="3"/>
      <c r="I167" s="23"/>
      <c r="J167" s="23"/>
    </row>
    <row r="168" spans="1:10" ht="16.5" customHeight="1" x14ac:dyDescent="0.55000000000000004">
      <c r="A168" s="2"/>
      <c r="B168" s="2"/>
      <c r="G168" s="3"/>
      <c r="I168" s="23"/>
      <c r="J168" s="23"/>
    </row>
    <row r="169" spans="1:10" ht="16.5" customHeight="1" x14ac:dyDescent="0.55000000000000004">
      <c r="I169" s="23"/>
      <c r="J169" s="23"/>
    </row>
    <row r="170" spans="1:10" ht="16.5" customHeight="1" x14ac:dyDescent="0.55000000000000004">
      <c r="I170" s="23"/>
      <c r="J170" s="23"/>
    </row>
    <row r="171" spans="1:10" ht="16.5" customHeight="1" x14ac:dyDescent="0.55000000000000004">
      <c r="I171" s="23"/>
      <c r="J171" s="23"/>
    </row>
    <row r="172" spans="1:10" ht="16.5" customHeight="1" x14ac:dyDescent="0.55000000000000004">
      <c r="I172" s="23"/>
      <c r="J172" s="23"/>
    </row>
    <row r="173" spans="1:10" ht="16.5" customHeight="1" x14ac:dyDescent="0.55000000000000004">
      <c r="I173" s="23"/>
      <c r="J173" s="23"/>
    </row>
    <row r="174" spans="1:10" ht="16.5" customHeight="1" x14ac:dyDescent="0.55000000000000004">
      <c r="I174" s="23"/>
      <c r="J174" s="23"/>
    </row>
    <row r="175" spans="1:10" ht="16.5" customHeight="1" x14ac:dyDescent="0.55000000000000004">
      <c r="I175" s="23"/>
      <c r="J175" s="23"/>
    </row>
    <row r="176" spans="1:10" ht="16.5" customHeight="1" x14ac:dyDescent="0.55000000000000004">
      <c r="I176" s="23"/>
      <c r="J176" s="23"/>
    </row>
    <row r="177" spans="9:10" ht="16.5" customHeight="1" x14ac:dyDescent="0.55000000000000004">
      <c r="I177" s="23"/>
      <c r="J177" s="23"/>
    </row>
    <row r="178" spans="9:10" ht="16.5" customHeight="1" x14ac:dyDescent="0.55000000000000004">
      <c r="I178" s="23"/>
      <c r="J178" s="23"/>
    </row>
    <row r="179" spans="9:10" ht="16.5" customHeight="1" x14ac:dyDescent="0.55000000000000004">
      <c r="I179" s="23"/>
      <c r="J179" s="23"/>
    </row>
    <row r="180" spans="9:10" ht="16.5" customHeight="1" x14ac:dyDescent="0.55000000000000004">
      <c r="I180" s="23"/>
      <c r="J180" s="23"/>
    </row>
    <row r="181" spans="9:10" ht="16.5" customHeight="1" x14ac:dyDescent="0.55000000000000004">
      <c r="I181" s="23"/>
      <c r="J181" s="23"/>
    </row>
    <row r="182" spans="9:10" ht="16.5" customHeight="1" x14ac:dyDescent="0.55000000000000004">
      <c r="I182" s="23"/>
      <c r="J182" s="23"/>
    </row>
    <row r="183" spans="9:10" ht="16.5" customHeight="1" x14ac:dyDescent="0.55000000000000004">
      <c r="I183" s="23"/>
      <c r="J183" s="23"/>
    </row>
    <row r="184" spans="9:10" ht="16.5" customHeight="1" x14ac:dyDescent="0.55000000000000004">
      <c r="I184" s="23"/>
      <c r="J184" s="23"/>
    </row>
    <row r="185" spans="9:10" ht="16.5" customHeight="1" x14ac:dyDescent="0.55000000000000004">
      <c r="I185" s="23"/>
      <c r="J185" s="23"/>
    </row>
    <row r="186" spans="9:10" ht="16.5" customHeight="1" x14ac:dyDescent="0.55000000000000004">
      <c r="I186" s="23"/>
      <c r="J186" s="23"/>
    </row>
    <row r="187" spans="9:10" ht="16.5" customHeight="1" x14ac:dyDescent="0.55000000000000004">
      <c r="I187" s="23"/>
      <c r="J187" s="23"/>
    </row>
    <row r="188" spans="9:10" ht="16.5" customHeight="1" x14ac:dyDescent="0.55000000000000004">
      <c r="I188" s="23"/>
      <c r="J188" s="23"/>
    </row>
    <row r="189" spans="9:10" ht="16.5" customHeight="1" x14ac:dyDescent="0.55000000000000004">
      <c r="I189" s="23"/>
      <c r="J189" s="23"/>
    </row>
    <row r="190" spans="9:10" ht="16.5" customHeight="1" x14ac:dyDescent="0.55000000000000004">
      <c r="I190" s="23"/>
      <c r="J190" s="23"/>
    </row>
    <row r="191" spans="9:10" ht="16.5" customHeight="1" x14ac:dyDescent="0.55000000000000004">
      <c r="I191" s="23"/>
      <c r="J191" s="23"/>
    </row>
    <row r="192" spans="9:10" ht="16.5" customHeight="1" x14ac:dyDescent="0.55000000000000004">
      <c r="I192" s="23"/>
      <c r="J192" s="23"/>
    </row>
    <row r="193" spans="9:10" ht="16.5" customHeight="1" x14ac:dyDescent="0.55000000000000004">
      <c r="I193" s="23"/>
      <c r="J193" s="23"/>
    </row>
    <row r="194" spans="9:10" ht="16.5" customHeight="1" x14ac:dyDescent="0.55000000000000004">
      <c r="I194" s="23"/>
      <c r="J194" s="23"/>
    </row>
    <row r="195" spans="9:10" ht="16.5" customHeight="1" x14ac:dyDescent="0.55000000000000004">
      <c r="I195" s="23"/>
      <c r="J195" s="23"/>
    </row>
    <row r="196" spans="9:10" ht="16.5" customHeight="1" x14ac:dyDescent="0.55000000000000004">
      <c r="I196" s="23"/>
      <c r="J196" s="23"/>
    </row>
    <row r="197" spans="9:10" ht="16.5" customHeight="1" x14ac:dyDescent="0.55000000000000004">
      <c r="I197" s="23"/>
      <c r="J197" s="23"/>
    </row>
    <row r="198" spans="9:10" ht="16.5" customHeight="1" x14ac:dyDescent="0.55000000000000004">
      <c r="I198" s="23"/>
      <c r="J198" s="23"/>
    </row>
    <row r="199" spans="9:10" ht="16.5" customHeight="1" x14ac:dyDescent="0.55000000000000004">
      <c r="I199" s="23"/>
      <c r="J199" s="23"/>
    </row>
    <row r="200" spans="9:10" ht="16.5" customHeight="1" x14ac:dyDescent="0.55000000000000004">
      <c r="I200" s="23"/>
      <c r="J200" s="23"/>
    </row>
    <row r="201" spans="9:10" ht="16.5" customHeight="1" x14ac:dyDescent="0.55000000000000004">
      <c r="I201" s="23"/>
      <c r="J201" s="23"/>
    </row>
    <row r="202" spans="9:10" ht="16.5" customHeight="1" x14ac:dyDescent="0.55000000000000004">
      <c r="I202" s="23"/>
      <c r="J202" s="23"/>
    </row>
    <row r="203" spans="9:10" ht="16.5" customHeight="1" x14ac:dyDescent="0.55000000000000004">
      <c r="I203" s="23"/>
      <c r="J203" s="23"/>
    </row>
    <row r="204" spans="9:10" ht="16.5" customHeight="1" x14ac:dyDescent="0.55000000000000004">
      <c r="I204" s="23"/>
      <c r="J204" s="23"/>
    </row>
    <row r="205" spans="9:10" ht="16.5" customHeight="1" x14ac:dyDescent="0.55000000000000004">
      <c r="I205" s="23"/>
      <c r="J205" s="23"/>
    </row>
    <row r="206" spans="9:10" ht="16.5" customHeight="1" x14ac:dyDescent="0.55000000000000004">
      <c r="I206" s="23"/>
      <c r="J206" s="23"/>
    </row>
    <row r="207" spans="9:10" ht="16.5" customHeight="1" x14ac:dyDescent="0.55000000000000004">
      <c r="I207" s="23"/>
      <c r="J207" s="23"/>
    </row>
    <row r="208" spans="9:10" ht="16.5" customHeight="1" x14ac:dyDescent="0.55000000000000004">
      <c r="I208" s="23"/>
      <c r="J208" s="23"/>
    </row>
    <row r="209" spans="9:10" ht="16.5" customHeight="1" x14ac:dyDescent="0.55000000000000004">
      <c r="I209" s="23"/>
      <c r="J209" s="23"/>
    </row>
    <row r="210" spans="9:10" ht="16.5" customHeight="1" x14ac:dyDescent="0.55000000000000004">
      <c r="I210" s="23"/>
      <c r="J210" s="23"/>
    </row>
    <row r="211" spans="9:10" ht="16.5" customHeight="1" x14ac:dyDescent="0.55000000000000004">
      <c r="I211" s="23"/>
      <c r="J211" s="23"/>
    </row>
    <row r="212" spans="9:10" ht="16.5" customHeight="1" x14ac:dyDescent="0.55000000000000004">
      <c r="I212" s="23"/>
      <c r="J212" s="23"/>
    </row>
    <row r="213" spans="9:10" ht="16.5" customHeight="1" x14ac:dyDescent="0.55000000000000004">
      <c r="I213" s="23"/>
      <c r="J213" s="23"/>
    </row>
    <row r="214" spans="9:10" ht="16.5" customHeight="1" x14ac:dyDescent="0.55000000000000004">
      <c r="I214" s="23"/>
      <c r="J214" s="23"/>
    </row>
    <row r="215" spans="9:10" ht="16.5" customHeight="1" x14ac:dyDescent="0.55000000000000004">
      <c r="I215" s="23"/>
      <c r="J215" s="23"/>
    </row>
    <row r="216" spans="9:10" ht="16.5" customHeight="1" x14ac:dyDescent="0.55000000000000004">
      <c r="I216" s="23"/>
      <c r="J216" s="23"/>
    </row>
    <row r="217" spans="9:10" ht="16.5" customHeight="1" x14ac:dyDescent="0.55000000000000004">
      <c r="I217" s="23"/>
      <c r="J217" s="23"/>
    </row>
    <row r="218" spans="9:10" ht="16.5" customHeight="1" x14ac:dyDescent="0.55000000000000004">
      <c r="I218" s="23"/>
      <c r="J218" s="23"/>
    </row>
    <row r="219" spans="9:10" ht="16.5" customHeight="1" x14ac:dyDescent="0.55000000000000004">
      <c r="I219" s="23"/>
      <c r="J219" s="23"/>
    </row>
    <row r="220" spans="9:10" ht="16.5" customHeight="1" x14ac:dyDescent="0.55000000000000004">
      <c r="I220" s="23"/>
      <c r="J220" s="23"/>
    </row>
    <row r="221" spans="9:10" ht="16.5" customHeight="1" x14ac:dyDescent="0.55000000000000004">
      <c r="I221" s="23"/>
      <c r="J221" s="23"/>
    </row>
    <row r="222" spans="9:10" x14ac:dyDescent="0.55000000000000004">
      <c r="I222" s="23"/>
      <c r="J222" s="23"/>
    </row>
    <row r="223" spans="9:10" x14ac:dyDescent="0.55000000000000004">
      <c r="I223" s="23"/>
      <c r="J223" s="23"/>
    </row>
    <row r="224" spans="9:10" x14ac:dyDescent="0.55000000000000004">
      <c r="I224" s="23"/>
      <c r="J224" s="23"/>
    </row>
    <row r="225" spans="9:10" x14ac:dyDescent="0.55000000000000004">
      <c r="I225" s="23"/>
      <c r="J225" s="23"/>
    </row>
    <row r="226" spans="9:10" x14ac:dyDescent="0.55000000000000004">
      <c r="I226" s="23"/>
      <c r="J226" s="23"/>
    </row>
    <row r="227" spans="9:10" x14ac:dyDescent="0.55000000000000004">
      <c r="I227" s="23"/>
      <c r="J227" s="23"/>
    </row>
    <row r="228" spans="9:10" x14ac:dyDescent="0.55000000000000004">
      <c r="I228" s="23"/>
      <c r="J228" s="23"/>
    </row>
    <row r="229" spans="9:10" x14ac:dyDescent="0.55000000000000004">
      <c r="I229" s="23"/>
      <c r="J229" s="23"/>
    </row>
    <row r="230" spans="9:10" x14ac:dyDescent="0.55000000000000004">
      <c r="I230" s="23"/>
      <c r="J230" s="23"/>
    </row>
    <row r="231" spans="9:10" x14ac:dyDescent="0.55000000000000004">
      <c r="I231" s="23"/>
      <c r="J231" s="23"/>
    </row>
    <row r="232" spans="9:10" x14ac:dyDescent="0.55000000000000004">
      <c r="I232" s="23"/>
      <c r="J232" s="23"/>
    </row>
    <row r="233" spans="9:10" x14ac:dyDescent="0.55000000000000004">
      <c r="I233" s="23"/>
      <c r="J233" s="23"/>
    </row>
    <row r="234" spans="9:10" x14ac:dyDescent="0.55000000000000004">
      <c r="I234" s="23"/>
      <c r="J234" s="23"/>
    </row>
    <row r="235" spans="9:10" x14ac:dyDescent="0.55000000000000004">
      <c r="I235" s="23"/>
      <c r="J235" s="23"/>
    </row>
    <row r="236" spans="9:10" x14ac:dyDescent="0.55000000000000004">
      <c r="I236" s="23"/>
      <c r="J236" s="23"/>
    </row>
    <row r="237" spans="9:10" x14ac:dyDescent="0.55000000000000004">
      <c r="I237" s="23"/>
      <c r="J237" s="23"/>
    </row>
    <row r="238" spans="9:10" x14ac:dyDescent="0.55000000000000004">
      <c r="I238" s="23"/>
      <c r="J238" s="23"/>
    </row>
    <row r="239" spans="9:10" x14ac:dyDescent="0.55000000000000004">
      <c r="I239" s="23"/>
      <c r="J239" s="23"/>
    </row>
    <row r="240" spans="9:10" x14ac:dyDescent="0.55000000000000004">
      <c r="I240" s="23"/>
      <c r="J240" s="23"/>
    </row>
    <row r="241" spans="9:10" x14ac:dyDescent="0.55000000000000004">
      <c r="I241" s="23"/>
      <c r="J241" s="23"/>
    </row>
    <row r="242" spans="9:10" x14ac:dyDescent="0.55000000000000004">
      <c r="I242" s="23"/>
      <c r="J242" s="23"/>
    </row>
    <row r="243" spans="9:10" x14ac:dyDescent="0.55000000000000004">
      <c r="I243" s="23"/>
      <c r="J243" s="23"/>
    </row>
    <row r="244" spans="9:10" x14ac:dyDescent="0.55000000000000004">
      <c r="I244" s="23"/>
      <c r="J244" s="23"/>
    </row>
    <row r="245" spans="9:10" x14ac:dyDescent="0.55000000000000004">
      <c r="I245" s="23"/>
      <c r="J245" s="23"/>
    </row>
    <row r="246" spans="9:10" x14ac:dyDescent="0.55000000000000004">
      <c r="I246" s="23"/>
      <c r="J246" s="23"/>
    </row>
    <row r="247" spans="9:10" x14ac:dyDescent="0.55000000000000004">
      <c r="I247" s="23"/>
      <c r="J247" s="23"/>
    </row>
    <row r="248" spans="9:10" x14ac:dyDescent="0.55000000000000004">
      <c r="I248" s="23"/>
      <c r="J248" s="23"/>
    </row>
    <row r="249" spans="9:10" x14ac:dyDescent="0.55000000000000004">
      <c r="I249" s="23"/>
      <c r="J249" s="23"/>
    </row>
    <row r="250" spans="9:10" x14ac:dyDescent="0.55000000000000004">
      <c r="I250" s="23"/>
      <c r="J250" s="23"/>
    </row>
    <row r="251" spans="9:10" x14ac:dyDescent="0.55000000000000004">
      <c r="I251" s="23"/>
      <c r="J251" s="23"/>
    </row>
    <row r="252" spans="9:10" x14ac:dyDescent="0.55000000000000004">
      <c r="I252" s="23"/>
      <c r="J252" s="23"/>
    </row>
    <row r="253" spans="9:10" x14ac:dyDescent="0.55000000000000004">
      <c r="I253" s="23"/>
      <c r="J253" s="23"/>
    </row>
    <row r="254" spans="9:10" x14ac:dyDescent="0.55000000000000004">
      <c r="I254" s="23"/>
      <c r="J254" s="23"/>
    </row>
    <row r="255" spans="9:10" x14ac:dyDescent="0.55000000000000004">
      <c r="I255" s="23"/>
      <c r="J255" s="23"/>
    </row>
    <row r="256" spans="9:10" x14ac:dyDescent="0.55000000000000004">
      <c r="I256" s="23"/>
      <c r="J256" s="23"/>
    </row>
    <row r="257" spans="9:10" x14ac:dyDescent="0.55000000000000004">
      <c r="I257" s="23"/>
      <c r="J257" s="23"/>
    </row>
    <row r="258" spans="9:10" x14ac:dyDescent="0.55000000000000004">
      <c r="I258" s="23"/>
      <c r="J258" s="23"/>
    </row>
    <row r="259" spans="9:10" x14ac:dyDescent="0.55000000000000004">
      <c r="I259" s="23"/>
      <c r="J259" s="23"/>
    </row>
    <row r="260" spans="9:10" x14ac:dyDescent="0.55000000000000004">
      <c r="I260" s="23"/>
      <c r="J260" s="23"/>
    </row>
    <row r="261" spans="9:10" x14ac:dyDescent="0.55000000000000004">
      <c r="I261" s="23"/>
      <c r="J261" s="23"/>
    </row>
    <row r="262" spans="9:10" x14ac:dyDescent="0.55000000000000004">
      <c r="I262" s="23"/>
      <c r="J262" s="23"/>
    </row>
    <row r="263" spans="9:10" x14ac:dyDescent="0.55000000000000004">
      <c r="I263" s="23"/>
      <c r="J263" s="23"/>
    </row>
    <row r="264" spans="9:10" x14ac:dyDescent="0.55000000000000004">
      <c r="I264" s="23"/>
      <c r="J264" s="23"/>
    </row>
    <row r="265" spans="9:10" x14ac:dyDescent="0.55000000000000004">
      <c r="I265" s="23"/>
      <c r="J265" s="23"/>
    </row>
    <row r="266" spans="9:10" x14ac:dyDescent="0.55000000000000004">
      <c r="I266" s="23"/>
      <c r="J266" s="23"/>
    </row>
    <row r="267" spans="9:10" x14ac:dyDescent="0.55000000000000004">
      <c r="I267" s="23"/>
      <c r="J267" s="23"/>
    </row>
    <row r="268" spans="9:10" x14ac:dyDescent="0.55000000000000004">
      <c r="I268" s="23"/>
      <c r="J268" s="23"/>
    </row>
    <row r="269" spans="9:10" x14ac:dyDescent="0.55000000000000004">
      <c r="I269" s="23"/>
      <c r="J269" s="23"/>
    </row>
    <row r="270" spans="9:10" x14ac:dyDescent="0.55000000000000004">
      <c r="I270" s="23"/>
      <c r="J270" s="23"/>
    </row>
    <row r="271" spans="9:10" x14ac:dyDescent="0.55000000000000004">
      <c r="I271" s="23"/>
      <c r="J271" s="23"/>
    </row>
    <row r="272" spans="9:10" x14ac:dyDescent="0.55000000000000004">
      <c r="I272" s="23"/>
      <c r="J272" s="23"/>
    </row>
    <row r="273" spans="9:10" x14ac:dyDescent="0.55000000000000004">
      <c r="I273" s="23"/>
      <c r="J273" s="23"/>
    </row>
    <row r="274" spans="9:10" x14ac:dyDescent="0.55000000000000004">
      <c r="I274" s="23"/>
      <c r="J274" s="23"/>
    </row>
    <row r="275" spans="9:10" x14ac:dyDescent="0.55000000000000004">
      <c r="I275" s="23"/>
      <c r="J275" s="23"/>
    </row>
    <row r="276" spans="9:10" x14ac:dyDescent="0.55000000000000004">
      <c r="I276" s="23"/>
      <c r="J276" s="23"/>
    </row>
    <row r="277" spans="9:10" x14ac:dyDescent="0.55000000000000004">
      <c r="I277" s="23"/>
      <c r="J277" s="23"/>
    </row>
    <row r="278" spans="9:10" x14ac:dyDescent="0.55000000000000004">
      <c r="I278" s="23"/>
      <c r="J278" s="23"/>
    </row>
    <row r="279" spans="9:10" x14ac:dyDescent="0.55000000000000004">
      <c r="I279" s="23"/>
      <c r="J279" s="23"/>
    </row>
    <row r="280" spans="9:10" x14ac:dyDescent="0.55000000000000004">
      <c r="I280" s="23"/>
      <c r="J280" s="23"/>
    </row>
    <row r="281" spans="9:10" x14ac:dyDescent="0.55000000000000004">
      <c r="I281" s="23"/>
      <c r="J281" s="23"/>
    </row>
    <row r="282" spans="9:10" x14ac:dyDescent="0.55000000000000004">
      <c r="I282" s="23"/>
      <c r="J282" s="23"/>
    </row>
    <row r="283" spans="9:10" x14ac:dyDescent="0.55000000000000004">
      <c r="I283" s="23"/>
      <c r="J283" s="23"/>
    </row>
    <row r="284" spans="9:10" x14ac:dyDescent="0.55000000000000004">
      <c r="I284" s="23"/>
      <c r="J284" s="23"/>
    </row>
    <row r="285" spans="9:10" x14ac:dyDescent="0.55000000000000004">
      <c r="I285" s="23"/>
      <c r="J285" s="23"/>
    </row>
    <row r="286" spans="9:10" x14ac:dyDescent="0.55000000000000004">
      <c r="I286" s="23"/>
      <c r="J286" s="23"/>
    </row>
    <row r="287" spans="9:10" x14ac:dyDescent="0.55000000000000004">
      <c r="I287" s="23"/>
      <c r="J287" s="23"/>
    </row>
    <row r="288" spans="9:10" x14ac:dyDescent="0.55000000000000004">
      <c r="I288" s="23"/>
      <c r="J288" s="23"/>
    </row>
    <row r="289" spans="9:10" x14ac:dyDescent="0.55000000000000004">
      <c r="I289" s="23"/>
      <c r="J289" s="23"/>
    </row>
    <row r="290" spans="9:10" x14ac:dyDescent="0.55000000000000004">
      <c r="I290" s="23"/>
      <c r="J290" s="23"/>
    </row>
    <row r="291" spans="9:10" x14ac:dyDescent="0.55000000000000004">
      <c r="I291" s="23"/>
      <c r="J291" s="23"/>
    </row>
    <row r="292" spans="9:10" x14ac:dyDescent="0.55000000000000004">
      <c r="I292" s="23"/>
      <c r="J292" s="23"/>
    </row>
    <row r="293" spans="9:10" x14ac:dyDescent="0.55000000000000004">
      <c r="I293" s="23"/>
      <c r="J293" s="23"/>
    </row>
    <row r="294" spans="9:10" x14ac:dyDescent="0.55000000000000004">
      <c r="I294" s="23"/>
      <c r="J294" s="23"/>
    </row>
    <row r="295" spans="9:10" x14ac:dyDescent="0.55000000000000004">
      <c r="I295" s="23"/>
      <c r="J295" s="23"/>
    </row>
    <row r="296" spans="9:10" x14ac:dyDescent="0.55000000000000004">
      <c r="I296" s="23"/>
      <c r="J296" s="23"/>
    </row>
    <row r="297" spans="9:10" x14ac:dyDescent="0.55000000000000004">
      <c r="I297" s="23"/>
      <c r="J297" s="23"/>
    </row>
    <row r="298" spans="9:10" x14ac:dyDescent="0.55000000000000004">
      <c r="I298" s="23"/>
      <c r="J298" s="23"/>
    </row>
    <row r="299" spans="9:10" x14ac:dyDescent="0.55000000000000004">
      <c r="I299" s="23"/>
      <c r="J299" s="23"/>
    </row>
    <row r="300" spans="9:10" x14ac:dyDescent="0.55000000000000004">
      <c r="I300" s="23"/>
      <c r="J300" s="23"/>
    </row>
    <row r="301" spans="9:10" x14ac:dyDescent="0.55000000000000004">
      <c r="I301" s="23"/>
      <c r="J301" s="23"/>
    </row>
    <row r="302" spans="9:10" x14ac:dyDescent="0.55000000000000004">
      <c r="I302" s="23"/>
      <c r="J302" s="23"/>
    </row>
    <row r="303" spans="9:10" x14ac:dyDescent="0.55000000000000004">
      <c r="I303" s="23"/>
      <c r="J303" s="23"/>
    </row>
  </sheetData>
  <autoFilter ref="A4:H166" xr:uid="{40A4B7A3-F207-4AF4-8579-95FFC9A7072F}"/>
  <mergeCells count="1">
    <mergeCell ref="A1:B1"/>
  </mergeCells>
  <conditionalFormatting sqref="F6:F18">
    <cfRule type="cellIs" dxfId="12" priority="170" operator="equal">
      <formula>"Fulfilled"</formula>
    </cfRule>
    <cfRule type="cellIs" dxfId="11" priority="171" operator="equal">
      <formula>"Not verified"</formula>
    </cfRule>
    <cfRule type="cellIs" dxfId="10" priority="172" operator="equal">
      <formula>"Fullfilled"</formula>
    </cfRule>
    <cfRule type="cellIs" dxfId="9" priority="173" operator="equal">
      <formula>"N/A"</formula>
    </cfRule>
    <cfRule type="cellIs" dxfId="8" priority="174" operator="equal">
      <formula>"Open"</formula>
    </cfRule>
  </conditionalFormatting>
  <hyperlinks>
    <hyperlink ref="G5" r:id="rId1" tooltip="https://docs.microsoft.com/azure/cloud-adoption-framework/ready/enterprise-scale/business-continuity-and-disaster-recovery" xr:uid="{B09A0061-A330-4875-83D0-3E4B677A78A0}"/>
    <hyperlink ref="G6" r:id="rId2" tooltip="https://docs.microsoft.com/azure/cloud-adoption-framework/ready/enterprise-scale/business-continuity-and-disaster-recovery" xr:uid="{466B8AB2-C06A-4276-897E-D97FCDC7C334}"/>
    <hyperlink ref="G7" r:id="rId3" tooltip="https://docs.microsoft.com/azure/aks/operator-best-practices-multi-region" xr:uid="{618CF45C-B9D1-45C9-865E-D1FBB043F369}"/>
    <hyperlink ref="G8" r:id="rId4" tooltip="https://docs.microsoft.com/azure/aks/availability-zones" xr:uid="{4405C2AF-B64B-4007-961F-9BCE07A8C1A9}"/>
    <hyperlink ref="G9" r:id="rId5" tooltip="https://docs.microsoft.com/azure/aks/uptime-sla" xr:uid="{5E427FCA-30FB-44C5-BA26-8F28D3577E26}"/>
    <hyperlink ref="G10" r:id="rId6" tooltip="https://docs.microsoft.com/azure/aks/operator-best-practices-scheduler" xr:uid="{E3BBE0A7-6FFE-4539-833B-50E9B1830F23}"/>
    <hyperlink ref="G11" r:id="rId7" tooltip="https://docs.microsoft.com/azure/container-registry/container-registry-geo-replication" xr:uid="{EDD1E962-F167-425B-B302-64EF03EE6E47}"/>
    <hyperlink ref="G12" r:id="rId8" tooltip="https://docs.microsoft.com/azure/aks/use-managed-identity" xr:uid="{5614E269-3378-40DE-AA0D-A96A063F4BBE}"/>
    <hyperlink ref="G13" r:id="rId9" tooltip="https://docs.microsoft.com/azure/aks/managed-aad" xr:uid="{9AF40927-7444-4867-A9CA-6B261795FB02}"/>
    <hyperlink ref="G14" r:id="rId10" tooltip="https://docs.microsoft.com/azure/aks/control-kubeconfig-access" xr:uid="{BA74A70E-3D95-4707-B9A7-8213FB675D85}"/>
    <hyperlink ref="G15" r:id="rId11" tooltip="https://docs.microsoft.com/azure/aks/manage-azure-rbac" xr:uid="{741F294D-EBBD-46ED-9E4B-50258FD15BA3}"/>
    <hyperlink ref="G16" r:id="rId12" tooltip="https://docs.microsoft.com/azure/aks/operator-best-practices-identity" xr:uid="{B791E759-0F2C-4E31-9AEC-694AB84242FE}"/>
    <hyperlink ref="G17" r:id="rId13" tooltip="https://docs.microsoft.com/azure/aks/operator-best-practices-identity" xr:uid="{DA133AED-69C8-420A-AE2B-A18845F03CC7}"/>
    <hyperlink ref="G18" r:id="rId14" tooltip="https://docs.microsoft.com/azure/aks/operator-best-practices-network" xr:uid="{8D2DD4C0-18F5-46D9-99E0-8E4205A922DD}"/>
    <hyperlink ref="G19" r:id="rId15" tooltip="https://docs.microsoft.com/azure/aks/configure-azure-cni" xr:uid="{C2364EFB-1A85-4BE1-A8C2-9EF937D5D0BC}"/>
    <hyperlink ref="G20" r:id="rId16" tooltip="https://docs.microsoft.com/azure/aks/configure-azure-cni" xr:uid="{AE514A04-8F61-4F00-B4EF-27260EC3D301}"/>
    <hyperlink ref="G21" r:id="rId17" tooltip="https://docs.microsoft.com/azure/aks/internal-lb" xr:uid="{1963AE61-8E26-40D2-83E9-6B6E2CBF095C}"/>
    <hyperlink ref="G22" r:id="rId18" tooltip="https://docs.microsoft.com/azure/aks/limit-egress-traffic" xr:uid="{BECB903A-975F-4281-8234-C17830CE9058}"/>
    <hyperlink ref="G23" r:id="rId19" tooltip="https://docs.microsoft.com/azure/aks/api-server-authorized-ip-ranges" xr:uid="{3C969276-9F62-4185-AAE1-5882EF7A9B69}"/>
    <hyperlink ref="G24" r:id="rId20" tooltip="https://docs.microsoft.com/azure/aks/concepts-network" xr:uid="{D52CBE02-F7DD-478A-B0AE-CEAB81D687F5}"/>
    <hyperlink ref="G25" r:id="rId21" tooltip="https://azure.github.io/application-gateway-kubernetes-ingress/setup/install-existing/" xr:uid="{8C8701D3-6AA8-443C-9BB2-9A563AA0C6E5}"/>
    <hyperlink ref="G26" r:id="rId22" tooltip="https://docs.microsoft.com/azure/private-link/private-link-overview" xr:uid="{7D160B16-36BF-49F0-AF03-55B80036F1B3}"/>
    <hyperlink ref="G27" r:id="rId23" tooltip="https://docs.microsoft.com/azure/aks/private-clusters" xr:uid="{3B5E8A69-6C7E-419E-AFD5-63B8D334A721}"/>
    <hyperlink ref="G28" r:id="rId24" tooltip="https://docs.microsoft.com/azure/aks/use-network-policies" xr:uid="{B9AEC0A2-C4CB-48E8-9405-8E570D4DAE49}"/>
    <hyperlink ref="G29" r:id="rId25" tooltip="https://docs.microsoft.com/azure/aks/operator-best-practices-network" xr:uid="{895A4E18-35C8-40FD-9FC5-650D7A89893F}"/>
    <hyperlink ref="G30" r:id="rId26" tooltip="https://docs.microsoft.com/azure/aks/operator-best-practices-network" xr:uid="{456CEEB1-C231-49DB-B4F1-9808631D2BD1}"/>
    <hyperlink ref="G31" r:id="rId27" tooltip="https://docs.microsoft.com/azure/virtual-network/ddos-protection-overview" xr:uid="{BDF6269F-A219-4AB7-9F38-E4061EA69140}"/>
    <hyperlink ref="G32" r:id="rId28" tooltip="https://docs.microsoft.com/azure/aks/http-application-routing" xr:uid="{4708C69C-732E-42D9-8F86-7962CF054088}"/>
    <hyperlink ref="G33" r:id="rId29" tooltip="https://docs.microsoft.com/azure/expressroute/designing-for-disaster-recovery-with-expressroute-privatepeering" xr:uid="{7BEC577D-645A-45AE-B84A-096A824F9EB7}"/>
    <hyperlink ref="G34" r:id="rId30" tooltip="https://docs.microsoft.com/azure/aks/servicemesh-about" xr:uid="{9EDAAD13-B707-4F5F-82A8-0824DA6BBCDC}"/>
    <hyperlink ref="G35" r:id="rId31" tooltip="https://github.com/Azure/secrets-store-csi-driver-provider-azure" xr:uid="{38A3D5D2-00E7-4276-9923-010C236238E4}"/>
    <hyperlink ref="G36" r:id="rId32" tooltip="https://docs.microsoft.com/azure/aks/update-credentials" xr:uid="{D7471856-1165-4326-B0BA-0C85CD5951F0}"/>
    <hyperlink ref="G37" r:id="rId33" tooltip="https://docs.microsoft.com/azure/governance/policy/concepts/policy-for-kubernetes" xr:uid="{EB18FFB9-5416-4BDF-A979-80EE0D33E7D8}"/>
    <hyperlink ref="G38" r:id="rId34" tooltip="https://docs.microsoft.com/azure/aks/use-system-pools" xr:uid="{539754AB-61F2-45BE-A08D-C502D67F087D}"/>
    <hyperlink ref="G39" r:id="rId35" tooltip="https://docs.microsoft.com/azure/aks/use-multiple-node-pools" xr:uid="{1AEC326C-ED9C-496A-94C8-A3AFBD7A1B54}"/>
    <hyperlink ref="G40" r:id="rId36" tooltip="https://docs.microsoft.com/azure/container-registry/" xr:uid="{261B7DEC-4339-40A4-B9DA-89E1D93DF574}"/>
    <hyperlink ref="G41" r:id="rId37" tooltip="https://docs.microsoft.com/azure/security-center/container-security" xr:uid="{635EC554-E84A-460F-B9E0-E9D8F4862ED7}"/>
    <hyperlink ref="G42" r:id="rId38" tooltip="https://docs.microsoft.com/azure/security-center/container-security" xr:uid="{E839B7DA-8042-40C5-AD81-0516A269F256}"/>
    <hyperlink ref="G44" r:id="rId39" tooltip="https://docs.microsoft.com/azure/cloud-adoption-framework/scenarios/aks/eslz-cost-governance-with-kubecost" xr:uid="{53282C53-B1E2-449D-9D5C-4DF65F1D4E79}"/>
    <hyperlink ref="G45" r:id="rId40" tooltip="https://docs.microsoft.com/azure/aks/cluster-configuration" xr:uid="{C63F8C0C-89EC-4C9F-839B-06FD045BAFA7}"/>
    <hyperlink ref="G46" r:id="rId41" tooltip="https://docs.microsoft.com/azure/virtual-machines/disks-types" xr:uid="{01BC1C4E-80BC-4CE6-A545-20E24AB24D9E}"/>
    <hyperlink ref="G47" r:id="rId42" tooltip="https://docs.microsoft.com/azure/aks/operator-best-practices-multi-region" xr:uid="{45BC505D-4282-470D-A7AE-931CBC62EA60}"/>
    <hyperlink ref="G48" r:id="rId43" tooltip="https://docs.microsoft.com/azure/aks/operator-best-practices-storage" xr:uid="{2D1D617D-9625-418F-B5D4-D9B7AB380B97}"/>
    <hyperlink ref="G49" r:id="rId44" tooltip="https://docs.microsoft.com/azure/aks/availability-zones" xr:uid="{11F6F287-4141-4709-9D0F-624CEC877D22}"/>
    <hyperlink ref="G50" r:id="rId45" tooltip="https://docs.microsoft.com/azure/advisor/advisor-get-started" xr:uid="{83DB24F8-9AD4-4467-9EC3-08B8E7E4D0F4}"/>
    <hyperlink ref="G51" r:id="rId46" tooltip="https://docs.microsoft.com/azure/aks/operator-best-practices-scheduler" xr:uid="{C8EC9B6F-8932-4680-8AC1-61D97B980FFD}"/>
    <hyperlink ref="G52" r:id="rId47" tooltip="https://docs.microsoft.com/azure/azure-monitor/insights/container-insights-overview" xr:uid="{441F6DC6-81CB-4583-9217-7FE3CA0673DD}"/>
    <hyperlink ref="G53" r:id="rId48" tooltip="https://docs.microsoft.com/azure/azure-monitor/insights/container-insights-overview" xr:uid="{8D40363E-A742-4465-8E84-C91B38524B56}"/>
    <hyperlink ref="G54" r:id="rId49" tooltip="https://docs.microsoft.com/azure/azure-monitor/insights/container-insights-metric-alerts" xr:uid="{BEB540A6-404D-4273-A8E5-9E2AE3BED84F}"/>
    <hyperlink ref="G56" r:id="rId50" tooltip="https://docs.microsoft.com/azure/aks/node-updates-kured" xr:uid="{6FE8FC8B-9461-4E19-A99B-C926813C01F7}"/>
    <hyperlink ref="G57" r:id="rId51" tooltip="https://docs.microsoft.com/azure/architecture/example-scenario/bedrock/bedrock-automated-deployments" xr:uid="{A677166A-A803-437E-9A16-3B17026F331E}"/>
    <hyperlink ref="G58" r:id="rId52" tooltip="https://docs.microsoft.com/azure/aks/spot-node-pool" xr:uid="{6E7BB98C-0132-4FE6-8CA6-FDD4D8EFB65F}"/>
    <hyperlink ref="G59" r:id="rId53" tooltip="https://docs.microsoft.com/azure/aks/concepts-scale" xr:uid="{22E78F92-6419-40B1-8D28-5530D81DF026}"/>
    <hyperlink ref="G60" r:id="rId54" tooltip="https://kubecost.com/" xr:uid="{B267501A-ED9E-4DA8-B5C4-74BB0C188F23}"/>
    <hyperlink ref="G61" r:id="rId55" tooltip="https://docs.microsoft.com/azure/aks/faq" xr:uid="{A1B41113-D472-4FF6-BF17-C80DE3214F71}"/>
    <hyperlink ref="G62" r:id="rId56" tooltip="https://docs.microsoft.com/azure/aks/cluster-configuration" xr:uid="{2396057F-967A-41EC-8CAE-07C5DB157118}"/>
    <hyperlink ref="G63" r:id="rId57" tooltip="https://kubernetes.io/docs/setup/release/notes/" xr:uid="{91B307FD-2DF3-447C-A543-2A8E01DAD6D0}"/>
    <hyperlink ref="G64" r:id="rId58" tooltip="https://docs.microsoft.com/azure-stack/aks-hci/adapt-apps-mixed-os-clusters" xr:uid="{2E8F2C7C-55F3-47C8-A342-3E959E504D7B}"/>
    <hyperlink ref="G65" r:id="rId59" tooltip="https://docs.microsoft.com/virtualization/windowscontainers/deploy-containers/version-compatibility?tabs=windows-server-20H2%2Cwindows-10-20H2" xr:uid="{EFB6C76D-3021-494D-BD1A-1E8DDFFBCE2A}"/>
    <hyperlink ref="G66" r:id="rId60" tooltip="https://docs.microsoft.com/azure/azure-monitor/containers/container-insights-analyze" xr:uid="{601E808F-86D3-4544-BDEE-38847651E7AB}"/>
    <hyperlink ref="G67" r:id="rId61" tooltip="https://docs.microsoft.com/azure/aks/configure-azure-cni" xr:uid="{8A3F0056-83E0-490C-A5C7-C4159EA415CB}"/>
    <hyperlink ref="G68" r:id="rId62" tooltip="https://docs.microsoft.com/azure/virtual-machines/premium-storage-performance" xr:uid="{7DE9A0EE-549A-4AD8-8E2D-F67E40C7A699}"/>
    <hyperlink ref="G69" r:id="rId63" tooltip="https://docs.microsoft.com/azure/aks/load-balancer-standard" xr:uid="{AE3C1D7E-FF8A-49C9-AF3F-38FAFDEBC8B8}"/>
    <hyperlink ref="G70" r:id="rId64" tooltip="https://docs.microsoft.com/azure/aks/monitor-aks" xr:uid="{39554741-9F54-4FAC-BD7B-BB49956E9C2C}"/>
    <hyperlink ref="G71" r:id="rId65" tooltip="https://docs.microsoft.com/azure/aks/concepts-scale" xr:uid="{1E8D2646-93E8-4F41-9A06-46A8749D0808}"/>
    <hyperlink ref="G72" r:id="rId66" tooltip="https://docs.microsoft.com/azure/aks/concepts-scale" xr:uid="{7B22004E-BC13-4363-BCD0-EC20125A3B75}"/>
    <hyperlink ref="G73" r:id="rId67" tooltip="https://blog.cloudtrooper.net/2020/10/23/which-vm-size-should-i-choose-as-aks-node/" xr:uid="{B4439090-B49F-4934-B785-38827B4542C5}"/>
    <hyperlink ref="G74" r:id="rId68" tooltip="https://docs.microsoft.com/azure/aks/operator-best-practices-scheduler" xr:uid="{086B2D04-E6FC-4D88-BD66-18B5343EF3AB}"/>
    <hyperlink ref="G75" r:id="rId69" tooltip="https://docs.microsoft.com/azure/aks/operator-best-practices-scheduler" xr:uid="{525027EA-9DD9-4A57-8133-3556A1EF1D95}"/>
    <hyperlink ref="G76" r:id="rId70" tooltip="https://docs.microsoft.com/azure/azure-resource-manager/management/azure-subscription-service-limits" xr:uid="{011F2BEA-CC71-4649-AA9E-516C2B524152}"/>
    <hyperlink ref="G77" r:id="rId71" tooltip="https://docs.microsoft.com/azure/developer/terraform/create-k8s-cluster-with-tf-and-aks" xr:uid="{E48F24CA-9DC9-4785-9C83-9EA0FE171862}"/>
    <hyperlink ref="G78" r:id="rId72" tooltip="https://docs.microsoft.com/azure/architecture/reference-architectures/containers/aks/secure-baseline-aks" xr:uid="{9C5A5269-3AC6-4FA6-81CB-4C6A19D0B121}"/>
    <hyperlink ref="G79" r:id="rId73" tooltip="https://docs.microsoft.com/azure/azure-functions/functions-kubernetes-keda" xr:uid="{25AFB495-CC2C-4E75-B4B1-2564FE2FE4AE}"/>
    <hyperlink ref="G80" r:id="rId74" tooltip="https://dapr.io/" xr:uid="{4DD05553-48F0-4788-A47B-F5A2D42F4E0A}"/>
    <hyperlink ref="G43" r:id="rId75" tooltip="https://docs.microsoft.com/azure/aks/operator-best-practices-cluster-isolation" xr:uid="{F5A6EF0A-6D77-4632-8B18-026B5109D7BF}"/>
    <hyperlink ref="G55" r:id="rId76" tooltip="https://docs.microsoft.com/azure/aks/supported-kubernetes-versions" xr:uid="{4723FD31-9D85-43A4-AF9E-0135150E2160}"/>
  </hyperlinks>
  <pageMargins left="0.7" right="0.7" top="0.75" bottom="0.75" header="0.3" footer="0.3"/>
  <pageSetup paperSize="9" orientation="portrait" horizontalDpi="4294967293" r:id="rId77"/>
  <drawing r:id="rId78"/>
  <legacyDrawing r:id="rId7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0" name="Button 1">
              <controlPr defaultSize="0" print="0" autoFill="0" autoPict="0" macro="[0]!Sheet1.export_json">
                <anchor moveWithCells="1" sizeWithCells="1">
                  <from>
                    <xdr:col>2</xdr:col>
                    <xdr:colOff>8458200</xdr:colOff>
                    <xdr:row>0</xdr:row>
                    <xdr:rowOff>800100</xdr:rowOff>
                  </from>
                  <to>
                    <xdr:col>3</xdr:col>
                    <xdr:colOff>201930</xdr:colOff>
                    <xdr:row>0</xdr:row>
                    <xdr:rowOff>1040130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81" name="Button 3">
              <controlPr defaultSize="0" print="0" autoFill="0" autoPict="0" macro="[0]!Sheet1.import_checklist">
                <anchor moveWithCells="1">
                  <from>
                    <xdr:col>2</xdr:col>
                    <xdr:colOff>8458200</xdr:colOff>
                    <xdr:row>0</xdr:row>
                    <xdr:rowOff>400050</xdr:rowOff>
                  </from>
                  <to>
                    <xdr:col>3</xdr:col>
                    <xdr:colOff>190500</xdr:colOff>
                    <xdr:row>0</xdr:row>
                    <xdr:rowOff>678180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2" name="Button 4">
              <controlPr defaultSize="0" print="0" autoFill="0" autoPict="0" macro="[0]!Sheet1.import_checklist_fromurl">
                <anchor moveWithCells="1" sizeWithCells="1">
                  <from>
                    <xdr:col>2</xdr:col>
                    <xdr:colOff>5924550</xdr:colOff>
                    <xdr:row>0</xdr:row>
                    <xdr:rowOff>266700</xdr:rowOff>
                  </from>
                  <to>
                    <xdr:col>2</xdr:col>
                    <xdr:colOff>7791450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3" name="Group Box 5">
              <controlPr defaultSize="0" autoFill="0" autoPict="0">
                <anchor moveWithCells="1">
                  <from>
                    <xdr:col>2</xdr:col>
                    <xdr:colOff>8183880</xdr:colOff>
                    <xdr:row>0</xdr:row>
                    <xdr:rowOff>144780</xdr:rowOff>
                  </from>
                  <to>
                    <xdr:col>3</xdr:col>
                    <xdr:colOff>601980</xdr:colOff>
                    <xdr:row>0</xdr:row>
                    <xdr:rowOff>1276350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4" name="Group Box 6">
              <controlPr defaultSize="0" autoFill="0" autoPict="0">
                <anchor moveWithCells="1">
                  <from>
                    <xdr:col>2</xdr:col>
                    <xdr:colOff>5574030</xdr:colOff>
                    <xdr:row>0</xdr:row>
                    <xdr:rowOff>144780</xdr:rowOff>
                  </from>
                  <to>
                    <xdr:col>2</xdr:col>
                    <xdr:colOff>8001000</xdr:colOff>
                    <xdr:row>0</xdr:row>
                    <xdr:rowOff>1295400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5" name="Group Box 7">
              <controlPr defaultSize="0" autoFill="0" autoPict="0">
                <anchor moveWithCells="1">
                  <from>
                    <xdr:col>2</xdr:col>
                    <xdr:colOff>6991350</xdr:colOff>
                    <xdr:row>0</xdr:row>
                    <xdr:rowOff>640080</xdr:rowOff>
                  </from>
                  <to>
                    <xdr:col>2</xdr:col>
                    <xdr:colOff>7898130</xdr:colOff>
                    <xdr:row>0</xdr:row>
                    <xdr:rowOff>1257300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6" name="Option Button 8">
              <controlPr defaultSize="0" autoFill="0" autoLine="0" autoPict="0" macro="[0]!Sheet1.set_english">
                <anchor moveWithCells="1">
                  <from>
                    <xdr:col>2</xdr:col>
                    <xdr:colOff>7117080</xdr:colOff>
                    <xdr:row>0</xdr:row>
                    <xdr:rowOff>754380</xdr:rowOff>
                  </from>
                  <to>
                    <xdr:col>2</xdr:col>
                    <xdr:colOff>8031480</xdr:colOff>
                    <xdr:row>0</xdr:row>
                    <xdr:rowOff>982980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7" name="Option Button 9">
              <controlPr defaultSize="0" autoFill="0" autoLine="0" autoPict="0" macro="[0]!Sheet1.set_japanese">
                <anchor moveWithCells="1">
                  <from>
                    <xdr:col>2</xdr:col>
                    <xdr:colOff>7124700</xdr:colOff>
                    <xdr:row>0</xdr:row>
                    <xdr:rowOff>895350</xdr:rowOff>
                  </from>
                  <to>
                    <xdr:col>2</xdr:col>
                    <xdr:colOff>8039100</xdr:colOff>
                    <xdr:row>0</xdr:row>
                    <xdr:rowOff>1123950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8" name="Group Box 10">
              <controlPr defaultSize="0" autoFill="0" autoPict="0">
                <anchor moveWithCells="1">
                  <from>
                    <xdr:col>2</xdr:col>
                    <xdr:colOff>5772150</xdr:colOff>
                    <xdr:row>0</xdr:row>
                    <xdr:rowOff>628650</xdr:rowOff>
                  </from>
                  <to>
                    <xdr:col>2</xdr:col>
                    <xdr:colOff>6678930</xdr:colOff>
                    <xdr:row>0</xdr:row>
                    <xdr:rowOff>1238250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9" name="Option Button 13">
              <controlPr defaultSize="0" autoFill="0" autoLine="0" autoPict="0" macro="[0]!Sheet1.set_lz">
                <anchor moveWithCells="1">
                  <from>
                    <xdr:col>2</xdr:col>
                    <xdr:colOff>5821680</xdr:colOff>
                    <xdr:row>0</xdr:row>
                    <xdr:rowOff>697230</xdr:rowOff>
                  </from>
                  <to>
                    <xdr:col>2</xdr:col>
                    <xdr:colOff>6781800</xdr:colOff>
                    <xdr:row>0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0" name="Option Button 14">
              <controlPr defaultSize="0" autoFill="0" autoLine="0" autoPict="0" macro="[0]!Sheet1.set_aks">
                <anchor moveWithCells="1">
                  <from>
                    <xdr:col>2</xdr:col>
                    <xdr:colOff>5821680</xdr:colOff>
                    <xdr:row>0</xdr:row>
                    <xdr:rowOff>857250</xdr:rowOff>
                  </from>
                  <to>
                    <xdr:col>2</xdr:col>
                    <xdr:colOff>6793230</xdr:colOff>
                    <xdr:row>0</xdr:row>
                    <xdr:rowOff>1078230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91" name="Option Button 15">
              <controlPr defaultSize="0" autoFill="0" autoLine="0" autoPict="0" macro="[0]!Sheet1.set_korean">
                <anchor moveWithCells="1">
                  <from>
                    <xdr:col>2</xdr:col>
                    <xdr:colOff>7117080</xdr:colOff>
                    <xdr:row>0</xdr:row>
                    <xdr:rowOff>1047750</xdr:rowOff>
                  </from>
                  <to>
                    <xdr:col>2</xdr:col>
                    <xdr:colOff>8164830</xdr:colOff>
                    <xdr:row>0</xdr:row>
                    <xdr:rowOff>1257300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2" name="Option Button 18">
              <controlPr defaultSize="0" autoFill="0" autoLine="0" autoPict="0" macro="[0]!Sheet1.set_avd">
                <anchor moveWithCells="1">
                  <from>
                    <xdr:col>2</xdr:col>
                    <xdr:colOff>5829300</xdr:colOff>
                    <xdr:row>0</xdr:row>
                    <xdr:rowOff>1040130</xdr:rowOff>
                  </from>
                  <to>
                    <xdr:col>2</xdr:col>
                    <xdr:colOff>6877050</xdr:colOff>
                    <xdr:row>0</xdr:row>
                    <xdr:rowOff>1238250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6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8" operator="equal" id="{31F07732-5E89-4BEF-9B10-3C1B76C5A57E}">
            <xm:f>Values!$B$5</xm:f>
            <x14:dxf>
              <fill>
                <patternFill>
                  <bgColor theme="2"/>
                </patternFill>
              </fill>
            </x14:dxf>
          </x14:cfRule>
          <x14:cfRule type="cellIs" priority="9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E5</xm:sqref>
        </x14:conditionalFormatting>
        <x14:conditionalFormatting xmlns:xm="http://schemas.microsoft.com/office/excel/2006/main">
          <x14:cfRule type="cellIs" priority="1" operator="equal" id="{98419949-3384-4AD0-8283-CB17EDECC18E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2" operator="equal" id="{3DB858AB-ADFF-46FC-B4C3-EC67C1D2D923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" operator="equal" id="{167471B0-F155-40EF-953B-8F9443981226}">
            <xm:f>Values!$B$5</xm:f>
            <x14:dxf>
              <fill>
                <patternFill>
                  <bgColor theme="2"/>
                </patternFill>
              </fill>
            </x14:dxf>
          </x14:cfRule>
          <x14:cfRule type="cellIs" priority="4" operator="equal" id="{2125B7D8-99AB-44FC-8F53-419644B6669D}">
            <xm:f>Values!$B$3</xm:f>
            <x14:dxf>
              <fill>
                <patternFill>
                  <bgColor rgb="FFFF0000"/>
                </patternFill>
              </fill>
            </x14:dxf>
          </x14:cfRule>
          <xm:sqref>E6:E226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5359F31-9B04-413B-9DCC-5629B6169AE2}">
          <x14:formula1>
            <xm:f>Values!$B$2:$B$5</xm:f>
          </x14:formula1>
          <xm:sqref>E5:E168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D5:D285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D8"/>
  <sheetViews>
    <sheetView workbookViewId="0">
      <selection activeCell="B3" sqref="B3"/>
    </sheetView>
  </sheetViews>
  <sheetFormatPr defaultRowHeight="14.4" x14ac:dyDescent="0.55000000000000004"/>
  <cols>
    <col min="2" max="2" width="10" bestFit="1" customWidth="1"/>
  </cols>
  <sheetData>
    <row r="1" spans="1:4" x14ac:dyDescent="0.55000000000000004">
      <c r="A1" t="s">
        <v>3</v>
      </c>
      <c r="B1" t="s">
        <v>4</v>
      </c>
      <c r="C1" t="s">
        <v>16</v>
      </c>
      <c r="D1" t="s">
        <v>21</v>
      </c>
    </row>
    <row r="2" spans="1:4" x14ac:dyDescent="0.55000000000000004">
      <c r="A2" t="s">
        <v>6</v>
      </c>
      <c r="B2" s="12" t="s">
        <v>7</v>
      </c>
      <c r="C2" t="s">
        <v>40</v>
      </c>
      <c r="D2" s="21" t="s">
        <v>22</v>
      </c>
    </row>
    <row r="3" spans="1:4" x14ac:dyDescent="0.55000000000000004">
      <c r="A3" t="s">
        <v>9</v>
      </c>
      <c r="B3" s="9" t="s">
        <v>10</v>
      </c>
      <c r="C3" t="s">
        <v>47</v>
      </c>
    </row>
    <row r="4" spans="1:4" x14ac:dyDescent="0.55000000000000004">
      <c r="A4" t="s">
        <v>8</v>
      </c>
      <c r="B4" s="10" t="s">
        <v>11</v>
      </c>
      <c r="C4" t="s">
        <v>31</v>
      </c>
    </row>
    <row r="5" spans="1:4" x14ac:dyDescent="0.55000000000000004">
      <c r="B5" s="11" t="s">
        <v>12</v>
      </c>
      <c r="C5" t="s">
        <v>69</v>
      </c>
    </row>
    <row r="6" spans="1:4" x14ac:dyDescent="0.55000000000000004">
      <c r="C6" t="s">
        <v>81</v>
      </c>
    </row>
    <row r="7" spans="1:4" x14ac:dyDescent="0.55000000000000004">
      <c r="C7" t="s">
        <v>83</v>
      </c>
    </row>
    <row r="8" spans="1:4" x14ac:dyDescent="0.55000000000000004">
      <c r="C8" t="s">
        <v>118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schemas.microsoft.com/office/infopath/2007/PartnerControls"/>
    <ds:schemaRef ds:uri="http://purl.org/dc/dcmitype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be38a625-1701-4e45-b38e-aec531d5a71a"/>
    <ds:schemaRef ds:uri="http://schemas.microsoft.com/sharepoint/v3"/>
    <ds:schemaRef ds:uri="230e9df3-be65-4c73-a93b-d1236ebd677e"/>
    <ds:schemaRef ds:uri="http://purl.org/dc/elements/1.1/"/>
    <ds:schemaRef ds:uri="d681aa6a-578a-4b4a-96ad-20ed8468a31e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2021-10-22T22:57:19Z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