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8715CF4C-EEC0-4053-8926-4FB0F897EE24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L10" i="7" s="1" a="1"/>
  <c r="L10" i="7" s="1"/>
  <c r="H11" i="7"/>
  <c r="I11" i="7" s="1" a="1"/>
  <c r="I11" i="7" s="1"/>
  <c r="H12" i="7"/>
  <c r="L12" i="7" s="1" a="1"/>
  <c r="L12" i="7" s="1"/>
  <c r="H6" i="7"/>
  <c r="L6" i="7" s="1" a="1"/>
  <c r="L6" i="7" s="1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R28" i="7" l="1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<sst xmlns="http://schemas.openxmlformats.org/spreadsheetml/2006/main" count="507" uniqueCount="141">
  <si>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</si>
  <si>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</si>
  <si>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</si>
  <si>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</si>
  <si>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</si>
  <si>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</si>
  <si>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</si>
  <si>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</si>
  <si>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</si>
  <si>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</si>
  <si>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</si>
  <si>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</si>
  <si>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</si>
  <si>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</si>
  <si>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</si>
  <si>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</si>
  <si>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</si>
  <si>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</si>
  <si>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</si>
  <si>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</si>
  <si>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</si>
  <si>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</si>
  <si>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</si>
  <si>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</si>
  <si>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</si>
  <si>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</si>
  <si>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</si>
  <si>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</si>
  <si>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</si>
  <si>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</si>
  <si>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 xml:space="preserve"> </t>
  </si>
  <si>
    <t>Azure Landing Zone Review</t>
  </si>
  <si>
    <t>BC and DR</t>
  </si>
  <si>
    <t>Define non-functional requirements usch as SLAs, RTO and RPO.</t>
  </si>
  <si>
    <t>DR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</si>
  <si>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</si>
  <si>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</si>
  <si>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</si>
  <si>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</si>
  <si>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</si>
  <si>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</si>
  <si>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</si>
  <si>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</si>
  <si>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</si>
  <si>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</si>
  <si>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</si>
  <si>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</si>
  <si>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</si>
  <si>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</si>
  <si>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</si>
  <si>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</si>
  <si>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</si>
  <si>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</si>
  <si>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</si>
  <si>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</si>
  <si>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</si>
  <si>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If using public API enpoints, restrict the IP addresses that can access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</si>
  <si>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</si>
  <si>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</si>
  <si>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</si>
  <si>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</si>
  <si>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</si>
  <si>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</si>
  <si>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</si>
  <si>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</si>
  <si>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</si>
  <si>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</si>
  <si>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</si>
  <si>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</si>
  <si>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</si>
  <si>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</si>
  <si>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</si>
  <si>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</si>
  <si>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</si>
  <si>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</si>
  <si>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</si>
  <si>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</si>
  <si>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</si>
  <si>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</si>
  <si>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</si>
  <si>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</si>
  <si>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</si>
  <si>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</si>
  <si>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</si>
  <si>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</si>
  <si>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</si>
  <si>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</si>
  <si>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</si>
  <si>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</si>
  <si>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</si>
  <si>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</si>
  <si>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</si>
  <si>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</si>
  <si>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Monitor your cluster metrics with Azure Monitor, Prometheus or similar</t>
  </si>
  <si>
    <t>Store and analyze your cluster logs with Azure Monitor, Telegraf/ElasticSearch or similar</t>
  </si>
  <si>
    <t>Alerting</t>
  </si>
  <si>
    <t>Configure alerts on the most critical metrics (Container Insights for recommendations)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</si>
  <si>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</si>
  <si>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</si>
  <si>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</si>
  <si>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</si>
  <si>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Consider the virtual node for quick bursting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</si>
  <si>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</si>
  <si>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</si>
  <si>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</si>
  <si>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</si>
  <si>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</si>
  <si>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</si>
  <si>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</si>
  <si>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</si>
  <si>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</si>
  <si>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</si>
  <si>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</si>
  <si>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</si>
  <si>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</si>
  <si>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</si>
  <si>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</si>
  <si>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Configre requests and limits in your pod specs</t>
  </si>
  <si>
    <t>Enforce resource quotas for namespaces</t>
  </si>
  <si>
    <t>Ensure your subscription has enough quota to scale out your nodepools</t>
  </si>
  <si>
    <t>Application Deployment</t>
  </si>
  <si>
    <t>IaC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</si>
  <si>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</si>
  <si>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</si>
  <si>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</si>
  <si>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</si>
  <si>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</si>
  <si>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</si>
  <si>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</si>
  <si>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properties.publicNetworkAccess=='Enabled' and isnotnull(properties.apiServerAccessProfile) | distinct name,resourceGroup</t>
  </si>
  <si>
    <t>where type=='microsoft.containerservice/managedclusters' | where properties.publicNetworkAccess=='Enabled' and isnull(properties.apiServerAccessProfile) | distinct name,resourceGroup</t>
  </si>
  <si>
    <t>where type=='microsoft.containerservice/managedclusters' | where properties.publicNetworkAccess=='Disabled' | distinct name,resourceGroup</t>
  </si>
  <si>
    <t>where type=='microsoft.containerservice/managedclusters' | where properties.publicNetworkAccess=='Enabled'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</si>
  <si>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</si>
  <si>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</si>
  <si>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</si>
  <si>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</si>
  <si>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</si>
  <si>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</si>
  <si>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where type=='microsoft.containerservice/managedclusters' | where isnull(properties.addonProfiles.httpApplicationRouting) | distinct name,resourceGroup</t>
  </si>
  <si>
    <t>where type=='microsoft.containerservice/managedclusters' | where isnotnull(properties.addonProfiles.httpApplicationRouting) | distinct name,resourceGroup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</si>
</sst>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10" fillId="0" borderId="0" xfId="0" applyFont="1" applyAlignment="1">
      <alignment horizontal="left" vertical="center" wrapText="1" indent="10"/>
    </xf>
    <xf numFmtId="0" fontId="9" fillId="0" borderId="0" xfId="0" applyFont="1"/>
    <xf numFmtId="0" fontId="14" fillId="0" borderId="0" xfId="0" applyFont="1"/>
    <xf numFmtId="9" fontId="0" fillId="0" borderId="0" xfId="3" applyFont="1"/>
    <xf numFmtId="9" fontId="12" fillId="0" borderId="0" xfId="3" applyFont="1"/>
    <xf numFmtId="9" fontId="13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6" fillId="0" borderId="0" xfId="2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17" fillId="0" borderId="0" xfId="0" applyFont="1" applyAlignment="1">
      <alignment horizontal="left" vertical="top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7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32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201930</xdr:colOff>
          <xdr:row>0</xdr:row>
          <xdr:rowOff>1040130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676275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8183880</xdr:colOff>
          <xdr:row>0</xdr:row>
          <xdr:rowOff>144780</xdr:rowOff>
        </xdr:from>
        <xdr:to>
          <xdr:col>3</xdr:col>
          <xdr:colOff>600075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640080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754380</xdr:rowOff>
        </xdr:from>
        <xdr:to>
          <xdr:col>2</xdr:col>
          <xdr:colOff>8029575</xdr:colOff>
          <xdr:row>0</xdr:row>
          <xdr:rowOff>981075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697230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1047750</xdr:rowOff>
        </xdr:from>
        <xdr:to>
          <xdr:col>2</xdr:col>
          <xdr:colOff>8162925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1040130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virtual-machines/disks-types" TargetMode="External"/><Relationship Id="rId47" Type="http://schemas.openxmlformats.org/officeDocument/2006/relationships/hyperlink" Target="https://docs.microsoft.com/azure/aks/operator-best-practices-scheduler" TargetMode="External"/><Relationship Id="rId63" Type="http://schemas.openxmlformats.org/officeDocument/2006/relationships/hyperlink" Target="https://docs.microsoft.com/azure/aks/configure-azure-cni" TargetMode="External"/><Relationship Id="rId68" Type="http://schemas.openxmlformats.org/officeDocument/2006/relationships/hyperlink" Target="https://docs.microsoft.com/azure/aks/concepts-scale" TargetMode="External"/><Relationship Id="rId84" Type="http://schemas.openxmlformats.org/officeDocument/2006/relationships/ctrlProp" Target="../ctrlProps/ctrlProp5.xml"/><Relationship Id="rId89" Type="http://schemas.openxmlformats.org/officeDocument/2006/relationships/ctrlProp" Target="../ctrlProps/ctrlProp10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rchitecture/example-scenario/bedrock/bedrock-automated-deployments" TargetMode="External"/><Relationship Id="rId58" Type="http://schemas.openxmlformats.org/officeDocument/2006/relationships/hyperlink" Target="https://docs.microsoft.com/azure/aks/cluster-configuration" TargetMode="External"/><Relationship Id="rId74" Type="http://schemas.openxmlformats.org/officeDocument/2006/relationships/hyperlink" Target="https://docs.microsoft.com/azure/architecture/reference-architectures/containers/aks/secure-baseline-aks" TargetMode="External"/><Relationship Id="rId79" Type="http://schemas.openxmlformats.org/officeDocument/2006/relationships/vmlDrawing" Target="../drawings/vmlDrawing1.v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1.xml"/><Relationship Id="rId14" Type="http://schemas.openxmlformats.org/officeDocument/2006/relationships/hyperlink" Target="https://docs.microsoft.com/azure/aks/operator-best-practices-network" TargetMode="Externa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43" Type="http://schemas.openxmlformats.org/officeDocument/2006/relationships/hyperlink" Target="https://docs.microsoft.com/azure/aks/operator-best-practices-multi-region" TargetMode="External"/><Relationship Id="rId48" Type="http://schemas.openxmlformats.org/officeDocument/2006/relationships/hyperlink" Target="https://docs.microsoft.com/azure/azure-monitor/insights/container-insights-overview" TargetMode="External"/><Relationship Id="rId56" Type="http://schemas.openxmlformats.org/officeDocument/2006/relationships/hyperlink" Target="https://kubecost.com/" TargetMode="External"/><Relationship Id="rId64" Type="http://schemas.openxmlformats.org/officeDocument/2006/relationships/hyperlink" Target="https://docs.microsoft.com/azure/virtual-machines/premium-storage-performance" TargetMode="External"/><Relationship Id="rId69" Type="http://schemas.openxmlformats.org/officeDocument/2006/relationships/hyperlink" Target="https://blog.cloudtrooper.net/2020/10/23/which-vm-size-should-i-choose-as-aks-node/" TargetMode="External"/><Relationship Id="rId77" Type="http://schemas.openxmlformats.org/officeDocument/2006/relationships/printerSettings" Target="../printerSettings/printerSettings1.bin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ks/supported-kubernetes-versions" TargetMode="External"/><Relationship Id="rId72" Type="http://schemas.openxmlformats.org/officeDocument/2006/relationships/hyperlink" Target="https://docs.microsoft.com/azure/azure-resource-manager/management/azure-subscription-service-limits" TargetMode="External"/><Relationship Id="rId80" Type="http://schemas.openxmlformats.org/officeDocument/2006/relationships/ctrlProp" Target="../ctrlProps/ctrlProp1.xml"/><Relationship Id="rId85" Type="http://schemas.openxmlformats.org/officeDocument/2006/relationships/ctrlProp" Target="../ctrlProps/ctrlProp6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dvisor/advisor-get-started" TargetMode="External"/><Relationship Id="rId59" Type="http://schemas.openxmlformats.org/officeDocument/2006/relationships/hyperlink" Target="https://kubernetes.io/docs/setup/release/notes/" TargetMode="External"/><Relationship Id="rId67" Type="http://schemas.openxmlformats.org/officeDocument/2006/relationships/hyperlink" Target="https://docs.microsoft.com/azure/aks/concepts-scale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aks/cluster-configuration" TargetMode="External"/><Relationship Id="rId54" Type="http://schemas.openxmlformats.org/officeDocument/2006/relationships/hyperlink" Target="https://docs.microsoft.com/azure/aks/spot-node-pool" TargetMode="External"/><Relationship Id="rId62" Type="http://schemas.openxmlformats.org/officeDocument/2006/relationships/hyperlink" Target="https://docs.microsoft.com/azure/azure-monitor/containers/container-insights-analyze" TargetMode="External"/><Relationship Id="rId70" Type="http://schemas.openxmlformats.org/officeDocument/2006/relationships/hyperlink" Target="https://docs.microsoft.com/azure/aks/operator-best-practices-scheduler" TargetMode="External"/><Relationship Id="rId75" Type="http://schemas.openxmlformats.org/officeDocument/2006/relationships/hyperlink" Target="https://docs.microsoft.com/azure/azure-functions/functions-kubernetes-keda" TargetMode="External"/><Relationship Id="rId83" Type="http://schemas.openxmlformats.org/officeDocument/2006/relationships/ctrlProp" Target="../ctrlProps/ctrlProp4.xml"/><Relationship Id="rId88" Type="http://schemas.openxmlformats.org/officeDocument/2006/relationships/ctrlProp" Target="../ctrlProps/ctrlProp9.xml"/><Relationship Id="rId91" Type="http://schemas.openxmlformats.org/officeDocument/2006/relationships/ctrlProp" Target="../ctrlProps/ctrlProp12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overview" TargetMode="External"/><Relationship Id="rId57" Type="http://schemas.openxmlformats.org/officeDocument/2006/relationships/hyperlink" Target="https://docs.microsoft.com/azure/aks/faq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operator-best-practices-storage" TargetMode="External"/><Relationship Id="rId52" Type="http://schemas.openxmlformats.org/officeDocument/2006/relationships/hyperlink" Target="https://docs.microsoft.com/azure/aks/node-updates-kured" TargetMode="External"/><Relationship Id="rId60" Type="http://schemas.openxmlformats.org/officeDocument/2006/relationships/hyperlink" Target="https://docs.microsoft.com/azure-stack/aks-hci/adapt-apps-mixed-os-clusters" TargetMode="External"/><Relationship Id="rId65" Type="http://schemas.openxmlformats.org/officeDocument/2006/relationships/hyperlink" Target="https://docs.microsoft.com/azure/aks/load-balancer-standard" TargetMode="External"/><Relationship Id="rId73" Type="http://schemas.openxmlformats.org/officeDocument/2006/relationships/hyperlink" Target="https://docs.microsoft.com/azure/developer/terraform/create-k8s-cluster-with-tf-and-aks" TargetMode="External"/><Relationship Id="rId78" Type="http://schemas.openxmlformats.org/officeDocument/2006/relationships/drawing" Target="../drawings/drawing2.xml"/><Relationship Id="rId81" Type="http://schemas.openxmlformats.org/officeDocument/2006/relationships/ctrlProp" Target="../ctrlProps/ctrlProp2.xml"/><Relationship Id="rId86" Type="http://schemas.openxmlformats.org/officeDocument/2006/relationships/ctrlProp" Target="../ctrlProps/ctrlProp7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aks/operator-best-practices-cluster-isolation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zure-monitor/insights/container-insights-metric-alerts" TargetMode="External"/><Relationship Id="rId55" Type="http://schemas.openxmlformats.org/officeDocument/2006/relationships/hyperlink" Target="https://docs.microsoft.com/azure/aks/concepts-scale" TargetMode="External"/><Relationship Id="rId76" Type="http://schemas.openxmlformats.org/officeDocument/2006/relationships/hyperlink" Target="https://dapr.io/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aks/operator-best-practices-scheduler" TargetMode="External"/><Relationship Id="rId92" Type="http://schemas.openxmlformats.org/officeDocument/2006/relationships/ctrlProp" Target="../ctrlProps/ctrlProp13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cloud-adoption-framework/scenarios/aks/eslz-cost-governance-with-kubecost" TargetMode="External"/><Relationship Id="rId45" Type="http://schemas.openxmlformats.org/officeDocument/2006/relationships/hyperlink" Target="https://docs.microsoft.com/azure/aks/availability-zones" TargetMode="External"/><Relationship Id="rId66" Type="http://schemas.openxmlformats.org/officeDocument/2006/relationships/hyperlink" Target="https://docs.microsoft.com/azure/aks/monitor-aks" TargetMode="External"/><Relationship Id="rId87" Type="http://schemas.openxmlformats.org/officeDocument/2006/relationships/ctrlProp" Target="../ctrlProps/ctrlProp8.xml"/><Relationship Id="rId61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2" Type="http://schemas.openxmlformats.org/officeDocument/2006/relationships/ctrlProp" Target="../ctrlProps/ctrlProp3.xml"/><Relationship Id="rId19" Type="http://schemas.openxmlformats.org/officeDocument/2006/relationships/hyperlink" Target="https://docs.microsoft.com/azure/aks/api-server-authorized-ip-rang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zoomScale="80" zoomScaleNormal="80" workbookViewId="0">
      <selection activeCell="F9" sqref="F9"/>
    </sheetView>
  </sheetViews>
  <sheetFormatPr defaultRowHeight="14.4" x14ac:dyDescent="0.55000000000000004"/>
  <cols>
    <col min="1" max="1" width="28.26171875" customWidth="1"/>
  </cols>
  <sheetData>
    <row r="2" spans="1:13" ht="30.6" x14ac:dyDescent="1.1000000000000001">
      <c r="A2" s="16" t="s">
        <v>15</v>
      </c>
      <c r="D2" s="19">
        <f>S29</f>
        <v>0</v>
      </c>
    </row>
    <row r="5" spans="1:13" x14ac:dyDescent="0.55000000000000004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55000000000000004">
      <c r="A6" s="15" t="str">
        <f>Values!A2</f>
        <v>High</v>
      </c>
      <c r="B6" cm="1">
        <f t="array" ref="B6">SUMPRODUCT(--(Checklist!$D$5:$G$500=$A6)*--(Checklist!$E$5:$E$500=B$5))</f>
        <v>28</v>
      </c>
      <c r="C6" cm="1">
        <f t="array" ref="C6">SUMPRODUCT(--(Checklist!$D$5:$G$500=$A6)*--(Checklist!$E$5:$E$500=C$5))</f>
        <v>0</v>
      </c>
      <c r="D6" cm="1">
        <f t="array" ref="D6">SUMPRODUCT(--(Checklist!$D$5:$G$500=$A6)*--(Checklist!$E$5:$E$500=D$5))</f>
        <v>0</v>
      </c>
      <c r="E6" cm="1">
        <f t="array" ref="E6">SUMPRODUCT(--(Checklist!$D$5:$G$500=$A6)*--(Checklist!$E$5:$E$500=E$5))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IF($H6="","",SUMPRODUCT(--(Checklist!$A$5:$A$500=$H6)*--(Checklist!$E$5:$E$500=I$5)))</f>
        <v>6</v>
      </c>
      <c r="J6" cm="1">
        <f t="array" ref="J6">IF($H6="","",SUMPRODUCT(--(Checklist!$A$5:$A$500=$H6)*--(Checklist!$E$5:$E$500=J$5)))</f>
        <v>0</v>
      </c>
      <c r="K6" cm="1">
        <f t="array" ref="K6">IF($H6="","",SUMPRODUCT(--(Checklist!$A$5:$A$500=$H6)*--(Checklist!$E$5:$E$500=K$5)))</f>
        <v>0</v>
      </c>
      <c r="L6" cm="1">
        <f t="array" ref="L6">IF($H6="","",SUMPRODUCT(--(Checklist!$A$5:$A$500=$H6)*--(Checklist!$E$5:$E$500=L$5)))</f>
        <v>0</v>
      </c>
      <c r="M6">
        <f>IF($H6="","",SUM(I6:L6))</f>
        <v>6</v>
      </c>
    </row>
    <row r="7" spans="1:13" x14ac:dyDescent="0.55000000000000004">
      <c r="A7" s="15" t="str">
        <f>Values!A3</f>
        <v>Medium</v>
      </c>
      <c r="B7" cm="1">
        <f t="array" ref="B7">SUMPRODUCT(--(Checklist!$D$5:$G$500=$A7)*--(Checklist!$E$5:$E$500=B$5))</f>
        <v>32</v>
      </c>
      <c r="C7" cm="1">
        <f t="array" ref="C7">SUMPRODUCT(--(Checklist!$D$5:$G$500=$A7)*--(Checklist!$E$5:$E$500=C$5))</f>
        <v>0</v>
      </c>
      <c r="D7" cm="1">
        <f t="array" ref="D7">SUMPRODUCT(--(Checklist!$D$5:$G$500=$A7)*--(Checklist!$E$5:$E$500=D$5))</f>
        <v>0</v>
      </c>
      <c r="E7" cm="1">
        <f t="array" ref="E7">SUMPRODUCT(--(Checklist!$D$5:$G$500=$A7)*--(Checklist!$E$5:$E$500=E$5))</f>
        <v>0</v>
      </c>
      <c r="F7">
        <f t="shared" ref="F7:F8" si="0">SUM(B7:E7)</f>
        <v>32</v>
      </c>
      <c r="H7" s="15" t="str">
        <f>IF(Values!$C3="","",Values!$C3)</f>
        <v>Network Topology and Connectivity</v>
      </c>
      <c r="I7" cm="1">
        <f t="array" ref="I7">IF($H7="","",SUMPRODUCT(--(Checklist!$A$5:$A$500=$H7)*--(Checklist!$E$5:$E$500=I$5)))</f>
        <v>17</v>
      </c>
      <c r="J7" cm="1">
        <f t="array" ref="J7">IF($H7="","",SUMPRODUCT(--(Checklist!$A$5:$A$500=$H7)*--(Checklist!$E$5:$E$500=J$5)))</f>
        <v>0</v>
      </c>
      <c r="K7" cm="1">
        <f t="array" ref="K7">IF($H7="","",SUMPRODUCT(--(Checklist!$A$5:$A$500=$H7)*--(Checklist!$E$5:$E$500=K$5)))</f>
        <v>0</v>
      </c>
      <c r="L7" cm="1">
        <f t="array" ref="L7">IF($H7="","",SUMPRODUCT(--(Checklist!$A$5:$A$500=$H7)*--(Checklist!$E$5:$E$500=L$5)))</f>
        <v>0</v>
      </c>
      <c r="M7">
        <f t="shared" ref="M7:M12" si="1">IF($H7="","",SUM(I7:L7))</f>
        <v>17</v>
      </c>
    </row>
    <row r="8" spans="1:13" x14ac:dyDescent="0.55000000000000004">
      <c r="A8" s="15" t="str">
        <f>Values!A4</f>
        <v>Low</v>
      </c>
      <c r="B8" cm="1">
        <f t="array" ref="B8">SUMPRODUCT(--(Checklist!$D$5:$G$500=$A8)*--(Checklist!$E$5:$E$500=B$5))</f>
        <v>16</v>
      </c>
      <c r="C8" cm="1">
        <f t="array" ref="C8">SUMPRODUCT(--(Checklist!$D$5:$G$500=$A8)*--(Checklist!$E$5:$E$500=C$5))</f>
        <v>0</v>
      </c>
      <c r="D8" cm="1">
        <f t="array" ref="D8">SUMPRODUCT(--(Checklist!$D$5:$G$500=$A8)*--(Checklist!$E$5:$E$500=D$5))</f>
        <v>0</v>
      </c>
      <c r="E8" cm="1">
        <f t="array" ref="E8">SUMPRODUCT(--(Checklist!$D$5:$G$500=$A8)*--(Checklist!$E$5:$E$500=E$5))</f>
        <v>0</v>
      </c>
      <c r="F8">
        <f t="shared" si="0"/>
        <v>16</v>
      </c>
      <c r="H8" s="15" t="str">
        <f>IF(Values!$C4="","",Values!$C4)</f>
        <v>BC and DR</v>
      </c>
      <c r="I8" cm="1">
        <f t="array" ref="I8">IF($H8="","",SUMPRODUCT(--(Checklist!$A$5:$A$500=$H8)*--(Checklist!$E$5:$E$500=I$5)))</f>
        <v>7</v>
      </c>
      <c r="J8" cm="1">
        <f t="array" ref="J8">IF($H8="","",SUMPRODUCT(--(Checklist!$A$5:$A$500=$H8)*--(Checklist!$E$5:$E$500=J$5)))</f>
        <v>0</v>
      </c>
      <c r="K8" cm="1">
        <f t="array" ref="K8">IF($H8="","",SUMPRODUCT(--(Checklist!$A$5:$A$500=$H8)*--(Checklist!$E$5:$E$500=K$5)))</f>
        <v>0</v>
      </c>
      <c r="L8" cm="1">
        <f t="array" ref="L8">IF($H8="","",SUMPRODUCT(--(Checklist!$A$5:$A$500=$H8)*--(Checklist!$E$5:$E$500=L$5)))</f>
        <v>0</v>
      </c>
      <c r="M8">
        <f t="shared" si="1"/>
        <v>7</v>
      </c>
    </row>
    <row r="9" spans="1:13" x14ac:dyDescent="0.55000000000000004">
      <c r="B9">
        <f>SUM(B6:B8)</f>
        <v>76</v>
      </c>
      <c r="C9">
        <f t="shared" ref="C9:E9" si="2">SUM(C6:C8)</f>
        <v>0</v>
      </c>
      <c r="D9">
        <f t="shared" si="2"/>
        <v>0</v>
      </c>
      <c r="E9">
        <f t="shared" si="2"/>
        <v>0</v>
      </c>
      <c r="F9" s="15">
        <f>SUM(F6:F8)</f>
        <v>76</v>
      </c>
      <c r="H9" s="15" t="str">
        <f>IF(Values!$C5="","",Values!$C5)</f>
        <v>Governance and Security</v>
      </c>
      <c r="I9" cm="1">
        <f t="array" ref="I9">IF($H9="","",SUMPRODUCT(--(Checklist!$A$5:$A$500=$H9)*--(Checklist!$E$5:$E$500=I$5)))</f>
        <v>9</v>
      </c>
      <c r="J9" cm="1">
        <f t="array" ref="J9">IF($H9="","",SUMPRODUCT(--(Checklist!$A$5:$A$500=$H9)*--(Checklist!$E$5:$E$500=J$5)))</f>
        <v>0</v>
      </c>
      <c r="K9" cm="1">
        <f t="array" ref="K9">IF($H9="","",SUMPRODUCT(--(Checklist!$A$5:$A$500=$H9)*--(Checklist!$E$5:$E$500=K$5)))</f>
        <v>0</v>
      </c>
      <c r="L9" cm="1">
        <f t="array" ref="L9">IF($H9="","",SUMPRODUCT(--(Checklist!$A$5:$A$500=$H9)*--(Checklist!$E$5:$E$500=L$5)))</f>
        <v>0</v>
      </c>
      <c r="M9">
        <f t="shared" si="1"/>
        <v>9</v>
      </c>
    </row>
    <row r="10" spans="1:13" x14ac:dyDescent="0.55000000000000004">
      <c r="H10" s="15" t="str">
        <f>IF(Values!$C6="","",Values!$C6)</f>
        <v>Cost Governance</v>
      </c>
      <c r="I10" cm="1">
        <f t="array" ref="I10">IF($H10="","",SUMPRODUCT(--(Checklist!$A$5:$A$500=$H10)*--(Checklist!$E$5:$E$500=I$5)))</f>
        <v>1</v>
      </c>
      <c r="J10" cm="1">
        <f t="array" ref="J10">IF($H10="","",SUMPRODUCT(--(Checklist!$A$5:$A$500=$H10)*--(Checklist!$E$5:$E$500=J$5)))</f>
        <v>0</v>
      </c>
      <c r="K10" cm="1">
        <f t="array" ref="K10">IF($H10="","",SUMPRODUCT(--(Checklist!$A$5:$A$500=$H10)*--(Checklist!$E$5:$E$500=K$5)))</f>
        <v>0</v>
      </c>
      <c r="L10" cm="1">
        <f t="array" ref="L10">IF($H10="","",SUMPRODUCT(--(Checklist!$A$5:$A$500=$H10)*--(Checklist!$E$5:$E$500=L$5)))</f>
        <v>0</v>
      </c>
      <c r="M10">
        <f t="shared" si="1"/>
        <v>1</v>
      </c>
    </row>
    <row r="11" spans="1:13" x14ac:dyDescent="0.55000000000000004">
      <c r="H11" s="15" t="str">
        <f>IF(Values!$C7="","",Values!$C7)</f>
        <v>Operations</v>
      </c>
      <c r="I11" cm="1">
        <f t="array" ref="I11">IF($H11="","",SUMPRODUCT(--(Checklist!$A$5:$A$500=$H11)*--(Checklist!$E$5:$E$500=I$5)))</f>
        <v>32</v>
      </c>
      <c r="J11" cm="1">
        <f t="array" ref="J11">IF($H11="","",SUMPRODUCT(--(Checklist!$A$5:$A$500=$H11)*--(Checklist!$E$5:$E$500=J$5)))</f>
        <v>0</v>
      </c>
      <c r="K11" cm="1">
        <f t="array" ref="K11">IF($H11="","",SUMPRODUCT(--(Checklist!$A$5:$A$500=$H11)*--(Checklist!$E$5:$E$500=K$5)))</f>
        <v>0</v>
      </c>
      <c r="L11" cm="1">
        <f t="array" ref="L11">IF($H11="","",SUMPRODUCT(--(Checklist!$A$5:$A$500=$H11)*--(Checklist!$E$5:$E$500=L$5)))</f>
        <v>0</v>
      </c>
      <c r="M11">
        <f t="shared" si="1"/>
        <v>32</v>
      </c>
    </row>
    <row r="12" spans="1:13" x14ac:dyDescent="0.55000000000000004">
      <c r="H12" s="15" t="str">
        <f>IF(Values!$C8="","",Values!$C8)</f>
        <v>Application Deployment</v>
      </c>
      <c r="I12" cm="1">
        <f t="array" ref="I12">IF($H12="","",SUMPRODUCT(--(Checklist!$A$5:$A$500=$H12)*--(Checklist!$E$5:$E$500=I$5)))</f>
        <v>4</v>
      </c>
      <c r="J12" cm="1">
        <f t="array" ref="J12">IF($H12="","",SUMPRODUCT(--(Checklist!$A$5:$A$500=$H12)*--(Checklist!$E$5:$E$500=J$5)))</f>
        <v>0</v>
      </c>
      <c r="K12" cm="1">
        <f t="array" ref="K12">IF($H12="","",SUMPRODUCT(--(Checklist!$A$5:$A$500=$H12)*--(Checklist!$E$5:$E$500=K$5)))</f>
        <v>0</v>
      </c>
      <c r="L12" cm="1">
        <f t="array" ref="L12">IF($H12="","",SUMPRODUCT(--(Checklist!$A$5:$A$500=$H12)*--(Checklist!$E$5:$E$500=L$5)))</f>
        <v>0</v>
      </c>
      <c r="M12">
        <f t="shared" si="1"/>
        <v>4</v>
      </c>
    </row>
    <row r="13" spans="1:13" x14ac:dyDescent="0.55000000000000004">
      <c r="H13" s="15" t="str">
        <f>IF(Values!$C9="","",Values!$C9)</f>
        <v/>
      </c>
      <c r="I13" t="str" cm="1">
        <f t="array" ref="I13">IF($H13="","",SUMPRODUCT(--(Checklist!$A$5:$A$500=$H13)*--(Checklist!$E$5:$E$500=I$5)))</f>
        <v/>
      </c>
      <c r="J13" t="str" cm="1">
        <f t="array" ref="J13">IF($H13="","",SUMPRODUCT(--(Checklist!$A$5:$A$500=$H13)*--(Checklist!$E$5:$E$500=J$5)))</f>
        <v/>
      </c>
      <c r="K13" t="str" cm="1">
        <f t="array" ref="K13">IF($H13="","",SUMPRODUCT(--(Checklist!$A$5:$A$500=$H13)*--(Checklist!$E$5:$E$500=K$5)))</f>
        <v/>
      </c>
      <c r="L13" t="str" cm="1">
        <f t="array" ref="L13">IF($H13="","",SUMPRODUCT(--(Checklist!$A$5:$A$500=$H13)*--(Checklist!$E$5:$E$500=L$5)))</f>
        <v/>
      </c>
      <c r="M13" t="str">
        <f t="shared" ref="M13" si="3">IF($H13="","",SUM(I13:L13))</f>
        <v/>
      </c>
    </row>
    <row r="14" spans="1:13" x14ac:dyDescent="0.55000000000000004">
      <c r="I14">
        <f>SUM(I6:I13)</f>
        <v>76</v>
      </c>
      <c r="J14">
        <f t="shared" ref="J14:M14" si="4">SUM(J6:J13)</f>
        <v>0</v>
      </c>
      <c r="K14">
        <f t="shared" si="4"/>
        <v>0</v>
      </c>
      <c r="L14">
        <f t="shared" si="4"/>
        <v>0</v>
      </c>
      <c r="M14" s="15">
        <f t="shared" si="4"/>
        <v>76</v>
      </c>
    </row>
    <row r="20" spans="14:19" x14ac:dyDescent="0.55000000000000004"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55000000000000004">
      <c r="N21" s="15" t="str">
        <f>IF(Values!$C2="","",Values!$C2)</f>
        <v>Identity and Access Management</v>
      </c>
      <c r="O21" cm="1">
        <f t="array" ref="O21">IF($N21="","",SUMPRODUCT(--(Checklist!$A$5:$A$500=$N21)*--(Checklist!$E$5:$E$500=O$20)))</f>
        <v>6</v>
      </c>
      <c r="P21" cm="1">
        <f t="array" ref="P21">IF($N21="","",SUMPRODUCT(--(Checklist!$A$5:$A$500=$N21)*--(Checklist!$E$5:$E$500=P$20)))</f>
        <v>0</v>
      </c>
      <c r="Q21" cm="1">
        <f t="array" ref="Q21">IF($N21="","",SUMPRODUCT(--(Checklist!$A$5:$A$500=$N21)*(--(Checklist!$E$5:$E$500=Values!$B$4)+--(Checklist!$E$5:$E$500=Values!$B$5))))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55000000000000004">
      <c r="N22" s="15" t="str">
        <f>IF(Values!$C3="","",Values!$C3)</f>
        <v>Network Topology and Connectivity</v>
      </c>
      <c r="O22" cm="1">
        <f t="array" ref="O22">IF($N22="","",SUMPRODUCT(--(Checklist!$A$5:$A$500=$N22)*--(Checklist!$E$5:$E$500=O$20)))</f>
        <v>17</v>
      </c>
      <c r="P22" cm="1">
        <f t="array" ref="P22">IF($N22="","",SUMPRODUCT(--(Checklist!$A$5:$A$500=$N22)*--(Checklist!$E$5:$E$500=P$20)))</f>
        <v>0</v>
      </c>
      <c r="Q22" cm="1">
        <f t="array" ref="Q22">IF($N22="","",SUMPRODUCT(--(Checklist!$A$5:$A$500=$N22)*(--(Checklist!$E$5:$E$500=Values!$B$4)+--(Checklist!$E$5:$E$500=Values!$B$5))))</f>
        <v>0</v>
      </c>
      <c r="R22">
        <f t="shared" ref="R22:R27" si="5">IF($N22="","",SUM(O22:Q22))</f>
        <v>17</v>
      </c>
      <c r="S22" s="17">
        <f t="shared" ref="S22:S27" si="6">IF($N22="","",Q22/R22)</f>
        <v>0</v>
      </c>
    </row>
    <row r="23" spans="14:19" x14ac:dyDescent="0.55000000000000004">
      <c r="N23" s="15" t="str">
        <f>IF(Values!$C4="","",Values!$C4)</f>
        <v>BC and DR</v>
      </c>
      <c r="O23" cm="1">
        <f t="array" ref="O23">IF($N23="","",SUMPRODUCT(--(Checklist!$A$5:$A$500=$N23)*--(Checklist!$E$5:$E$500=O$20)))</f>
        <v>7</v>
      </c>
      <c r="P23" cm="1">
        <f t="array" ref="P23">IF($N23="","",SUMPRODUCT(--(Checklist!$A$5:$A$500=$N23)*--(Checklist!$E$5:$E$500=P$20)))</f>
        <v>0</v>
      </c>
      <c r="Q23" cm="1">
        <f t="array" ref="Q23">IF($N23="","",SUMPRODUCT(--(Checklist!$A$5:$A$500=$N23)*(--(Checklist!$E$5:$E$500=Values!$B$4)+--(Checklist!$E$5:$E$500=Values!$B$5))))</f>
        <v>0</v>
      </c>
      <c r="R23">
        <f t="shared" si="5"/>
        <v>7</v>
      </c>
      <c r="S23" s="17">
        <f t="shared" si="6"/>
        <v>0</v>
      </c>
    </row>
    <row r="24" spans="14:19" x14ac:dyDescent="0.55000000000000004">
      <c r="N24" s="15" t="str">
        <f>IF(Values!$C5="","",Values!$C5)</f>
        <v>Governance and Security</v>
      </c>
      <c r="O24" cm="1">
        <f t="array" ref="O24">IF($N24="","",SUMPRODUCT(--(Checklist!$A$5:$A$500=$N24)*--(Checklist!$E$5:$E$500=O$20)))</f>
        <v>9</v>
      </c>
      <c r="P24" cm="1">
        <f t="array" ref="P24">IF($N24="","",SUMPRODUCT(--(Checklist!$A$5:$A$500=$N24)*--(Checklist!$E$5:$E$500=P$20)))</f>
        <v>0</v>
      </c>
      <c r="Q24" cm="1">
        <f t="array" ref="Q24">IF($N24="","",SUMPRODUCT(--(Checklist!$A$5:$A$500=$N24)*(--(Checklist!$E$5:$E$500=Values!$B$4)+--(Checklist!$E$5:$E$500=Values!$B$5))))</f>
        <v>0</v>
      </c>
      <c r="R24">
        <f t="shared" si="5"/>
        <v>9</v>
      </c>
      <c r="S24" s="17">
        <f t="shared" si="6"/>
        <v>0</v>
      </c>
    </row>
    <row r="25" spans="14:19" x14ac:dyDescent="0.55000000000000004">
      <c r="N25" s="15" t="str">
        <f>IF(Values!$C6="","",Values!$C6)</f>
        <v>Cost Governance</v>
      </c>
      <c r="O25" cm="1">
        <f t="array" ref="O25">IF($N25="","",SUMPRODUCT(--(Checklist!$A$5:$A$500=$N25)*--(Checklist!$E$5:$E$500=O$20)))</f>
        <v>1</v>
      </c>
      <c r="P25" cm="1">
        <f t="array" ref="P25">IF($N25="","",SUMPRODUCT(--(Checklist!$A$5:$A$500=$N25)*--(Checklist!$E$5:$E$500=P$20)))</f>
        <v>0</v>
      </c>
      <c r="Q25" cm="1">
        <f t="array" ref="Q25">IF($N25="","",SUMPRODUCT(--(Checklist!$A$5:$A$500=$N25)*(--(Checklist!$E$5:$E$500=Values!$B$4)+--(Checklist!$E$5:$E$500=Values!$B$5))))</f>
        <v>0</v>
      </c>
      <c r="R25">
        <f t="shared" si="5"/>
        <v>1</v>
      </c>
      <c r="S25" s="17">
        <f t="shared" si="6"/>
        <v>0</v>
      </c>
    </row>
    <row r="26" spans="14:19" x14ac:dyDescent="0.55000000000000004">
      <c r="N26" s="15" t="str">
        <f>IF(Values!$C7="","",Values!$C7)</f>
        <v>Operations</v>
      </c>
      <c r="O26" cm="1">
        <f t="array" ref="O26">IF($N26="","",SUMPRODUCT(--(Checklist!$A$5:$A$500=$N26)*--(Checklist!$E$5:$E$500=O$20)))</f>
        <v>32</v>
      </c>
      <c r="P26" cm="1">
        <f t="array" ref="P26">IF($N26="","",SUMPRODUCT(--(Checklist!$A$5:$A$500=$N26)*--(Checklist!$E$5:$E$500=P$20)))</f>
        <v>0</v>
      </c>
      <c r="Q26" cm="1">
        <f t="array" ref="Q26">IF($N26="","",SUMPRODUCT(--(Checklist!$A$5:$A$500=$N26)*(--(Checklist!$E$5:$E$500=Values!$B$4)+--(Checklist!$E$5:$E$500=Values!$B$5))))</f>
        <v>0</v>
      </c>
      <c r="R26">
        <f t="shared" si="5"/>
        <v>32</v>
      </c>
      <c r="S26" s="17">
        <f t="shared" si="6"/>
        <v>0</v>
      </c>
    </row>
    <row r="27" spans="14:19" x14ac:dyDescent="0.55000000000000004">
      <c r="N27" s="15" t="str">
        <f>IF(Values!$C8="","",Values!$C8)</f>
        <v>Application Deployment</v>
      </c>
      <c r="O27" cm="1">
        <f t="array" ref="O27">IF($N27="","",SUMPRODUCT(--(Checklist!$A$5:$A$500=$N27)*--(Checklist!$E$5:$E$500=O$20)))</f>
        <v>4</v>
      </c>
      <c r="P27" cm="1">
        <f t="array" ref="P27">IF($N27="","",SUMPRODUCT(--(Checklist!$A$5:$A$500=$N27)*--(Checklist!$E$5:$E$500=P$20)))</f>
        <v>0</v>
      </c>
      <c r="Q27" cm="1">
        <f t="array" ref="Q27">IF($N27="","",SUMPRODUCT(--(Checklist!$A$5:$A$500=$N27)*(--(Checklist!$E$5:$E$500=Values!$B$4)+--(Checklist!$E$5:$E$500=Values!$B$5))))</f>
        <v>0</v>
      </c>
      <c r="R27">
        <f t="shared" si="5"/>
        <v>4</v>
      </c>
      <c r="S27" s="17">
        <f t="shared" si="6"/>
        <v>0</v>
      </c>
    </row>
    <row r="28" spans="14:19" x14ac:dyDescent="0.55000000000000004">
      <c r="N28" s="15" t="str">
        <f>IF(Values!$C9="","",Values!$C9)</f>
        <v/>
      </c>
      <c r="O28" t="str" cm="1">
        <f t="array" ref="O28">IF($N28="","",SUMPRODUCT(--(Checklist!$A$5:$A$500=$N28)*--(Checklist!$E$5:$E$500=O$20)))</f>
        <v/>
      </c>
      <c r="P28" t="str" cm="1">
        <f t="array" ref="P28">IF($N28="","",SUMPRODUCT(--(Checklist!$A$5:$A$500=$N28)*--(Checklist!$E$5:$E$500=P$20)))</f>
        <v/>
      </c>
      <c r="Q28" t="str" cm="1">
        <f t="array" ref="Q28">IF($N28="","",SUMPRODUCT(--(Checklist!$A$5:$A$500=$N28)*(--(Checklist!$E$5:$E$500=Values!$B$4)+--(Checklist!$E$5:$E$500=Values!$B$5))))</f>
        <v/>
      </c>
      <c r="R28" t="str">
        <f t="shared" ref="R28" si="7">IF($N28="","",SUM(O28:Q28))</f>
        <v/>
      </c>
      <c r="S28" s="17" t="str">
        <f t="shared" ref="S28" si="8">IF($N28="","",Q28/R28)</f>
        <v/>
      </c>
    </row>
    <row r="29" spans="14:19" x14ac:dyDescent="0.55000000000000004">
      <c r="O29">
        <f>SUM(O21:O28)</f>
        <v>76</v>
      </c>
      <c r="P29">
        <f t="shared" ref="P29:R29" si="9">SUM(P21:P28)</f>
        <v>0</v>
      </c>
      <c r="Q29">
        <f t="shared" si="9"/>
        <v>0</v>
      </c>
      <c r="R29" s="15">
        <f t="shared" si="9"/>
        <v>76</v>
      </c>
      <c r="S29" s="18">
        <f t="shared" ref="S29" si="10"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3"/>
  <sheetViews>
    <sheetView showGridLines="0" tabSelected="1" zoomScale="80" zoomScaleNormal="80" workbookViewId="0">
      <selection activeCell="A5" sqref="A5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148.83984375" style="2" customWidth="1"/>
    <col min="4" max="4" width="16.15625" style="2" customWidth="1"/>
    <col min="5" max="5" width="15.15625" style="2" customWidth="1"/>
    <col min="6" max="6" width="49.578125" style="2" customWidth="1"/>
    <col min="7" max="7" width="18.41796875" style="2" customWidth="1"/>
    <col min="8" max="8" width="14.578125" style="2" customWidth="1"/>
    <col min="9" max="16384" width="9" style="2"/>
  </cols>
  <sheetData>
    <row r="1" spans="1:11" ht="121.9" customHeight="1" x14ac:dyDescent="0.7">
      <c r="A1" s="23"/>
      <c r="B1" s="23"/>
      <c r="C1" s="14" t="s">
        <v>13</v>
      </c>
    </row>
    <row r="2" spans="1:11" s="6" customFormat="1" ht="24.6" customHeight="1" x14ac:dyDescent="0.55000000000000004">
      <c r="A2" s="22" t="s">
        <v>31</v>
      </c>
      <c r="B2" s="5"/>
      <c r="C2" s="5"/>
      <c r="D2" s="5"/>
      <c r="E2" s="5"/>
      <c r="F2" s="5"/>
      <c r="G2" s="5"/>
    </row>
    <row r="3" spans="1:11" x14ac:dyDescent="0.55000000000000004">
      <c r="A3" s="4"/>
      <c r="B3" s="4"/>
      <c r="C3" s="8"/>
      <c r="D3" s="4"/>
      <c r="E3" s="4"/>
      <c r="F3" s="4"/>
      <c r="G3" s="4"/>
    </row>
    <row r="4" spans="1:11" s="7" customFormat="1" ht="22.8" x14ac:dyDescent="0.55000000000000004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7" t="s">
        <v>28</v>
      </c>
      <c r="J4" s="7" t="s">
        <v>29</v>
      </c>
      <c r="K4" s="7" t="s">
        <v>30</v>
      </c>
    </row>
    <row r="5" spans="1:11" ht="16.5" customHeight="1" x14ac:dyDescent="0.55000000000000004">
      <c r="A5" s="2" t="s">
        <v>32</v>
      </c>
      <c r="B5" s="2" t="s">
        <v>26</v>
      </c>
      <c r="C5" s="2" t="s">
        <v>33</v>
      </c>
      <c r="D5" s="2" t="s">
        <v>6</v>
      </c>
      <c r="E5" s="2" t="s">
        <v>7</v>
      </c>
      <c r="G5" s="20" t="s">
        <v>14</v>
      </c>
      <c r="H5" s="13"/>
      <c r="I5" s="24"/>
      <c r="J5" s="24"/>
    </row>
    <row r="6" spans="1:11" ht="16.5" customHeight="1" x14ac:dyDescent="0.55000000000000004">
      <c r="A6" s="2" t="s">
        <v>32</v>
      </c>
      <c r="B6" s="2" t="s">
        <v>34</v>
      </c>
      <c r="C6" s="2" t="s">
        <v>35</v>
      </c>
      <c r="D6" s="2" t="s">
        <v>6</v>
      </c>
      <c r="E6" s="2" t="s">
        <v>7</v>
      </c>
      <c r="G6" s="20" t="s">
        <v>14</v>
      </c>
      <c r="H6" s="13"/>
      <c r="I6" s="24"/>
      <c r="J6" s="24"/>
    </row>
    <row r="7" spans="1:11" ht="16.5" customHeight="1" x14ac:dyDescent="0.55000000000000004">
      <c r="A7" s="2" t="s">
        <v>32</v>
      </c>
      <c r="B7" s="2" t="s">
        <v>34</v>
      </c>
      <c r="C7" s="2" t="s">
        <v>36</v>
      </c>
      <c r="D7" s="2" t="s">
        <v>9</v>
      </c>
      <c r="E7" s="2" t="s">
        <v>7</v>
      </c>
      <c r="G7" s="20" t="s">
        <v>14</v>
      </c>
      <c r="H7" s="13"/>
      <c r="I7" s="24"/>
      <c r="J7" s="24"/>
    </row>
    <row r="8" spans="1:11" ht="16.5" customHeight="1" x14ac:dyDescent="0.55000000000000004">
      <c r="A8" s="2" t="s">
        <v>32</v>
      </c>
      <c r="B8" s="2" t="s">
        <v>37</v>
      </c>
      <c r="C8" s="2" t="s">
        <v>38</v>
      </c>
      <c r="D8" s="2" t="s">
        <v>9</v>
      </c>
      <c r="E8" s="2" t="s">
        <v>7</v>
      </c>
      <c r="F8" s="1"/>
      <c r="G8" s="20" t="s">
        <v>14</v>
      </c>
      <c r="H8" s="13"/>
      <c r="I8" s="24"/>
      <c r="J8" s="24"/>
    </row>
    <row r="9" spans="1:11" ht="16.5" customHeight="1" x14ac:dyDescent="0.55000000000000004">
      <c r="A9" s="2" t="s">
        <v>32</v>
      </c>
      <c r="B9" s="2" t="s">
        <v>37</v>
      </c>
      <c r="C9" s="2" t="s">
        <v>39</v>
      </c>
      <c r="D9" s="2" t="s">
        <v>6</v>
      </c>
      <c r="E9" s="2" t="s">
        <v>7</v>
      </c>
      <c r="G9" s="20" t="s">
        <v>14</v>
      </c>
      <c r="H9" s="13"/>
      <c r="I9" s="24" t="s">
        <v>127</v>
      </c>
      <c r="J9" s="24" t="s">
        <v>128</v>
      </c>
    </row>
    <row r="10" spans="1:11" ht="16.5" customHeight="1" x14ac:dyDescent="0.55000000000000004">
      <c r="A10" s="2" t="s">
        <v>32</v>
      </c>
      <c r="B10" s="2" t="s">
        <v>37</v>
      </c>
      <c r="C10" s="2" t="s">
        <v>40</v>
      </c>
      <c r="D10" s="2" t="s">
        <v>8</v>
      </c>
      <c r="E10" s="2" t="s">
        <v>7</v>
      </c>
      <c r="F10" s="1"/>
      <c r="G10" s="20" t="s">
        <v>14</v>
      </c>
      <c r="H10" s="13"/>
      <c r="I10" s="24"/>
      <c r="J10" s="24"/>
    </row>
    <row r="11" spans="1:11" ht="16.5" customHeight="1" x14ac:dyDescent="0.55000000000000004">
      <c r="A11" s="2" t="s">
        <v>32</v>
      </c>
      <c r="B11" s="2" t="s">
        <v>37</v>
      </c>
      <c r="C11" s="2" t="s">
        <v>41</v>
      </c>
      <c r="D11" s="2" t="s">
        <v>6</v>
      </c>
      <c r="E11" s="2" t="s">
        <v>7</v>
      </c>
      <c r="G11" s="20" t="s">
        <v>14</v>
      </c>
      <c r="H11" s="13"/>
      <c r="I11" s="24"/>
      <c r="J11" s="24"/>
    </row>
    <row r="12" spans="1:11" ht="16.5" customHeight="1" x14ac:dyDescent="0.55000000000000004">
      <c r="A12" s="2" t="s">
        <v>42</v>
      </c>
      <c r="B12" s="2" t="s">
        <v>23</v>
      </c>
      <c r="C12" s="2" t="s">
        <v>43</v>
      </c>
      <c r="D12" s="2" t="s">
        <v>6</v>
      </c>
      <c r="E12" s="2" t="s">
        <v>7</v>
      </c>
      <c r="G12" s="20" t="s">
        <v>14</v>
      </c>
      <c r="H12" s="13"/>
      <c r="I12" s="24"/>
      <c r="J12" s="24"/>
    </row>
    <row r="13" spans="1:11" ht="16.5" customHeight="1" x14ac:dyDescent="0.55000000000000004">
      <c r="A13" s="2" t="s">
        <v>42</v>
      </c>
      <c r="B13" s="2" t="s">
        <v>23</v>
      </c>
      <c r="C13" s="1" t="s">
        <v>44</v>
      </c>
      <c r="D13" s="2" t="s">
        <v>9</v>
      </c>
      <c r="E13" s="2" t="s">
        <v>7</v>
      </c>
      <c r="G13" s="20" t="s">
        <v>14</v>
      </c>
      <c r="H13" s="13"/>
      <c r="I13" s="24"/>
      <c r="J13" s="24"/>
    </row>
    <row r="14" spans="1:11" ht="16.5" customHeight="1" x14ac:dyDescent="0.55000000000000004">
      <c r="A14" s="2" t="s">
        <v>42</v>
      </c>
      <c r="B14" s="2" t="s">
        <v>23</v>
      </c>
      <c r="C14" s="2" t="s">
        <v>45</v>
      </c>
      <c r="D14" s="2" t="s">
        <v>9</v>
      </c>
      <c r="E14" s="2" t="s">
        <v>7</v>
      </c>
      <c r="G14" s="20" t="s">
        <v>14</v>
      </c>
      <c r="H14" s="13"/>
      <c r="I14" s="24"/>
      <c r="J14" s="24"/>
    </row>
    <row r="15" spans="1:11" ht="16.5" customHeight="1" x14ac:dyDescent="0.55000000000000004">
      <c r="A15" s="2" t="s">
        <v>42</v>
      </c>
      <c r="B15" s="2" t="s">
        <v>23</v>
      </c>
      <c r="C15" s="2" t="s">
        <v>46</v>
      </c>
      <c r="D15" s="2" t="s">
        <v>9</v>
      </c>
      <c r="E15" s="2" t="s">
        <v>7</v>
      </c>
      <c r="G15" s="20" t="s">
        <v>14</v>
      </c>
      <c r="H15" s="13"/>
      <c r="I15" s="24"/>
      <c r="J15" s="24"/>
    </row>
    <row r="16" spans="1:11" ht="16.5" customHeight="1" x14ac:dyDescent="0.55000000000000004">
      <c r="A16" s="2" t="s">
        <v>42</v>
      </c>
      <c r="B16" s="2" t="s">
        <v>23</v>
      </c>
      <c r="C16" s="2" t="s">
        <v>47</v>
      </c>
      <c r="D16" s="2" t="s">
        <v>6</v>
      </c>
      <c r="E16" s="2" t="s">
        <v>7</v>
      </c>
      <c r="G16" s="20" t="s">
        <v>14</v>
      </c>
      <c r="H16" s="13"/>
      <c r="I16" s="24"/>
      <c r="J16" s="24"/>
    </row>
    <row r="17" spans="1:10" ht="16.5" customHeight="1" x14ac:dyDescent="0.55000000000000004">
      <c r="A17" s="2" t="s">
        <v>42</v>
      </c>
      <c r="B17" s="2" t="s">
        <v>23</v>
      </c>
      <c r="C17" s="2" t="s">
        <v>48</v>
      </c>
      <c r="D17" s="2" t="s">
        <v>9</v>
      </c>
      <c r="E17" s="2" t="s">
        <v>7</v>
      </c>
      <c r="G17" s="20" t="s">
        <v>14</v>
      </c>
      <c r="H17" s="13"/>
      <c r="I17" s="24"/>
      <c r="J17" s="24"/>
    </row>
    <row r="18" spans="1:10" ht="16.5" customHeight="1" x14ac:dyDescent="0.55000000000000004">
      <c r="A18" s="2" t="s">
        <v>49</v>
      </c>
      <c r="B18" s="2" t="s">
        <v>50</v>
      </c>
      <c r="C18" s="2" t="s">
        <v>51</v>
      </c>
      <c r="D18" s="2" t="s">
        <v>6</v>
      </c>
      <c r="E18" s="2" t="s">
        <v>7</v>
      </c>
      <c r="G18" s="20" t="s">
        <v>14</v>
      </c>
      <c r="H18" s="13"/>
      <c r="I18" s="24" t="s">
        <v>135</v>
      </c>
      <c r="J18" s="24" t="s">
        <v>136</v>
      </c>
    </row>
    <row r="19" spans="1:10" ht="16.5" customHeight="1" x14ac:dyDescent="0.55000000000000004">
      <c r="A19" s="2" t="s">
        <v>49</v>
      </c>
      <c r="B19" s="2" t="s">
        <v>50</v>
      </c>
      <c r="C19" s="2" t="s">
        <v>52</v>
      </c>
      <c r="D19" s="2" t="s">
        <v>6</v>
      </c>
      <c r="E19" s="2" t="s">
        <v>7</v>
      </c>
      <c r="G19" s="20" t="s">
        <v>14</v>
      </c>
      <c r="H19" s="13"/>
      <c r="I19" s="24"/>
      <c r="J19" s="24"/>
    </row>
    <row r="20" spans="1:10" ht="16.5" customHeight="1" x14ac:dyDescent="0.55000000000000004">
      <c r="A20" s="2" t="s">
        <v>49</v>
      </c>
      <c r="B20" s="2" t="s">
        <v>50</v>
      </c>
      <c r="C20" s="2" t="s">
        <v>53</v>
      </c>
      <c r="D20" s="2" t="s">
        <v>6</v>
      </c>
      <c r="E20" s="2" t="s">
        <v>7</v>
      </c>
      <c r="F20" s="1"/>
      <c r="G20" s="20" t="s">
        <v>14</v>
      </c>
      <c r="H20" s="13"/>
      <c r="I20" s="24"/>
      <c r="J20" s="24"/>
    </row>
    <row r="21" spans="1:10" ht="16.5" customHeight="1" x14ac:dyDescent="0.55000000000000004">
      <c r="A21" s="2" t="s">
        <v>49</v>
      </c>
      <c r="B21" s="2" t="s">
        <v>50</v>
      </c>
      <c r="C21" s="2" t="s">
        <v>54</v>
      </c>
      <c r="D21" s="2" t="s">
        <v>8</v>
      </c>
      <c r="E21" s="2" t="s">
        <v>7</v>
      </c>
      <c r="G21" s="20" t="s">
        <v>14</v>
      </c>
      <c r="H21" s="13"/>
      <c r="I21" s="24"/>
      <c r="J21" s="24"/>
    </row>
    <row r="22" spans="1:10" ht="16.5" customHeight="1" x14ac:dyDescent="0.55000000000000004">
      <c r="A22" s="2" t="s">
        <v>49</v>
      </c>
      <c r="B22" s="2" t="s">
        <v>25</v>
      </c>
      <c r="C22" s="2" t="s">
        <v>55</v>
      </c>
      <c r="D22" s="2" t="s">
        <v>6</v>
      </c>
      <c r="E22" s="2" t="s">
        <v>7</v>
      </c>
      <c r="G22" s="20" t="s">
        <v>14</v>
      </c>
      <c r="H22" s="13"/>
      <c r="I22" s="24" t="s">
        <v>137</v>
      </c>
      <c r="J22" s="24" t="s">
        <v>138</v>
      </c>
    </row>
    <row r="23" spans="1:10" ht="16.5" customHeight="1" x14ac:dyDescent="0.55000000000000004">
      <c r="A23" s="2" t="s">
        <v>49</v>
      </c>
      <c r="B23" s="2" t="s">
        <v>25</v>
      </c>
      <c r="C23" s="2" t="s">
        <v>56</v>
      </c>
      <c r="D23" s="2" t="s">
        <v>9</v>
      </c>
      <c r="E23" s="2" t="s">
        <v>7</v>
      </c>
      <c r="G23" s="20" t="s">
        <v>14</v>
      </c>
      <c r="H23" s="13"/>
      <c r="I23" s="24" t="s">
        <v>129</v>
      </c>
      <c r="J23" s="24" t="s">
        <v>130</v>
      </c>
    </row>
    <row r="24" spans="1:10" ht="16.5" customHeight="1" x14ac:dyDescent="0.55000000000000004">
      <c r="A24" s="2" t="s">
        <v>49</v>
      </c>
      <c r="B24" s="2" t="s">
        <v>57</v>
      </c>
      <c r="C24" s="2" t="s">
        <v>58</v>
      </c>
      <c r="D24" s="2" t="s">
        <v>9</v>
      </c>
      <c r="E24" s="2" t="s">
        <v>7</v>
      </c>
      <c r="G24" s="20" t="s">
        <v>14</v>
      </c>
      <c r="H24" s="13"/>
      <c r="I24" s="24"/>
      <c r="J24" s="24"/>
    </row>
    <row r="25" spans="1:10" ht="16.5" customHeight="1" x14ac:dyDescent="0.55000000000000004">
      <c r="A25" s="2" t="s">
        <v>49</v>
      </c>
      <c r="B25" s="2" t="s">
        <v>59</v>
      </c>
      <c r="C25" s="2" t="s">
        <v>60</v>
      </c>
      <c r="D25" s="2" t="s">
        <v>9</v>
      </c>
      <c r="E25" s="2" t="s">
        <v>7</v>
      </c>
      <c r="G25" s="20" t="s">
        <v>14</v>
      </c>
      <c r="H25" s="13"/>
      <c r="I25" s="24"/>
      <c r="J25" s="24"/>
    </row>
    <row r="26" spans="1:10" ht="16.5" customHeight="1" x14ac:dyDescent="0.55000000000000004">
      <c r="A26" s="2" t="s">
        <v>49</v>
      </c>
      <c r="B26" s="2" t="s">
        <v>61</v>
      </c>
      <c r="C26" s="2" t="s">
        <v>62</v>
      </c>
      <c r="D26" s="2" t="s">
        <v>9</v>
      </c>
      <c r="E26" s="2" t="s">
        <v>7</v>
      </c>
      <c r="G26" s="20" t="s">
        <v>14</v>
      </c>
      <c r="H26" s="13"/>
      <c r="I26" s="24"/>
      <c r="J26" s="24"/>
    </row>
    <row r="27" spans="1:10" ht="16.5" customHeight="1" x14ac:dyDescent="0.55000000000000004">
      <c r="A27" s="2" t="s">
        <v>49</v>
      </c>
      <c r="B27" s="2" t="s">
        <v>25</v>
      </c>
      <c r="C27" s="2" t="s">
        <v>63</v>
      </c>
      <c r="D27" s="2" t="s">
        <v>6</v>
      </c>
      <c r="E27" s="2" t="s">
        <v>7</v>
      </c>
      <c r="G27" s="20" t="s">
        <v>14</v>
      </c>
      <c r="H27" s="13"/>
      <c r="I27" s="24" t="s">
        <v>131</v>
      </c>
      <c r="J27" s="24" t="s">
        <v>132</v>
      </c>
    </row>
    <row r="28" spans="1:10" ht="16.5" customHeight="1" x14ac:dyDescent="0.55000000000000004">
      <c r="A28" s="2" t="s">
        <v>49</v>
      </c>
      <c r="B28" s="2" t="s">
        <v>25</v>
      </c>
      <c r="C28" s="2" t="s">
        <v>64</v>
      </c>
      <c r="D28" s="2" t="s">
        <v>6</v>
      </c>
      <c r="E28" s="2" t="s">
        <v>7</v>
      </c>
      <c r="G28" s="20" t="s">
        <v>14</v>
      </c>
      <c r="H28" s="13"/>
      <c r="I28" s="24" t="s">
        <v>133</v>
      </c>
      <c r="J28" s="24" t="s">
        <v>134</v>
      </c>
    </row>
    <row r="29" spans="1:10" ht="16.5" customHeight="1" x14ac:dyDescent="0.55000000000000004">
      <c r="A29" s="2" t="s">
        <v>49</v>
      </c>
      <c r="B29" s="2" t="s">
        <v>25</v>
      </c>
      <c r="C29" s="2" t="s">
        <v>65</v>
      </c>
      <c r="D29" s="2" t="s">
        <v>6</v>
      </c>
      <c r="E29" s="2" t="s">
        <v>7</v>
      </c>
      <c r="G29" s="20" t="s">
        <v>14</v>
      </c>
      <c r="H29" s="13"/>
      <c r="I29" s="24"/>
      <c r="J29" s="24"/>
    </row>
    <row r="30" spans="1:10" ht="16.5" customHeight="1" x14ac:dyDescent="0.55000000000000004">
      <c r="A30" s="2" t="s">
        <v>49</v>
      </c>
      <c r="B30" s="2" t="s">
        <v>25</v>
      </c>
      <c r="C30" s="2" t="s">
        <v>66</v>
      </c>
      <c r="D30" s="2" t="s">
        <v>6</v>
      </c>
      <c r="E30" s="2" t="s">
        <v>7</v>
      </c>
      <c r="F30" s="1"/>
      <c r="G30" s="20" t="s">
        <v>14</v>
      </c>
      <c r="H30" s="13"/>
      <c r="I30" s="24"/>
      <c r="J30" s="24"/>
    </row>
    <row r="31" spans="1:10" ht="16.5" customHeight="1" x14ac:dyDescent="0.55000000000000004">
      <c r="A31" s="2" t="s">
        <v>49</v>
      </c>
      <c r="B31" s="2" t="s">
        <v>25</v>
      </c>
      <c r="C31" s="2" t="s">
        <v>67</v>
      </c>
      <c r="D31" s="2" t="s">
        <v>9</v>
      </c>
      <c r="E31" s="2" t="s">
        <v>7</v>
      </c>
      <c r="G31" s="20" t="s">
        <v>14</v>
      </c>
      <c r="H31" s="13"/>
      <c r="I31" s="24"/>
      <c r="J31" s="24"/>
    </row>
    <row r="32" spans="1:10" ht="16.5" customHeight="1" x14ac:dyDescent="0.55000000000000004">
      <c r="A32" s="2" t="s">
        <v>49</v>
      </c>
      <c r="B32" s="2" t="s">
        <v>59</v>
      </c>
      <c r="C32" s="2" t="s">
        <v>68</v>
      </c>
      <c r="D32" s="2" t="s">
        <v>6</v>
      </c>
      <c r="E32" s="2" t="s">
        <v>7</v>
      </c>
      <c r="G32" s="20" t="s">
        <v>14</v>
      </c>
      <c r="H32" s="13"/>
      <c r="I32" s="24" t="s">
        <v>139</v>
      </c>
      <c r="J32" s="24" t="s">
        <v>140</v>
      </c>
    </row>
    <row r="33" spans="1:10" ht="16.5" customHeight="1" x14ac:dyDescent="0.55000000000000004">
      <c r="A33" s="2" t="s">
        <v>49</v>
      </c>
      <c r="B33" s="2" t="s">
        <v>37</v>
      </c>
      <c r="C33" s="2" t="s">
        <v>69</v>
      </c>
      <c r="D33" s="2" t="s">
        <v>9</v>
      </c>
      <c r="E33" s="2" t="s">
        <v>7</v>
      </c>
      <c r="G33" s="20" t="s">
        <v>14</v>
      </c>
      <c r="H33" s="13"/>
      <c r="I33" s="24"/>
      <c r="J33" s="24"/>
    </row>
    <row r="34" spans="1:10" ht="16.5" customHeight="1" x14ac:dyDescent="0.55000000000000004">
      <c r="A34" s="2" t="s">
        <v>49</v>
      </c>
      <c r="B34" s="2" t="s">
        <v>25</v>
      </c>
      <c r="C34" s="2" t="s">
        <v>70</v>
      </c>
      <c r="D34" s="2" t="s">
        <v>9</v>
      </c>
      <c r="E34" s="2" t="s">
        <v>7</v>
      </c>
      <c r="F34" s="1"/>
      <c r="G34" s="20" t="s">
        <v>14</v>
      </c>
      <c r="H34" s="13"/>
      <c r="I34" s="24"/>
      <c r="J34" s="24"/>
    </row>
    <row r="35" spans="1:10" ht="16.5" customHeight="1" x14ac:dyDescent="0.55000000000000004">
      <c r="A35" s="2" t="s">
        <v>71</v>
      </c>
      <c r="B35" s="2" t="s">
        <v>72</v>
      </c>
      <c r="C35" s="2" t="s">
        <v>73</v>
      </c>
      <c r="D35" s="2" t="s">
        <v>9</v>
      </c>
      <c r="E35" s="2" t="s">
        <v>7</v>
      </c>
      <c r="G35" s="20" t="s">
        <v>14</v>
      </c>
      <c r="H35" s="13"/>
      <c r="I35" s="24"/>
      <c r="J35" s="24"/>
    </row>
    <row r="36" spans="1:10" ht="16.5" customHeight="1" x14ac:dyDescent="0.55000000000000004">
      <c r="A36" s="2" t="s">
        <v>71</v>
      </c>
      <c r="B36" s="2" t="s">
        <v>72</v>
      </c>
      <c r="C36" s="2" t="s">
        <v>74</v>
      </c>
      <c r="D36" s="2" t="s">
        <v>6</v>
      </c>
      <c r="E36" s="2" t="s">
        <v>7</v>
      </c>
      <c r="G36" s="20" t="s">
        <v>14</v>
      </c>
      <c r="H36" s="13"/>
      <c r="I36" s="24"/>
      <c r="J36" s="24"/>
    </row>
    <row r="37" spans="1:10" ht="16.5" customHeight="1" x14ac:dyDescent="0.55000000000000004">
      <c r="A37" s="2" t="s">
        <v>71</v>
      </c>
      <c r="B37" s="2" t="s">
        <v>75</v>
      </c>
      <c r="C37" s="2" t="s">
        <v>76</v>
      </c>
      <c r="D37" s="2" t="s">
        <v>9</v>
      </c>
      <c r="E37" s="2" t="s">
        <v>7</v>
      </c>
      <c r="G37" s="20" t="s">
        <v>14</v>
      </c>
      <c r="H37" s="13"/>
      <c r="I37" s="24"/>
      <c r="J37" s="24"/>
    </row>
    <row r="38" spans="1:10" ht="16.5" customHeight="1" x14ac:dyDescent="0.55000000000000004">
      <c r="A38" s="2" t="s">
        <v>71</v>
      </c>
      <c r="B38" s="2" t="s">
        <v>75</v>
      </c>
      <c r="C38" s="2" t="s">
        <v>77</v>
      </c>
      <c r="D38" s="2" t="s">
        <v>9</v>
      </c>
      <c r="E38" s="2" t="s">
        <v>7</v>
      </c>
      <c r="G38" s="20" t="s">
        <v>14</v>
      </c>
      <c r="H38" s="13"/>
      <c r="I38" s="24"/>
      <c r="J38" s="24"/>
    </row>
    <row r="39" spans="1:10" ht="16.5" customHeight="1" x14ac:dyDescent="0.55000000000000004">
      <c r="A39" s="2" t="s">
        <v>71</v>
      </c>
      <c r="B39" s="2" t="s">
        <v>75</v>
      </c>
      <c r="C39" s="2" t="s">
        <v>78</v>
      </c>
      <c r="D39" s="2" t="s">
        <v>8</v>
      </c>
      <c r="E39" s="2" t="s">
        <v>7</v>
      </c>
      <c r="G39" s="20" t="s">
        <v>14</v>
      </c>
      <c r="H39" s="13"/>
      <c r="I39" s="24"/>
      <c r="J39" s="24"/>
    </row>
    <row r="40" spans="1:10" ht="16.5" customHeight="1" x14ac:dyDescent="0.55000000000000004">
      <c r="A40" s="2" t="s">
        <v>71</v>
      </c>
      <c r="B40" s="2" t="s">
        <v>75</v>
      </c>
      <c r="C40" s="2" t="s">
        <v>79</v>
      </c>
      <c r="D40" s="2" t="s">
        <v>9</v>
      </c>
      <c r="E40" s="2" t="s">
        <v>7</v>
      </c>
      <c r="G40" s="20" t="s">
        <v>14</v>
      </c>
      <c r="H40" s="13"/>
      <c r="I40" s="24"/>
      <c r="J40" s="24"/>
    </row>
    <row r="41" spans="1:10" ht="16.5" customHeight="1" x14ac:dyDescent="0.55000000000000004">
      <c r="A41" s="2" t="s">
        <v>71</v>
      </c>
      <c r="B41" s="2" t="s">
        <v>75</v>
      </c>
      <c r="C41" s="1" t="s">
        <v>80</v>
      </c>
      <c r="D41" s="2" t="s">
        <v>9</v>
      </c>
      <c r="E41" s="2" t="s">
        <v>7</v>
      </c>
      <c r="G41" s="20" t="s">
        <v>14</v>
      </c>
      <c r="H41" s="13"/>
      <c r="I41" s="24"/>
      <c r="J41" s="24"/>
    </row>
    <row r="42" spans="1:10" ht="16.5" customHeight="1" x14ac:dyDescent="0.55000000000000004">
      <c r="A42" s="2" t="s">
        <v>71</v>
      </c>
      <c r="B42" s="2" t="s">
        <v>75</v>
      </c>
      <c r="C42" s="2" t="s">
        <v>81</v>
      </c>
      <c r="D42" s="2" t="s">
        <v>9</v>
      </c>
      <c r="E42" s="2" t="s">
        <v>7</v>
      </c>
      <c r="G42" s="20" t="s">
        <v>14</v>
      </c>
      <c r="H42" s="13"/>
      <c r="I42" s="24"/>
      <c r="J42" s="24"/>
    </row>
    <row r="43" spans="1:10" ht="16.5" customHeight="1" x14ac:dyDescent="0.55000000000000004">
      <c r="A43" s="2" t="s">
        <v>71</v>
      </c>
      <c r="B43" s="2" t="s">
        <v>75</v>
      </c>
      <c r="C43" s="2" t="s">
        <v>82</v>
      </c>
      <c r="D43" s="2" t="s">
        <v>6</v>
      </c>
      <c r="E43" s="2" t="s">
        <v>7</v>
      </c>
      <c r="G43" s="20" t="s">
        <v>14</v>
      </c>
      <c r="H43" s="13"/>
      <c r="I43" s="24"/>
      <c r="J43" s="24"/>
    </row>
    <row r="44" spans="1:10" ht="16.5" customHeight="1" x14ac:dyDescent="0.55000000000000004">
      <c r="A44" s="2" t="s">
        <v>83</v>
      </c>
      <c r="B44" s="2" t="s">
        <v>61</v>
      </c>
      <c r="C44" s="2" t="s">
        <v>84</v>
      </c>
      <c r="D44" s="2" t="s">
        <v>8</v>
      </c>
      <c r="E44" s="2" t="s">
        <v>7</v>
      </c>
      <c r="G44" s="20" t="s">
        <v>14</v>
      </c>
      <c r="H44" s="13"/>
      <c r="I44" s="24"/>
      <c r="J44" s="24"/>
    </row>
    <row r="45" spans="1:10" ht="16.5" customHeight="1" x14ac:dyDescent="0.55000000000000004">
      <c r="A45" s="2" t="s">
        <v>85</v>
      </c>
      <c r="B45" s="2" t="s">
        <v>27</v>
      </c>
      <c r="C45" s="2" t="s">
        <v>86</v>
      </c>
      <c r="D45" s="2" t="s">
        <v>6</v>
      </c>
      <c r="E45" s="2" t="s">
        <v>7</v>
      </c>
      <c r="G45" s="20" t="s">
        <v>14</v>
      </c>
      <c r="H45" s="13"/>
      <c r="I45" s="24"/>
      <c r="J45" s="24"/>
    </row>
    <row r="46" spans="1:10" ht="16.5" customHeight="1" x14ac:dyDescent="0.55000000000000004">
      <c r="A46" s="2" t="s">
        <v>85</v>
      </c>
      <c r="B46" s="2" t="s">
        <v>27</v>
      </c>
      <c r="C46" s="2" t="s">
        <v>87</v>
      </c>
      <c r="D46" s="2" t="s">
        <v>6</v>
      </c>
      <c r="E46" s="2" t="s">
        <v>7</v>
      </c>
      <c r="G46" s="20" t="s">
        <v>14</v>
      </c>
      <c r="H46" s="13"/>
      <c r="I46" s="24"/>
      <c r="J46" s="24"/>
    </row>
    <row r="47" spans="1:10" ht="16.5" customHeight="1" x14ac:dyDescent="0.55000000000000004">
      <c r="A47" s="2" t="s">
        <v>85</v>
      </c>
      <c r="B47" s="2" t="s">
        <v>27</v>
      </c>
      <c r="C47" s="2" t="s">
        <v>88</v>
      </c>
      <c r="D47" s="2" t="s">
        <v>9</v>
      </c>
      <c r="E47" s="2" t="s">
        <v>7</v>
      </c>
      <c r="G47" s="20" t="s">
        <v>14</v>
      </c>
      <c r="H47" s="13"/>
      <c r="I47" s="24"/>
      <c r="J47" s="24"/>
    </row>
    <row r="48" spans="1:10" ht="16.5" customHeight="1" x14ac:dyDescent="0.55000000000000004">
      <c r="A48" s="2" t="s">
        <v>85</v>
      </c>
      <c r="B48" s="2" t="s">
        <v>27</v>
      </c>
      <c r="C48" s="2" t="s">
        <v>89</v>
      </c>
      <c r="D48" s="2" t="s">
        <v>9</v>
      </c>
      <c r="E48" s="2" t="s">
        <v>7</v>
      </c>
      <c r="G48" s="20" t="s">
        <v>14</v>
      </c>
      <c r="H48" s="13"/>
      <c r="I48" s="24"/>
      <c r="J48" s="24"/>
    </row>
    <row r="49" spans="1:10" ht="16.5" customHeight="1" x14ac:dyDescent="0.55000000000000004">
      <c r="A49" s="2" t="s">
        <v>85</v>
      </c>
      <c r="B49" s="2" t="s">
        <v>27</v>
      </c>
      <c r="C49" s="2" t="s">
        <v>90</v>
      </c>
      <c r="D49" s="2" t="s">
        <v>9</v>
      </c>
      <c r="E49" s="2" t="s">
        <v>7</v>
      </c>
      <c r="G49" s="20" t="s">
        <v>14</v>
      </c>
      <c r="H49" s="13"/>
      <c r="I49" s="24"/>
      <c r="J49" s="24"/>
    </row>
    <row r="50" spans="1:10" ht="16.5" customHeight="1" x14ac:dyDescent="0.55000000000000004">
      <c r="A50" s="2" t="s">
        <v>85</v>
      </c>
      <c r="B50" s="2" t="s">
        <v>75</v>
      </c>
      <c r="C50" s="2" t="s">
        <v>91</v>
      </c>
      <c r="D50" s="2" t="s">
        <v>8</v>
      </c>
      <c r="E50" s="2" t="s">
        <v>7</v>
      </c>
      <c r="G50" s="20" t="s">
        <v>14</v>
      </c>
      <c r="H50" s="13"/>
      <c r="I50" s="24"/>
      <c r="J50" s="24"/>
    </row>
    <row r="51" spans="1:10" ht="16.5" customHeight="1" x14ac:dyDescent="0.55000000000000004">
      <c r="A51" s="2" t="s">
        <v>85</v>
      </c>
      <c r="B51" s="2" t="s">
        <v>75</v>
      </c>
      <c r="C51" s="2" t="s">
        <v>92</v>
      </c>
      <c r="D51" s="2" t="s">
        <v>8</v>
      </c>
      <c r="E51" s="2" t="s">
        <v>7</v>
      </c>
      <c r="G51" s="20" t="s">
        <v>14</v>
      </c>
      <c r="H51" s="13"/>
      <c r="I51" s="24"/>
      <c r="J51" s="24"/>
    </row>
    <row r="52" spans="1:10" ht="16.5" customHeight="1" x14ac:dyDescent="0.55000000000000004">
      <c r="A52" s="2" t="s">
        <v>85</v>
      </c>
      <c r="B52" s="2" t="s">
        <v>24</v>
      </c>
      <c r="C52" s="2" t="s">
        <v>93</v>
      </c>
      <c r="D52" s="2" t="s">
        <v>6</v>
      </c>
      <c r="E52" s="2" t="s">
        <v>7</v>
      </c>
      <c r="G52" s="20" t="s">
        <v>14</v>
      </c>
      <c r="H52" s="13"/>
      <c r="I52" s="24"/>
      <c r="J52" s="24"/>
    </row>
    <row r="53" spans="1:10" ht="16.5" customHeight="1" x14ac:dyDescent="0.55000000000000004">
      <c r="A53" s="2" t="s">
        <v>85</v>
      </c>
      <c r="B53" s="2" t="s">
        <v>24</v>
      </c>
      <c r="C53" s="2" t="s">
        <v>94</v>
      </c>
      <c r="D53" s="2" t="s">
        <v>6</v>
      </c>
      <c r="E53" s="2" t="s">
        <v>7</v>
      </c>
      <c r="G53" s="20" t="s">
        <v>14</v>
      </c>
      <c r="H53" s="13"/>
      <c r="I53" s="24"/>
      <c r="J53" s="24"/>
    </row>
    <row r="54" spans="1:10" ht="16.5" customHeight="1" x14ac:dyDescent="0.55000000000000004">
      <c r="A54" s="2" t="s">
        <v>85</v>
      </c>
      <c r="B54" s="2" t="s">
        <v>95</v>
      </c>
      <c r="C54" s="2" t="s">
        <v>96</v>
      </c>
      <c r="D54" s="2" t="s">
        <v>6</v>
      </c>
      <c r="E54" s="2" t="s">
        <v>7</v>
      </c>
      <c r="G54" s="20" t="s">
        <v>14</v>
      </c>
      <c r="H54" s="13"/>
      <c r="I54" s="24"/>
      <c r="J54" s="24"/>
    </row>
    <row r="55" spans="1:10" ht="16.5" customHeight="1" x14ac:dyDescent="0.55000000000000004">
      <c r="A55" s="2" t="s">
        <v>85</v>
      </c>
      <c r="B55" s="2" t="s">
        <v>75</v>
      </c>
      <c r="C55" s="2" t="s">
        <v>97</v>
      </c>
      <c r="D55" s="2" t="s">
        <v>6</v>
      </c>
      <c r="E55" s="2" t="s">
        <v>7</v>
      </c>
      <c r="G55" s="20" t="s">
        <v>14</v>
      </c>
      <c r="H55" s="13"/>
      <c r="I55" s="24"/>
      <c r="J55" s="24"/>
    </row>
    <row r="56" spans="1:10" ht="16.5" customHeight="1" x14ac:dyDescent="0.55000000000000004">
      <c r="A56" s="2" t="s">
        <v>85</v>
      </c>
      <c r="B56" s="2" t="s">
        <v>75</v>
      </c>
      <c r="C56" s="1" t="s">
        <v>98</v>
      </c>
      <c r="D56" s="2" t="s">
        <v>6</v>
      </c>
      <c r="E56" s="2" t="s">
        <v>7</v>
      </c>
      <c r="G56" s="20" t="s">
        <v>14</v>
      </c>
      <c r="H56" s="13"/>
      <c r="I56" s="24"/>
      <c r="J56" s="24"/>
    </row>
    <row r="57" spans="1:10" ht="16.5" customHeight="1" x14ac:dyDescent="0.55000000000000004">
      <c r="A57" s="2" t="s">
        <v>85</v>
      </c>
      <c r="B57" s="2" t="s">
        <v>75</v>
      </c>
      <c r="C57" s="1" t="s">
        <v>99</v>
      </c>
      <c r="D57" s="2" t="s">
        <v>8</v>
      </c>
      <c r="E57" s="2" t="s">
        <v>7</v>
      </c>
      <c r="G57" s="20" t="s">
        <v>14</v>
      </c>
      <c r="H57" s="13"/>
      <c r="I57" s="24"/>
      <c r="J57" s="24"/>
    </row>
    <row r="58" spans="1:10" ht="16.5" customHeight="1" x14ac:dyDescent="0.55000000000000004">
      <c r="A58" s="2" t="s">
        <v>85</v>
      </c>
      <c r="B58" s="2" t="s">
        <v>61</v>
      </c>
      <c r="C58" s="2" t="s">
        <v>100</v>
      </c>
      <c r="D58" s="2" t="s">
        <v>8</v>
      </c>
      <c r="E58" s="2" t="s">
        <v>7</v>
      </c>
      <c r="G58" s="20" t="s">
        <v>14</v>
      </c>
      <c r="H58" s="13"/>
      <c r="I58" s="24"/>
      <c r="J58" s="24"/>
    </row>
    <row r="59" spans="1:10" ht="16.5" customHeight="1" x14ac:dyDescent="0.55000000000000004">
      <c r="A59" s="2" t="s">
        <v>85</v>
      </c>
      <c r="B59" s="2" t="s">
        <v>61</v>
      </c>
      <c r="C59" s="1" t="s">
        <v>101</v>
      </c>
      <c r="D59" s="2" t="s">
        <v>8</v>
      </c>
      <c r="E59" s="2" t="s">
        <v>7</v>
      </c>
      <c r="G59" s="20" t="s">
        <v>14</v>
      </c>
      <c r="H59" s="13"/>
      <c r="I59" s="24"/>
      <c r="J59" s="24"/>
    </row>
    <row r="60" spans="1:10" ht="16.5" customHeight="1" x14ac:dyDescent="0.55000000000000004">
      <c r="A60" s="2" t="s">
        <v>85</v>
      </c>
      <c r="B60" s="2" t="s">
        <v>61</v>
      </c>
      <c r="C60" s="2" t="s">
        <v>102</v>
      </c>
      <c r="D60" s="2" t="s">
        <v>8</v>
      </c>
      <c r="E60" s="2" t="s">
        <v>7</v>
      </c>
      <c r="G60" s="20" t="s">
        <v>14</v>
      </c>
      <c r="H60" s="13"/>
      <c r="I60" s="24"/>
      <c r="J60" s="24"/>
    </row>
    <row r="61" spans="1:10" ht="16.5" customHeight="1" x14ac:dyDescent="0.55000000000000004">
      <c r="A61" s="2" t="s">
        <v>85</v>
      </c>
      <c r="B61" s="2" t="s">
        <v>75</v>
      </c>
      <c r="C61" s="2" t="s">
        <v>103</v>
      </c>
      <c r="D61" s="2" t="s">
        <v>6</v>
      </c>
      <c r="E61" s="2" t="s">
        <v>7</v>
      </c>
      <c r="G61" s="20" t="s">
        <v>14</v>
      </c>
      <c r="H61" s="13"/>
      <c r="I61" s="24"/>
      <c r="J61" s="24"/>
    </row>
    <row r="62" spans="1:10" ht="16.5" customHeight="1" x14ac:dyDescent="0.55000000000000004">
      <c r="A62" s="2" t="s">
        <v>85</v>
      </c>
      <c r="B62" s="2" t="s">
        <v>75</v>
      </c>
      <c r="C62" s="2" t="s">
        <v>104</v>
      </c>
      <c r="D62" s="2" t="s">
        <v>8</v>
      </c>
      <c r="E62" s="2" t="s">
        <v>7</v>
      </c>
      <c r="G62" s="20" t="s">
        <v>14</v>
      </c>
      <c r="H62" s="13"/>
      <c r="I62" s="24"/>
      <c r="J62" s="24"/>
    </row>
    <row r="63" spans="1:10" ht="16.5" customHeight="1" x14ac:dyDescent="0.55000000000000004">
      <c r="A63" s="2" t="s">
        <v>85</v>
      </c>
      <c r="B63" s="2" t="s">
        <v>75</v>
      </c>
      <c r="C63" s="2" t="s">
        <v>105</v>
      </c>
      <c r="D63" s="2" t="s">
        <v>9</v>
      </c>
      <c r="E63" s="2" t="s">
        <v>7</v>
      </c>
      <c r="G63" s="20" t="s">
        <v>14</v>
      </c>
      <c r="H63" s="13"/>
      <c r="I63" s="24"/>
      <c r="J63" s="24"/>
    </row>
    <row r="64" spans="1:10" ht="16.5" customHeight="1" x14ac:dyDescent="0.55000000000000004">
      <c r="A64" s="2" t="s">
        <v>85</v>
      </c>
      <c r="B64" s="2" t="s">
        <v>75</v>
      </c>
      <c r="C64" s="2" t="s">
        <v>106</v>
      </c>
      <c r="D64" s="2" t="s">
        <v>8</v>
      </c>
      <c r="E64" s="2" t="s">
        <v>7</v>
      </c>
      <c r="F64" s="1"/>
      <c r="G64" s="20" t="s">
        <v>14</v>
      </c>
      <c r="H64" s="13"/>
      <c r="I64" s="24"/>
      <c r="J64" s="24"/>
    </row>
    <row r="65" spans="1:10" ht="16.5" customHeight="1" x14ac:dyDescent="0.55000000000000004">
      <c r="A65" s="2" t="s">
        <v>85</v>
      </c>
      <c r="B65" s="2" t="s">
        <v>75</v>
      </c>
      <c r="C65" s="1" t="s">
        <v>107</v>
      </c>
      <c r="D65" s="2" t="s">
        <v>8</v>
      </c>
      <c r="E65" s="2" t="s">
        <v>7</v>
      </c>
      <c r="G65" s="20" t="s">
        <v>14</v>
      </c>
      <c r="H65" s="13"/>
      <c r="I65" s="24"/>
      <c r="J65" s="24"/>
    </row>
    <row r="66" spans="1:10" ht="16.5" customHeight="1" x14ac:dyDescent="0.55000000000000004">
      <c r="A66" s="2" t="s">
        <v>85</v>
      </c>
      <c r="B66" s="2" t="s">
        <v>24</v>
      </c>
      <c r="C66" s="2" t="s">
        <v>108</v>
      </c>
      <c r="D66" s="2" t="s">
        <v>9</v>
      </c>
      <c r="E66" s="2" t="s">
        <v>7</v>
      </c>
      <c r="G66" s="20" t="s">
        <v>14</v>
      </c>
      <c r="H66" s="13"/>
      <c r="I66" s="24"/>
      <c r="J66" s="24"/>
    </row>
    <row r="67" spans="1:10" ht="16.5" customHeight="1" x14ac:dyDescent="0.55000000000000004">
      <c r="A67" s="2" t="s">
        <v>85</v>
      </c>
      <c r="B67" s="2" t="s">
        <v>24</v>
      </c>
      <c r="C67" s="2" t="s">
        <v>109</v>
      </c>
      <c r="D67" s="2" t="s">
        <v>9</v>
      </c>
      <c r="E67" s="2" t="s">
        <v>7</v>
      </c>
      <c r="G67" s="20" t="s">
        <v>14</v>
      </c>
      <c r="H67" s="13"/>
      <c r="I67" s="24"/>
      <c r="J67" s="24"/>
    </row>
    <row r="68" spans="1:10" ht="16.5" customHeight="1" x14ac:dyDescent="0.55000000000000004">
      <c r="A68" s="2" t="s">
        <v>85</v>
      </c>
      <c r="B68" s="2" t="s">
        <v>24</v>
      </c>
      <c r="C68" s="2" t="s">
        <v>110</v>
      </c>
      <c r="D68" s="2" t="s">
        <v>9</v>
      </c>
      <c r="E68" s="2" t="s">
        <v>7</v>
      </c>
      <c r="G68" s="20" t="s">
        <v>14</v>
      </c>
      <c r="H68" s="13"/>
      <c r="I68" s="24"/>
      <c r="J68" s="24"/>
    </row>
    <row r="69" spans="1:10" ht="16.5" customHeight="1" x14ac:dyDescent="0.55000000000000004">
      <c r="A69" s="2" t="s">
        <v>85</v>
      </c>
      <c r="B69" s="2" t="s">
        <v>24</v>
      </c>
      <c r="C69" s="2" t="s">
        <v>111</v>
      </c>
      <c r="D69" s="2" t="s">
        <v>9</v>
      </c>
      <c r="E69" s="2" t="s">
        <v>7</v>
      </c>
      <c r="G69" s="20" t="s">
        <v>14</v>
      </c>
      <c r="H69" s="13"/>
      <c r="I69" s="24"/>
      <c r="J69" s="24"/>
    </row>
    <row r="70" spans="1:10" ht="16.5" customHeight="1" x14ac:dyDescent="0.55000000000000004">
      <c r="A70" s="2" t="s">
        <v>85</v>
      </c>
      <c r="B70" s="2" t="s">
        <v>75</v>
      </c>
      <c r="C70" s="2" t="s">
        <v>112</v>
      </c>
      <c r="D70" s="2" t="s">
        <v>8</v>
      </c>
      <c r="E70" s="2" t="s">
        <v>7</v>
      </c>
      <c r="G70" s="20" t="s">
        <v>14</v>
      </c>
      <c r="H70" s="13"/>
      <c r="I70" s="24"/>
      <c r="J70" s="24"/>
    </row>
    <row r="71" spans="1:10" ht="16.5" customHeight="1" x14ac:dyDescent="0.55000000000000004">
      <c r="A71" s="2" t="s">
        <v>85</v>
      </c>
      <c r="B71" s="2" t="s">
        <v>57</v>
      </c>
      <c r="C71" s="2" t="s">
        <v>113</v>
      </c>
      <c r="D71" s="2" t="s">
        <v>9</v>
      </c>
      <c r="E71" s="2" t="s">
        <v>7</v>
      </c>
      <c r="G71" s="20" t="s">
        <v>14</v>
      </c>
      <c r="H71" s="13"/>
      <c r="I71" s="24"/>
      <c r="J71" s="24"/>
    </row>
    <row r="72" spans="1:10" ht="16.5" customHeight="1" x14ac:dyDescent="0.55000000000000004">
      <c r="A72" s="2" t="s">
        <v>85</v>
      </c>
      <c r="B72" s="2" t="s">
        <v>57</v>
      </c>
      <c r="C72" s="2" t="s">
        <v>114</v>
      </c>
      <c r="D72" s="2" t="s">
        <v>9</v>
      </c>
      <c r="E72" s="2" t="s">
        <v>7</v>
      </c>
      <c r="G72" s="20" t="s">
        <v>14</v>
      </c>
      <c r="H72" s="13"/>
      <c r="I72" s="24"/>
      <c r="J72" s="24"/>
    </row>
    <row r="73" spans="1:10" ht="16.5" customHeight="1" x14ac:dyDescent="0.55000000000000004">
      <c r="A73" s="2" t="s">
        <v>85</v>
      </c>
      <c r="B73" s="2" t="s">
        <v>57</v>
      </c>
      <c r="C73" s="2" t="s">
        <v>115</v>
      </c>
      <c r="D73" s="2" t="s">
        <v>6</v>
      </c>
      <c r="E73" s="2" t="s">
        <v>7</v>
      </c>
      <c r="G73" s="20" t="s">
        <v>14</v>
      </c>
      <c r="H73" s="13"/>
      <c r="I73" s="24"/>
      <c r="J73" s="24"/>
    </row>
    <row r="74" spans="1:10" ht="16.5" customHeight="1" x14ac:dyDescent="0.55000000000000004">
      <c r="A74" s="2" t="s">
        <v>85</v>
      </c>
      <c r="B74" s="2" t="s">
        <v>116</v>
      </c>
      <c r="C74" s="2" t="s">
        <v>117</v>
      </c>
      <c r="D74" s="2" t="s">
        <v>6</v>
      </c>
      <c r="E74" s="2" t="s">
        <v>7</v>
      </c>
      <c r="G74" s="20" t="s">
        <v>14</v>
      </c>
      <c r="H74" s="13"/>
      <c r="I74" s="24"/>
      <c r="J74" s="24"/>
    </row>
    <row r="75" spans="1:10" ht="16.5" customHeight="1" x14ac:dyDescent="0.55000000000000004">
      <c r="A75" s="2" t="s">
        <v>85</v>
      </c>
      <c r="B75" s="2" t="s">
        <v>116</v>
      </c>
      <c r="C75" s="2" t="s">
        <v>118</v>
      </c>
      <c r="D75" s="2" t="s">
        <v>9</v>
      </c>
      <c r="E75" s="2" t="s">
        <v>7</v>
      </c>
      <c r="F75" s="1"/>
      <c r="G75" s="20" t="s">
        <v>14</v>
      </c>
      <c r="H75" s="13"/>
      <c r="I75" s="24"/>
      <c r="J75" s="24"/>
    </row>
    <row r="76" spans="1:10" ht="16.5" customHeight="1" x14ac:dyDescent="0.55000000000000004">
      <c r="A76" s="2" t="s">
        <v>85</v>
      </c>
      <c r="B76" s="2" t="s">
        <v>116</v>
      </c>
      <c r="C76" s="2" t="s">
        <v>119</v>
      </c>
      <c r="D76" s="2" t="s">
        <v>6</v>
      </c>
      <c r="E76" s="2" t="s">
        <v>7</v>
      </c>
      <c r="G76" s="20" t="s">
        <v>14</v>
      </c>
      <c r="H76" s="13"/>
      <c r="I76" s="24"/>
      <c r="J76" s="24"/>
    </row>
    <row r="77" spans="1:10" ht="16.5" customHeight="1" x14ac:dyDescent="0.55000000000000004">
      <c r="A77" s="2" t="s">
        <v>120</v>
      </c>
      <c r="B77" s="2" t="s">
        <v>121</v>
      </c>
      <c r="C77" s="2" t="s">
        <v>122</v>
      </c>
      <c r="D77" s="2" t="s">
        <v>9</v>
      </c>
      <c r="E77" s="2" t="s">
        <v>7</v>
      </c>
      <c r="G77" s="20" t="s">
        <v>14</v>
      </c>
      <c r="H77" s="13"/>
      <c r="I77" s="24"/>
      <c r="J77" s="24"/>
    </row>
    <row r="78" spans="1:10" ht="16.5" customHeight="1" x14ac:dyDescent="0.55000000000000004">
      <c r="A78" s="2" t="s">
        <v>120</v>
      </c>
      <c r="B78" s="2" t="s">
        <v>123</v>
      </c>
      <c r="C78" s="2" t="s">
        <v>124</v>
      </c>
      <c r="D78" s="2" t="s">
        <v>9</v>
      </c>
      <c r="E78" s="2" t="s">
        <v>7</v>
      </c>
      <c r="G78" s="20" t="s">
        <v>14</v>
      </c>
      <c r="H78" s="13"/>
      <c r="I78" s="24"/>
      <c r="J78" s="24"/>
    </row>
    <row r="79" spans="1:10" ht="16.5" customHeight="1" x14ac:dyDescent="0.55000000000000004">
      <c r="A79" s="2" t="s">
        <v>120</v>
      </c>
      <c r="B79" s="2" t="s">
        <v>123</v>
      </c>
      <c r="C79" s="2" t="s">
        <v>125</v>
      </c>
      <c r="D79" s="2" t="s">
        <v>8</v>
      </c>
      <c r="E79" s="2" t="s">
        <v>7</v>
      </c>
      <c r="G79" s="20" t="s">
        <v>14</v>
      </c>
      <c r="H79" s="13"/>
      <c r="I79" s="24"/>
      <c r="J79" s="24"/>
    </row>
    <row r="80" spans="1:10" ht="16.5" customHeight="1" x14ac:dyDescent="0.55000000000000004">
      <c r="A80" s="2" t="s">
        <v>120</v>
      </c>
      <c r="B80" s="2" t="s">
        <v>123</v>
      </c>
      <c r="C80" s="2" t="s">
        <v>126</v>
      </c>
      <c r="D80" s="2" t="s">
        <v>8</v>
      </c>
      <c r="E80" s="2" t="s">
        <v>7</v>
      </c>
      <c r="G80" s="20" t="s">
        <v>14</v>
      </c>
      <c r="H80" s="13"/>
      <c r="I80" s="24"/>
      <c r="J80" s="24"/>
    </row>
    <row r="81" spans="1:10" ht="16.5" customHeight="1" x14ac:dyDescent="0.55000000000000004">
      <c r="A81" s="2"/>
      <c r="B81" s="2"/>
      <c r="C81" s="1"/>
      <c r="G81" s="20"/>
      <c r="H81" s="13"/>
      <c r="I81" s="24"/>
      <c r="J81" s="24"/>
    </row>
    <row r="82" spans="1:10" ht="16.5" customHeight="1" x14ac:dyDescent="0.55000000000000004">
      <c r="A82" s="2"/>
      <c r="B82" s="2"/>
      <c r="G82" s="13"/>
      <c r="H82" s="13"/>
      <c r="I82" s="24"/>
      <c r="J82" s="24"/>
    </row>
    <row r="83" spans="1:10" ht="16.5" customHeight="1" x14ac:dyDescent="0.55000000000000004">
      <c r="A83" s="2"/>
      <c r="B83" s="2"/>
      <c r="G83" s="13"/>
      <c r="H83" s="13"/>
      <c r="I83" s="24"/>
      <c r="J83" s="24"/>
    </row>
    <row r="84" spans="1:10" ht="16.5" customHeight="1" x14ac:dyDescent="0.55000000000000004">
      <c r="A84" s="2"/>
      <c r="B84" s="2"/>
      <c r="G84" s="13"/>
      <c r="H84" s="13"/>
      <c r="I84" s="24"/>
      <c r="J84" s="24"/>
    </row>
    <row r="85" spans="1:10" ht="16.5" customHeight="1" x14ac:dyDescent="0.55000000000000004">
      <c r="A85" s="2"/>
      <c r="B85" s="2"/>
      <c r="C85" s="1"/>
      <c r="G85" s="13"/>
      <c r="H85" s="13"/>
      <c r="I85" s="24"/>
      <c r="J85" s="24"/>
    </row>
    <row r="86" spans="1:10" ht="16.5" customHeight="1" x14ac:dyDescent="0.55000000000000004">
      <c r="A86" s="2"/>
      <c r="B86" s="2"/>
      <c r="G86" s="13"/>
      <c r="H86" s="13"/>
      <c r="I86" s="24"/>
      <c r="J86" s="24"/>
    </row>
    <row r="87" spans="1:10" ht="16.5" customHeight="1" x14ac:dyDescent="0.55000000000000004">
      <c r="A87" s="2"/>
      <c r="B87" s="2"/>
      <c r="C87" s="1"/>
      <c r="G87" s="13"/>
      <c r="H87" s="13"/>
      <c r="I87" s="24"/>
      <c r="J87" s="24"/>
    </row>
    <row r="88" spans="1:10" ht="16.5" customHeight="1" x14ac:dyDescent="0.55000000000000004">
      <c r="A88"/>
      <c r="B88" s="2"/>
      <c r="G88" s="13"/>
      <c r="H88" s="13"/>
      <c r="I88" s="24"/>
      <c r="J88" s="24"/>
    </row>
    <row r="89" spans="1:10" ht="16.5" customHeight="1" x14ac:dyDescent="0.55000000000000004">
      <c r="A89"/>
      <c r="B89" s="2"/>
      <c r="G89" s="13"/>
      <c r="H89" s="13"/>
      <c r="I89" s="24"/>
      <c r="J89" s="24"/>
    </row>
    <row r="90" spans="1:10" ht="16.5" customHeight="1" x14ac:dyDescent="0.55000000000000004">
      <c r="A90"/>
      <c r="B90" s="2"/>
      <c r="G90" s="13"/>
      <c r="H90" s="13"/>
      <c r="I90" s="24"/>
      <c r="J90" s="24"/>
    </row>
    <row r="91" spans="1:10" ht="16.5" customHeight="1" x14ac:dyDescent="0.55000000000000004">
      <c r="A91"/>
      <c r="B91" s="2"/>
      <c r="G91" s="13"/>
      <c r="H91" s="13"/>
      <c r="I91" s="24"/>
      <c r="J91" s="24"/>
    </row>
    <row r="92" spans="1:10" ht="15.75" customHeight="1" x14ac:dyDescent="0.55000000000000004">
      <c r="A92"/>
      <c r="B92" s="2"/>
      <c r="C92" s="1"/>
      <c r="G92" s="13"/>
      <c r="H92" s="13"/>
      <c r="I92" s="24"/>
      <c r="J92" s="24"/>
    </row>
    <row r="93" spans="1:10" ht="16.5" customHeight="1" x14ac:dyDescent="0.55000000000000004">
      <c r="A93"/>
      <c r="B93" s="2"/>
      <c r="G93" s="13"/>
      <c r="H93" s="13"/>
      <c r="I93" s="24"/>
      <c r="J93" s="24"/>
    </row>
    <row r="94" spans="1:10" ht="16.5" customHeight="1" x14ac:dyDescent="0.55000000000000004">
      <c r="A94"/>
      <c r="B94" s="2"/>
      <c r="G94" s="13"/>
      <c r="H94" s="13"/>
      <c r="I94" s="24"/>
      <c r="J94" s="24"/>
    </row>
    <row r="95" spans="1:10" ht="16.5" customHeight="1" x14ac:dyDescent="0.55000000000000004">
      <c r="A95"/>
      <c r="B95" s="2"/>
      <c r="G95" s="13"/>
      <c r="H95" s="13"/>
      <c r="I95" s="24"/>
      <c r="J95" s="24"/>
    </row>
    <row r="96" spans="1:10" ht="16.5" customHeight="1" x14ac:dyDescent="0.55000000000000004">
      <c r="A96"/>
      <c r="B96" s="2"/>
      <c r="G96" s="13"/>
      <c r="H96" s="13"/>
      <c r="I96" s="24"/>
      <c r="J96" s="24"/>
    </row>
    <row r="97" spans="1:10" ht="16.5" customHeight="1" x14ac:dyDescent="0.55000000000000004">
      <c r="A97"/>
      <c r="B97" s="2"/>
      <c r="G97" s="13"/>
      <c r="H97" s="13"/>
      <c r="I97" s="24"/>
      <c r="J97" s="24"/>
    </row>
    <row r="98" spans="1:10" ht="16.5" customHeight="1" x14ac:dyDescent="0.55000000000000004">
      <c r="A98"/>
      <c r="B98" s="2"/>
      <c r="G98" s="13"/>
      <c r="H98" s="13"/>
      <c r="I98" s="24"/>
      <c r="J98" s="24"/>
    </row>
    <row r="99" spans="1:10" ht="16.5" customHeight="1" x14ac:dyDescent="0.55000000000000004">
      <c r="A99" s="2"/>
      <c r="B99" s="2"/>
      <c r="G99" s="13"/>
      <c r="H99" s="13"/>
      <c r="I99" s="24"/>
      <c r="J99" s="24"/>
    </row>
    <row r="100" spans="1:10" ht="16.5" customHeight="1" x14ac:dyDescent="0.55000000000000004">
      <c r="A100" s="2"/>
      <c r="B100" s="2"/>
      <c r="G100" s="13"/>
      <c r="H100" s="13"/>
      <c r="I100" s="24"/>
      <c r="J100" s="24"/>
    </row>
    <row r="101" spans="1:10" ht="16.5" customHeight="1" x14ac:dyDescent="0.55000000000000004">
      <c r="A101" s="2"/>
      <c r="B101" s="2"/>
      <c r="G101" s="13"/>
      <c r="H101" s="13"/>
      <c r="I101" s="24"/>
      <c r="J101" s="24"/>
    </row>
    <row r="102" spans="1:10" ht="16.5" customHeight="1" x14ac:dyDescent="0.55000000000000004">
      <c r="A102" s="2"/>
      <c r="B102" s="2"/>
      <c r="G102" s="13"/>
      <c r="H102" s="13"/>
      <c r="I102" s="24"/>
      <c r="J102" s="24"/>
    </row>
    <row r="103" spans="1:10" ht="16.5" customHeight="1" x14ac:dyDescent="0.55000000000000004">
      <c r="A103" s="2"/>
      <c r="B103" s="2"/>
      <c r="G103" s="13"/>
      <c r="H103" s="13"/>
      <c r="I103" s="24"/>
      <c r="J103" s="24"/>
    </row>
    <row r="104" spans="1:10" ht="16.5" customHeight="1" x14ac:dyDescent="0.55000000000000004">
      <c r="A104" s="2"/>
      <c r="B104" s="2"/>
      <c r="G104" s="13"/>
      <c r="H104" s="13"/>
      <c r="I104" s="24"/>
      <c r="J104" s="24"/>
    </row>
    <row r="105" spans="1:10" ht="16.5" customHeight="1" x14ac:dyDescent="0.55000000000000004">
      <c r="A105" s="2"/>
      <c r="B105" s="2"/>
      <c r="G105" s="13"/>
      <c r="H105" s="13"/>
      <c r="I105" s="24"/>
      <c r="J105" s="24"/>
    </row>
    <row r="106" spans="1:10" ht="16.5" customHeight="1" x14ac:dyDescent="0.55000000000000004">
      <c r="A106" s="2"/>
      <c r="B106" s="2"/>
      <c r="G106" s="13"/>
      <c r="H106" s="13"/>
      <c r="I106" s="24"/>
      <c r="J106" s="24"/>
    </row>
    <row r="107" spans="1:10" ht="16.5" customHeight="1" x14ac:dyDescent="0.55000000000000004">
      <c r="A107" s="2"/>
      <c r="B107" s="2"/>
      <c r="F107" s="1"/>
      <c r="G107" s="13"/>
      <c r="H107" s="13"/>
      <c r="I107" s="24"/>
      <c r="J107" s="24"/>
    </row>
    <row r="108" spans="1:10" ht="16.5" customHeight="1" x14ac:dyDescent="0.55000000000000004">
      <c r="A108" s="2"/>
      <c r="B108" s="2"/>
      <c r="G108" s="13"/>
      <c r="H108" s="13"/>
      <c r="I108" s="24"/>
      <c r="J108" s="24"/>
    </row>
    <row r="109" spans="1:10" ht="16.5" customHeight="1" x14ac:dyDescent="0.55000000000000004">
      <c r="A109" s="2"/>
      <c r="B109" s="2"/>
      <c r="G109" s="13"/>
      <c r="H109" s="13"/>
      <c r="I109" s="24"/>
      <c r="J109" s="24"/>
    </row>
    <row r="110" spans="1:10" ht="16.5" customHeight="1" x14ac:dyDescent="0.55000000000000004">
      <c r="A110" s="2"/>
      <c r="B110" s="2"/>
      <c r="G110" s="13"/>
      <c r="H110" s="13"/>
      <c r="I110" s="24"/>
      <c r="J110" s="24"/>
    </row>
    <row r="111" spans="1:10" ht="16.5" customHeight="1" x14ac:dyDescent="0.55000000000000004">
      <c r="B111" s="2"/>
      <c r="G111" s="13"/>
      <c r="H111" s="13"/>
      <c r="I111" s="24"/>
      <c r="J111" s="24"/>
    </row>
    <row r="112" spans="1:10" ht="16.5" customHeight="1" x14ac:dyDescent="0.55000000000000004">
      <c r="B112" s="2"/>
      <c r="G112" s="13"/>
      <c r="H112" s="13"/>
      <c r="I112" s="24"/>
      <c r="J112" s="24"/>
    </row>
    <row r="113" spans="2:10" ht="16.5" customHeight="1" x14ac:dyDescent="0.55000000000000004">
      <c r="B113" s="2"/>
      <c r="G113" s="13"/>
      <c r="H113" s="13"/>
      <c r="I113" s="24"/>
      <c r="J113" s="24"/>
    </row>
    <row r="114" spans="2:10" ht="16.5" customHeight="1" x14ac:dyDescent="0.55000000000000004">
      <c r="B114" s="2"/>
      <c r="F114" s="1"/>
      <c r="G114" s="13"/>
      <c r="H114" s="13"/>
      <c r="I114" s="24"/>
      <c r="J114" s="24"/>
    </row>
    <row r="115" spans="2:10" ht="16.5" customHeight="1" x14ac:dyDescent="0.55000000000000004">
      <c r="B115" s="2"/>
      <c r="G115" s="13"/>
      <c r="H115" s="13"/>
      <c r="I115" s="24"/>
      <c r="J115" s="24"/>
    </row>
    <row r="116" spans="2:10" ht="16.5" customHeight="1" x14ac:dyDescent="0.55000000000000004">
      <c r="B116" s="2"/>
      <c r="G116" s="13"/>
      <c r="H116" s="13"/>
      <c r="I116" s="24"/>
      <c r="J116" s="24"/>
    </row>
    <row r="117" spans="2:10" ht="16.5" customHeight="1" x14ac:dyDescent="0.55000000000000004">
      <c r="B117" s="2"/>
      <c r="F117" s="1"/>
      <c r="G117" s="13"/>
      <c r="H117" s="13"/>
      <c r="I117" s="24"/>
      <c r="J117" s="24"/>
    </row>
    <row r="118" spans="2:10" ht="16.5" customHeight="1" x14ac:dyDescent="0.55000000000000004">
      <c r="B118" s="2"/>
      <c r="G118" s="13"/>
      <c r="H118" s="13"/>
      <c r="I118" s="24"/>
      <c r="J118" s="24"/>
    </row>
    <row r="119" spans="2:10" ht="16.5" customHeight="1" x14ac:dyDescent="0.55000000000000004">
      <c r="B119" s="2"/>
      <c r="G119" s="13"/>
      <c r="H119" s="13"/>
      <c r="I119" s="24"/>
      <c r="J119" s="24"/>
    </row>
    <row r="120" spans="2:10" ht="16.5" customHeight="1" x14ac:dyDescent="0.55000000000000004">
      <c r="B120" s="2"/>
      <c r="F120" s="1"/>
      <c r="G120" s="13"/>
      <c r="H120" s="13"/>
      <c r="I120" s="24"/>
      <c r="J120" s="24"/>
    </row>
    <row r="121" spans="2:10" ht="16.5" customHeight="1" x14ac:dyDescent="0.55000000000000004">
      <c r="B121" s="2"/>
      <c r="G121" s="13"/>
      <c r="H121" s="13"/>
      <c r="I121" s="24"/>
      <c r="J121" s="24"/>
    </row>
    <row r="122" spans="2:10" ht="16.5" customHeight="1" x14ac:dyDescent="0.55000000000000004">
      <c r="B122" s="2"/>
      <c r="G122" s="13"/>
      <c r="H122" s="13"/>
      <c r="I122" s="24"/>
      <c r="J122" s="24"/>
    </row>
    <row r="123" spans="2:10" ht="16.5" customHeight="1" x14ac:dyDescent="0.55000000000000004">
      <c r="B123" s="2"/>
      <c r="G123" s="13"/>
      <c r="H123" s="13"/>
      <c r="I123" s="24"/>
      <c r="J123" s="24"/>
    </row>
    <row r="124" spans="2:10" ht="16.5" customHeight="1" x14ac:dyDescent="0.55000000000000004">
      <c r="B124" s="2"/>
      <c r="F124" s="1"/>
      <c r="G124" s="13"/>
      <c r="H124" s="13"/>
      <c r="I124" s="24"/>
      <c r="J124" s="24"/>
    </row>
    <row r="125" spans="2:10" ht="16.5" customHeight="1" x14ac:dyDescent="0.55000000000000004">
      <c r="B125" s="2"/>
      <c r="F125" s="1"/>
      <c r="G125" s="13"/>
      <c r="H125" s="13"/>
      <c r="I125" s="24"/>
      <c r="J125" s="24"/>
    </row>
    <row r="126" spans="2:10" ht="16.5" customHeight="1" x14ac:dyDescent="0.55000000000000004">
      <c r="B126" s="2"/>
      <c r="F126" s="1"/>
      <c r="G126" s="13"/>
      <c r="H126" s="13"/>
      <c r="I126" s="24"/>
      <c r="J126" s="24"/>
    </row>
    <row r="127" spans="2:10" ht="16.5" customHeight="1" x14ac:dyDescent="0.55000000000000004">
      <c r="B127" s="2"/>
      <c r="F127" s="1"/>
      <c r="G127" s="13"/>
      <c r="H127" s="13"/>
      <c r="I127" s="24"/>
      <c r="J127" s="24"/>
    </row>
    <row r="128" spans="2:10" ht="16.5" customHeight="1" x14ac:dyDescent="0.55000000000000004">
      <c r="B128" s="2"/>
      <c r="G128" s="13"/>
      <c r="H128" s="13"/>
      <c r="I128" s="24"/>
      <c r="J128" s="24"/>
    </row>
    <row r="129" spans="2:10" ht="16.5" customHeight="1" x14ac:dyDescent="0.55000000000000004">
      <c r="B129" s="2"/>
      <c r="F129" s="1"/>
      <c r="G129" s="13"/>
      <c r="H129" s="13"/>
      <c r="I129" s="24"/>
      <c r="J129" s="24"/>
    </row>
    <row r="130" spans="2:10" ht="16.5" customHeight="1" x14ac:dyDescent="0.55000000000000004">
      <c r="B130" s="2"/>
      <c r="F130" s="1"/>
      <c r="G130" s="13"/>
      <c r="H130" s="13"/>
      <c r="I130" s="24"/>
      <c r="J130" s="24"/>
    </row>
    <row r="131" spans="2:10" ht="16.5" customHeight="1" x14ac:dyDescent="0.55000000000000004">
      <c r="B131" s="2"/>
      <c r="F131" s="1"/>
      <c r="G131" s="13"/>
      <c r="H131" s="13"/>
      <c r="I131" s="24"/>
      <c r="J131" s="24"/>
    </row>
    <row r="132" spans="2:10" ht="16.5" customHeight="1" x14ac:dyDescent="0.55000000000000004">
      <c r="B132" s="2"/>
      <c r="F132" s="1"/>
      <c r="G132" s="13"/>
      <c r="H132" s="13"/>
      <c r="I132" s="24"/>
      <c r="J132" s="24"/>
    </row>
    <row r="133" spans="2:10" ht="16.5" customHeight="1" x14ac:dyDescent="0.55000000000000004">
      <c r="B133" s="2"/>
      <c r="G133" s="13"/>
      <c r="H133" s="13"/>
      <c r="I133" s="24"/>
      <c r="J133" s="24"/>
    </row>
    <row r="134" spans="2:10" ht="16.5" customHeight="1" x14ac:dyDescent="0.55000000000000004">
      <c r="B134" s="2"/>
      <c r="G134" s="13"/>
      <c r="H134" s="13"/>
      <c r="I134" s="24"/>
      <c r="J134" s="24"/>
    </row>
    <row r="135" spans="2:10" ht="16.5" customHeight="1" x14ac:dyDescent="0.55000000000000004">
      <c r="B135" s="2"/>
      <c r="F135" s="1"/>
      <c r="G135" s="13"/>
      <c r="H135" s="13"/>
      <c r="I135" s="24"/>
      <c r="J135" s="24"/>
    </row>
    <row r="136" spans="2:10" ht="16.5" customHeight="1" x14ac:dyDescent="0.55000000000000004">
      <c r="B136" s="2"/>
      <c r="G136" s="13"/>
      <c r="H136" s="13"/>
      <c r="I136" s="24"/>
      <c r="J136" s="24"/>
    </row>
    <row r="137" spans="2:10" ht="16.5" customHeight="1" x14ac:dyDescent="0.55000000000000004">
      <c r="B137" s="2"/>
      <c r="G137" s="13"/>
      <c r="H137" s="13"/>
      <c r="I137" s="24"/>
      <c r="J137" s="24"/>
    </row>
    <row r="138" spans="2:10" ht="16.5" customHeight="1" x14ac:dyDescent="0.55000000000000004">
      <c r="B138" s="2"/>
      <c r="G138" s="13"/>
      <c r="H138" s="13"/>
      <c r="I138" s="24"/>
      <c r="J138" s="24"/>
    </row>
    <row r="139" spans="2:10" ht="16.5" customHeight="1" x14ac:dyDescent="0.55000000000000004">
      <c r="B139" s="2"/>
      <c r="G139" s="13"/>
      <c r="H139" s="13"/>
      <c r="I139" s="24"/>
      <c r="J139" s="24"/>
    </row>
    <row r="140" spans="2:10" ht="16.5" customHeight="1" x14ac:dyDescent="0.55000000000000004">
      <c r="B140" s="2"/>
      <c r="G140" s="13"/>
      <c r="H140" s="13"/>
      <c r="I140" s="24"/>
      <c r="J140" s="24"/>
    </row>
    <row r="141" spans="2:10" ht="16.5" customHeight="1" x14ac:dyDescent="0.55000000000000004">
      <c r="B141" s="2"/>
      <c r="G141" s="13"/>
      <c r="H141" s="13"/>
      <c r="I141" s="24"/>
      <c r="J141" s="24"/>
    </row>
    <row r="142" spans="2:10" ht="16.5" customHeight="1" x14ac:dyDescent="0.55000000000000004">
      <c r="B142" s="2"/>
      <c r="G142" s="13"/>
      <c r="H142" s="13"/>
      <c r="I142" s="24"/>
      <c r="J142" s="24"/>
    </row>
    <row r="143" spans="2:10" ht="16.5" customHeight="1" x14ac:dyDescent="0.55000000000000004">
      <c r="B143" s="2"/>
      <c r="G143" s="13"/>
      <c r="H143" s="13"/>
      <c r="I143" s="24"/>
      <c r="J143" s="24"/>
    </row>
    <row r="144" spans="2:10" ht="16.5" customHeight="1" x14ac:dyDescent="0.55000000000000004">
      <c r="B144" s="2"/>
      <c r="G144" s="13"/>
      <c r="H144" s="13"/>
      <c r="I144" s="24"/>
      <c r="J144" s="24"/>
    </row>
    <row r="145" spans="2:10" ht="16.5" customHeight="1" x14ac:dyDescent="0.55000000000000004">
      <c r="B145" s="2"/>
      <c r="G145" s="13"/>
      <c r="H145" s="13"/>
      <c r="I145" s="24"/>
      <c r="J145" s="24"/>
    </row>
    <row r="146" spans="2:10" ht="16.5" customHeight="1" x14ac:dyDescent="0.55000000000000004">
      <c r="B146" s="2"/>
      <c r="G146" s="13"/>
      <c r="H146" s="13"/>
      <c r="I146" s="24"/>
      <c r="J146" s="24"/>
    </row>
    <row r="147" spans="2:10" ht="16.5" customHeight="1" x14ac:dyDescent="0.55000000000000004">
      <c r="B147" s="2"/>
      <c r="G147" s="13"/>
      <c r="H147" s="13"/>
      <c r="I147" s="24"/>
      <c r="J147" s="24"/>
    </row>
    <row r="148" spans="2:10" ht="16.5" customHeight="1" x14ac:dyDescent="0.55000000000000004">
      <c r="B148" s="2"/>
      <c r="G148" s="13"/>
      <c r="H148" s="13"/>
      <c r="I148" s="24"/>
      <c r="J148" s="24"/>
    </row>
    <row r="149" spans="2:10" ht="16.5" customHeight="1" x14ac:dyDescent="0.55000000000000004">
      <c r="B149" s="2"/>
      <c r="F149" s="1"/>
      <c r="G149" s="13"/>
      <c r="H149" s="13"/>
      <c r="I149" s="24"/>
      <c r="J149" s="24"/>
    </row>
    <row r="150" spans="2:10" ht="16.5" customHeight="1" x14ac:dyDescent="0.55000000000000004">
      <c r="B150" s="2"/>
      <c r="F150" s="1"/>
      <c r="G150" s="13"/>
      <c r="H150" s="13"/>
      <c r="I150" s="24"/>
      <c r="J150" s="24"/>
    </row>
    <row r="151" spans="2:10" ht="16.5" customHeight="1" x14ac:dyDescent="0.55000000000000004">
      <c r="B151" s="2"/>
      <c r="F151" s="1"/>
      <c r="G151" s="13"/>
      <c r="H151" s="13"/>
      <c r="I151" s="24"/>
      <c r="J151" s="24"/>
    </row>
    <row r="152" spans="2:10" ht="16.5" customHeight="1" x14ac:dyDescent="0.55000000000000004">
      <c r="B152" s="2"/>
      <c r="C152" s="1"/>
      <c r="F152" s="1"/>
      <c r="G152" s="13"/>
      <c r="H152" s="13"/>
      <c r="I152" s="24"/>
      <c r="J152" s="24"/>
    </row>
    <row r="153" spans="2:10" ht="16.5" customHeight="1" x14ac:dyDescent="0.55000000000000004">
      <c r="B153" s="2"/>
      <c r="C153" s="1"/>
      <c r="F153" s="1"/>
      <c r="G153" s="13"/>
      <c r="H153" s="13"/>
      <c r="I153" s="24"/>
      <c r="J153" s="24"/>
    </row>
    <row r="154" spans="2:10" ht="16.5" customHeight="1" x14ac:dyDescent="0.55000000000000004">
      <c r="B154" s="2"/>
      <c r="C154" s="1"/>
      <c r="F154" s="1"/>
      <c r="G154" s="13"/>
      <c r="H154" s="13"/>
      <c r="I154" s="24"/>
      <c r="J154" s="24"/>
    </row>
    <row r="155" spans="2:10" ht="16.5" customHeight="1" x14ac:dyDescent="0.55000000000000004">
      <c r="B155" s="2"/>
      <c r="F155" s="1"/>
      <c r="G155" s="13"/>
      <c r="H155" s="13"/>
      <c r="I155" s="24"/>
      <c r="J155" s="24"/>
    </row>
    <row r="156" spans="2:10" ht="16.5" customHeight="1" x14ac:dyDescent="0.55000000000000004">
      <c r="B156" s="2"/>
      <c r="F156" s="1"/>
      <c r="G156" s="13"/>
      <c r="H156" s="13"/>
      <c r="I156" s="24"/>
      <c r="J156" s="24"/>
    </row>
    <row r="157" spans="2:10" ht="16.5" customHeight="1" x14ac:dyDescent="0.55000000000000004">
      <c r="B157" s="2"/>
      <c r="F157" s="1"/>
      <c r="G157" s="13"/>
      <c r="H157" s="13"/>
      <c r="I157" s="24"/>
      <c r="J157" s="24"/>
    </row>
    <row r="158" spans="2:10" ht="16.5" customHeight="1" x14ac:dyDescent="0.55000000000000004">
      <c r="B158" s="2"/>
      <c r="F158" s="1"/>
      <c r="G158" s="13"/>
      <c r="H158" s="13"/>
      <c r="I158" s="24"/>
      <c r="J158" s="24"/>
    </row>
    <row r="159" spans="2:10" ht="16.5" customHeight="1" x14ac:dyDescent="0.55000000000000004">
      <c r="B159" s="2"/>
      <c r="F159" s="1"/>
      <c r="G159" s="13"/>
      <c r="H159" s="13"/>
      <c r="I159" s="24"/>
      <c r="J159" s="24"/>
    </row>
    <row r="160" spans="2:10" ht="16.5" customHeight="1" x14ac:dyDescent="0.55000000000000004">
      <c r="B160" s="2"/>
      <c r="G160" s="13"/>
      <c r="H160" s="13"/>
      <c r="I160" s="24"/>
      <c r="J160" s="24"/>
    </row>
    <row r="161" spans="1:10" ht="16.5" customHeight="1" x14ac:dyDescent="0.55000000000000004">
      <c r="B161" s="2"/>
      <c r="G161" s="13"/>
      <c r="H161" s="13"/>
      <c r="I161" s="24"/>
      <c r="J161" s="24"/>
    </row>
    <row r="162" spans="1:10" ht="16.5" customHeight="1" x14ac:dyDescent="0.55000000000000004">
      <c r="B162" s="2"/>
      <c r="G162" s="13"/>
      <c r="H162" s="13"/>
      <c r="I162" s="24"/>
      <c r="J162" s="24"/>
    </row>
    <row r="163" spans="1:10" ht="16.5" customHeight="1" x14ac:dyDescent="0.55000000000000004">
      <c r="B163" s="2"/>
      <c r="G163" s="13"/>
      <c r="H163" s="13"/>
      <c r="I163" s="24"/>
      <c r="J163" s="24"/>
    </row>
    <row r="164" spans="1:10" ht="16.5" customHeight="1" x14ac:dyDescent="0.55000000000000004">
      <c r="B164" s="2"/>
      <c r="F164" s="1"/>
      <c r="G164" s="13"/>
      <c r="H164" s="13"/>
      <c r="I164" s="24"/>
      <c r="J164" s="24"/>
    </row>
    <row r="165" spans="1:10" ht="16.5" customHeight="1" x14ac:dyDescent="0.55000000000000004">
      <c r="B165" s="2"/>
      <c r="G165" s="13"/>
      <c r="H165" s="13"/>
      <c r="I165" s="24"/>
      <c r="J165" s="24"/>
    </row>
    <row r="166" spans="1:10" ht="16.5" customHeight="1" x14ac:dyDescent="0.55000000000000004">
      <c r="B166" s="2"/>
      <c r="G166" s="13"/>
      <c r="H166" s="13"/>
      <c r="I166" s="24"/>
      <c r="J166" s="24"/>
    </row>
    <row r="167" spans="1:10" ht="16.5" customHeight="1" x14ac:dyDescent="0.55000000000000004">
      <c r="A167" s="2"/>
      <c r="B167" s="2"/>
      <c r="G167" s="3"/>
      <c r="I167" s="24"/>
      <c r="J167" s="24"/>
    </row>
    <row r="168" spans="1:10" ht="16.5" customHeight="1" x14ac:dyDescent="0.55000000000000004">
      <c r="A168" s="2"/>
      <c r="B168" s="2"/>
      <c r="G168" s="3"/>
      <c r="I168" s="24"/>
      <c r="J168" s="24"/>
    </row>
    <row r="169" spans="1:10" ht="16.5" customHeight="1" x14ac:dyDescent="0.55000000000000004">
      <c r="I169" s="24"/>
      <c r="J169" s="24"/>
    </row>
    <row r="170" spans="1:10" ht="16.5" customHeight="1" x14ac:dyDescent="0.55000000000000004">
      <c r="I170" s="24"/>
      <c r="J170" s="24"/>
    </row>
    <row r="171" spans="1:10" ht="16.5" customHeight="1" x14ac:dyDescent="0.55000000000000004">
      <c r="I171" s="24"/>
      <c r="J171" s="24"/>
    </row>
    <row r="172" spans="1:10" ht="16.5" customHeight="1" x14ac:dyDescent="0.55000000000000004">
      <c r="I172" s="24"/>
      <c r="J172" s="24"/>
    </row>
    <row r="173" spans="1:10" ht="16.5" customHeight="1" x14ac:dyDescent="0.55000000000000004">
      <c r="I173" s="24"/>
      <c r="J173" s="24"/>
    </row>
    <row r="174" spans="1:10" ht="16.5" customHeight="1" x14ac:dyDescent="0.55000000000000004">
      <c r="I174" s="24"/>
      <c r="J174" s="24"/>
    </row>
    <row r="175" spans="1:10" ht="16.5" customHeight="1" x14ac:dyDescent="0.55000000000000004">
      <c r="I175" s="24"/>
      <c r="J175" s="24"/>
    </row>
    <row r="176" spans="1:10" ht="16.5" customHeight="1" x14ac:dyDescent="0.55000000000000004">
      <c r="I176" s="24"/>
      <c r="J176" s="24"/>
    </row>
    <row r="177" spans="9:10" ht="16.5" customHeight="1" x14ac:dyDescent="0.55000000000000004">
      <c r="I177" s="24"/>
      <c r="J177" s="24"/>
    </row>
    <row r="178" spans="9:10" ht="16.5" customHeight="1" x14ac:dyDescent="0.55000000000000004">
      <c r="I178" s="24"/>
      <c r="J178" s="24"/>
    </row>
    <row r="179" spans="9:10" ht="16.5" customHeight="1" x14ac:dyDescent="0.55000000000000004">
      <c r="I179" s="24"/>
      <c r="J179" s="24"/>
    </row>
    <row r="180" spans="9:10" ht="16.5" customHeight="1" x14ac:dyDescent="0.55000000000000004">
      <c r="I180" s="24"/>
      <c r="J180" s="24"/>
    </row>
    <row r="181" spans="9:10" ht="16.5" customHeight="1" x14ac:dyDescent="0.55000000000000004">
      <c r="I181" s="24"/>
      <c r="J181" s="24"/>
    </row>
    <row r="182" spans="9:10" ht="16.5" customHeight="1" x14ac:dyDescent="0.55000000000000004">
      <c r="I182" s="24"/>
      <c r="J182" s="24"/>
    </row>
    <row r="183" spans="9:10" ht="16.5" customHeight="1" x14ac:dyDescent="0.55000000000000004">
      <c r="I183" s="24"/>
      <c r="J183" s="24"/>
    </row>
    <row r="184" spans="9:10" ht="16.5" customHeight="1" x14ac:dyDescent="0.55000000000000004">
      <c r="I184" s="24"/>
      <c r="J184" s="24"/>
    </row>
    <row r="185" spans="9:10" ht="16.5" customHeight="1" x14ac:dyDescent="0.55000000000000004">
      <c r="I185" s="24"/>
      <c r="J185" s="24"/>
    </row>
    <row r="186" spans="9:10" ht="16.5" customHeight="1" x14ac:dyDescent="0.55000000000000004">
      <c r="I186" s="24"/>
      <c r="J186" s="24"/>
    </row>
    <row r="187" spans="9:10" ht="16.5" customHeight="1" x14ac:dyDescent="0.55000000000000004">
      <c r="I187" s="24"/>
      <c r="J187" s="24"/>
    </row>
    <row r="188" spans="9:10" ht="16.5" customHeight="1" x14ac:dyDescent="0.55000000000000004">
      <c r="I188" s="24"/>
      <c r="J188" s="24"/>
    </row>
    <row r="189" spans="9:10" ht="16.5" customHeight="1" x14ac:dyDescent="0.55000000000000004">
      <c r="I189" s="24"/>
      <c r="J189" s="24"/>
    </row>
    <row r="190" spans="9:10" ht="16.5" customHeight="1" x14ac:dyDescent="0.55000000000000004">
      <c r="I190" s="24"/>
      <c r="J190" s="24"/>
    </row>
    <row r="191" spans="9:10" ht="16.5" customHeight="1" x14ac:dyDescent="0.55000000000000004">
      <c r="I191" s="24"/>
      <c r="J191" s="24"/>
    </row>
    <row r="192" spans="9:10" ht="16.5" customHeight="1" x14ac:dyDescent="0.55000000000000004">
      <c r="I192" s="24"/>
      <c r="J192" s="24"/>
    </row>
    <row r="193" spans="9:10" ht="16.5" customHeight="1" x14ac:dyDescent="0.55000000000000004">
      <c r="I193" s="24"/>
      <c r="J193" s="24"/>
    </row>
    <row r="194" spans="9:10" ht="16.5" customHeight="1" x14ac:dyDescent="0.55000000000000004">
      <c r="I194" s="24"/>
      <c r="J194" s="24"/>
    </row>
    <row r="195" spans="9:10" ht="16.5" customHeight="1" x14ac:dyDescent="0.55000000000000004">
      <c r="I195" s="24"/>
      <c r="J195" s="24"/>
    </row>
    <row r="196" spans="9:10" ht="16.5" customHeight="1" x14ac:dyDescent="0.55000000000000004">
      <c r="I196" s="24"/>
      <c r="J196" s="24"/>
    </row>
    <row r="197" spans="9:10" ht="16.5" customHeight="1" x14ac:dyDescent="0.55000000000000004">
      <c r="I197" s="24"/>
      <c r="J197" s="24"/>
    </row>
    <row r="198" spans="9:10" ht="16.5" customHeight="1" x14ac:dyDescent="0.55000000000000004">
      <c r="I198" s="24"/>
      <c r="J198" s="24"/>
    </row>
    <row r="199" spans="9:10" ht="16.5" customHeight="1" x14ac:dyDescent="0.55000000000000004">
      <c r="I199" s="24"/>
      <c r="J199" s="24"/>
    </row>
    <row r="200" spans="9:10" ht="16.5" customHeight="1" x14ac:dyDescent="0.55000000000000004">
      <c r="I200" s="24"/>
      <c r="J200" s="24"/>
    </row>
    <row r="201" spans="9:10" ht="16.5" customHeight="1" x14ac:dyDescent="0.55000000000000004">
      <c r="I201" s="24"/>
      <c r="J201" s="24"/>
    </row>
    <row r="202" spans="9:10" ht="16.5" customHeight="1" x14ac:dyDescent="0.55000000000000004">
      <c r="I202" s="24"/>
      <c r="J202" s="24"/>
    </row>
    <row r="203" spans="9:10" ht="16.5" customHeight="1" x14ac:dyDescent="0.55000000000000004">
      <c r="I203" s="24"/>
      <c r="J203" s="24"/>
    </row>
    <row r="204" spans="9:10" ht="16.5" customHeight="1" x14ac:dyDescent="0.55000000000000004">
      <c r="I204" s="24"/>
      <c r="J204" s="24"/>
    </row>
    <row r="205" spans="9:10" ht="16.5" customHeight="1" x14ac:dyDescent="0.55000000000000004">
      <c r="I205" s="24"/>
      <c r="J205" s="24"/>
    </row>
    <row r="206" spans="9:10" ht="16.5" customHeight="1" x14ac:dyDescent="0.55000000000000004">
      <c r="I206" s="24"/>
      <c r="J206" s="24"/>
    </row>
    <row r="207" spans="9:10" ht="16.5" customHeight="1" x14ac:dyDescent="0.55000000000000004">
      <c r="I207" s="24"/>
      <c r="J207" s="24"/>
    </row>
    <row r="208" spans="9:10" ht="16.5" customHeight="1" x14ac:dyDescent="0.55000000000000004">
      <c r="I208" s="24"/>
      <c r="J208" s="24"/>
    </row>
    <row r="209" spans="9:10" ht="16.5" customHeight="1" x14ac:dyDescent="0.55000000000000004">
      <c r="I209" s="24"/>
      <c r="J209" s="24"/>
    </row>
    <row r="210" spans="9:10" ht="16.5" customHeight="1" x14ac:dyDescent="0.55000000000000004">
      <c r="I210" s="24"/>
      <c r="J210" s="24"/>
    </row>
    <row r="211" spans="9:10" ht="16.5" customHeight="1" x14ac:dyDescent="0.55000000000000004">
      <c r="I211" s="24"/>
      <c r="J211" s="24"/>
    </row>
    <row r="212" spans="9:10" ht="16.5" customHeight="1" x14ac:dyDescent="0.55000000000000004">
      <c r="I212" s="24"/>
      <c r="J212" s="24"/>
    </row>
    <row r="213" spans="9:10" ht="16.5" customHeight="1" x14ac:dyDescent="0.55000000000000004">
      <c r="I213" s="24"/>
      <c r="J213" s="24"/>
    </row>
    <row r="214" spans="9:10" ht="16.5" customHeight="1" x14ac:dyDescent="0.55000000000000004">
      <c r="I214" s="24"/>
      <c r="J214" s="24"/>
    </row>
    <row r="215" spans="9:10" ht="16.5" customHeight="1" x14ac:dyDescent="0.55000000000000004">
      <c r="I215" s="24"/>
      <c r="J215" s="24"/>
    </row>
    <row r="216" spans="9:10" ht="16.5" customHeight="1" x14ac:dyDescent="0.55000000000000004">
      <c r="I216" s="24"/>
      <c r="J216" s="24"/>
    </row>
    <row r="217" spans="9:10" ht="16.5" customHeight="1" x14ac:dyDescent="0.55000000000000004">
      <c r="I217" s="24"/>
      <c r="J217" s="24"/>
    </row>
    <row r="218" spans="9:10" ht="16.5" customHeight="1" x14ac:dyDescent="0.55000000000000004">
      <c r="I218" s="24"/>
      <c r="J218" s="24"/>
    </row>
    <row r="219" spans="9:10" ht="16.5" customHeight="1" x14ac:dyDescent="0.55000000000000004">
      <c r="I219" s="24"/>
      <c r="J219" s="24"/>
    </row>
    <row r="220" spans="9:10" ht="16.5" customHeight="1" x14ac:dyDescent="0.55000000000000004">
      <c r="I220" s="24"/>
      <c r="J220" s="24"/>
    </row>
    <row r="221" spans="9:10" ht="16.5" customHeight="1" x14ac:dyDescent="0.55000000000000004">
      <c r="I221" s="24"/>
      <c r="J221" s="24"/>
    </row>
    <row r="222" spans="9:10" x14ac:dyDescent="0.55000000000000004">
      <c r="I222" s="24"/>
      <c r="J222" s="24"/>
    </row>
    <row r="223" spans="9:10" x14ac:dyDescent="0.55000000000000004">
      <c r="I223" s="24"/>
      <c r="J223" s="24"/>
    </row>
    <row r="224" spans="9:10" x14ac:dyDescent="0.55000000000000004">
      <c r="I224" s="24"/>
      <c r="J224" s="24"/>
    </row>
    <row r="225" spans="9:10" x14ac:dyDescent="0.55000000000000004">
      <c r="I225" s="24"/>
      <c r="J225" s="24"/>
    </row>
    <row r="226" spans="9:10" x14ac:dyDescent="0.55000000000000004">
      <c r="I226" s="24"/>
      <c r="J226" s="24"/>
    </row>
    <row r="227" spans="9:10" x14ac:dyDescent="0.55000000000000004">
      <c r="I227" s="24"/>
      <c r="J227" s="24"/>
    </row>
    <row r="228" spans="9:10" x14ac:dyDescent="0.55000000000000004">
      <c r="I228" s="24"/>
      <c r="J228" s="24"/>
    </row>
    <row r="229" spans="9:10" x14ac:dyDescent="0.55000000000000004">
      <c r="I229" s="24"/>
      <c r="J229" s="24"/>
    </row>
    <row r="230" spans="9:10" x14ac:dyDescent="0.55000000000000004">
      <c r="I230" s="24"/>
      <c r="J230" s="24"/>
    </row>
    <row r="231" spans="9:10" x14ac:dyDescent="0.55000000000000004">
      <c r="I231" s="24"/>
      <c r="J231" s="24"/>
    </row>
    <row r="232" spans="9:10" x14ac:dyDescent="0.55000000000000004">
      <c r="I232" s="24"/>
      <c r="J232" s="24"/>
    </row>
    <row r="233" spans="9:10" x14ac:dyDescent="0.55000000000000004">
      <c r="I233" s="24"/>
      <c r="J233" s="24"/>
    </row>
    <row r="234" spans="9:10" x14ac:dyDescent="0.55000000000000004">
      <c r="I234" s="24"/>
      <c r="J234" s="24"/>
    </row>
    <row r="235" spans="9:10" x14ac:dyDescent="0.55000000000000004">
      <c r="I235" s="24"/>
      <c r="J235" s="24"/>
    </row>
    <row r="236" spans="9:10" x14ac:dyDescent="0.55000000000000004">
      <c r="I236" s="24"/>
      <c r="J236" s="24"/>
    </row>
    <row r="237" spans="9:10" x14ac:dyDescent="0.55000000000000004">
      <c r="I237" s="24"/>
      <c r="J237" s="24"/>
    </row>
    <row r="238" spans="9:10" x14ac:dyDescent="0.55000000000000004">
      <c r="I238" s="24"/>
      <c r="J238" s="24"/>
    </row>
    <row r="239" spans="9:10" x14ac:dyDescent="0.55000000000000004">
      <c r="I239" s="24"/>
      <c r="J239" s="24"/>
    </row>
    <row r="240" spans="9:10" x14ac:dyDescent="0.55000000000000004">
      <c r="I240" s="24"/>
      <c r="J240" s="24"/>
    </row>
    <row r="241" spans="9:10" x14ac:dyDescent="0.55000000000000004">
      <c r="I241" s="24"/>
      <c r="J241" s="24"/>
    </row>
    <row r="242" spans="9:10" x14ac:dyDescent="0.55000000000000004">
      <c r="I242" s="24"/>
      <c r="J242" s="24"/>
    </row>
    <row r="243" spans="9:10" x14ac:dyDescent="0.55000000000000004">
      <c r="I243" s="24"/>
      <c r="J243" s="24"/>
    </row>
    <row r="244" spans="9:10" x14ac:dyDescent="0.55000000000000004">
      <c r="I244" s="24"/>
      <c r="J244" s="24"/>
    </row>
    <row r="245" spans="9:10" x14ac:dyDescent="0.55000000000000004">
      <c r="I245" s="24"/>
      <c r="J245" s="24"/>
    </row>
    <row r="246" spans="9:10" x14ac:dyDescent="0.55000000000000004">
      <c r="I246" s="24"/>
      <c r="J246" s="24"/>
    </row>
    <row r="247" spans="9:10" x14ac:dyDescent="0.55000000000000004">
      <c r="I247" s="24"/>
      <c r="J247" s="24"/>
    </row>
    <row r="248" spans="9:10" x14ac:dyDescent="0.55000000000000004">
      <c r="I248" s="24"/>
      <c r="J248" s="24"/>
    </row>
    <row r="249" spans="9:10" x14ac:dyDescent="0.55000000000000004">
      <c r="I249" s="24"/>
      <c r="J249" s="24"/>
    </row>
    <row r="250" spans="9:10" x14ac:dyDescent="0.55000000000000004">
      <c r="I250" s="24"/>
      <c r="J250" s="24"/>
    </row>
    <row r="251" spans="9:10" x14ac:dyDescent="0.55000000000000004">
      <c r="I251" s="24"/>
      <c r="J251" s="24"/>
    </row>
    <row r="252" spans="9:10" x14ac:dyDescent="0.55000000000000004">
      <c r="I252" s="24"/>
      <c r="J252" s="24"/>
    </row>
    <row r="253" spans="9:10" x14ac:dyDescent="0.55000000000000004">
      <c r="I253" s="24"/>
      <c r="J253" s="24"/>
    </row>
    <row r="254" spans="9:10" x14ac:dyDescent="0.55000000000000004">
      <c r="I254" s="24"/>
      <c r="J254" s="24"/>
    </row>
    <row r="255" spans="9:10" x14ac:dyDescent="0.55000000000000004">
      <c r="I255" s="24"/>
      <c r="J255" s="24"/>
    </row>
    <row r="256" spans="9:10" x14ac:dyDescent="0.55000000000000004">
      <c r="I256" s="24"/>
      <c r="J256" s="24"/>
    </row>
    <row r="257" spans="9:10" x14ac:dyDescent="0.55000000000000004">
      <c r="I257" s="24"/>
      <c r="J257" s="24"/>
    </row>
    <row r="258" spans="9:10" x14ac:dyDescent="0.55000000000000004">
      <c r="I258" s="24"/>
      <c r="J258" s="24"/>
    </row>
    <row r="259" spans="9:10" x14ac:dyDescent="0.55000000000000004">
      <c r="I259" s="24"/>
      <c r="J259" s="24"/>
    </row>
    <row r="260" spans="9:10" x14ac:dyDescent="0.55000000000000004">
      <c r="I260" s="24"/>
      <c r="J260" s="24"/>
    </row>
    <row r="261" spans="9:10" x14ac:dyDescent="0.55000000000000004">
      <c r="I261" s="24"/>
      <c r="J261" s="24"/>
    </row>
    <row r="262" spans="9:10" x14ac:dyDescent="0.55000000000000004">
      <c r="I262" s="24"/>
      <c r="J262" s="24"/>
    </row>
    <row r="263" spans="9:10" x14ac:dyDescent="0.55000000000000004">
      <c r="I263" s="24"/>
      <c r="J263" s="24"/>
    </row>
    <row r="264" spans="9:10" x14ac:dyDescent="0.55000000000000004">
      <c r="I264" s="24"/>
      <c r="J264" s="24"/>
    </row>
    <row r="265" spans="9:10" x14ac:dyDescent="0.55000000000000004">
      <c r="I265" s="24"/>
      <c r="J265" s="24"/>
    </row>
    <row r="266" spans="9:10" x14ac:dyDescent="0.55000000000000004">
      <c r="I266" s="24"/>
      <c r="J266" s="24"/>
    </row>
    <row r="267" spans="9:10" x14ac:dyDescent="0.55000000000000004">
      <c r="I267" s="24"/>
      <c r="J267" s="24"/>
    </row>
    <row r="268" spans="9:10" x14ac:dyDescent="0.55000000000000004">
      <c r="I268" s="24"/>
      <c r="J268" s="24"/>
    </row>
    <row r="269" spans="9:10" x14ac:dyDescent="0.55000000000000004">
      <c r="I269" s="24"/>
      <c r="J269" s="24"/>
    </row>
    <row r="270" spans="9:10" x14ac:dyDescent="0.55000000000000004">
      <c r="I270" s="24"/>
      <c r="J270" s="24"/>
    </row>
    <row r="271" spans="9:10" x14ac:dyDescent="0.55000000000000004">
      <c r="I271" s="24"/>
      <c r="J271" s="24"/>
    </row>
    <row r="272" spans="9:10" x14ac:dyDescent="0.55000000000000004">
      <c r="I272" s="24"/>
      <c r="J272" s="24"/>
    </row>
    <row r="273" spans="9:10" x14ac:dyDescent="0.55000000000000004">
      <c r="I273" s="24"/>
      <c r="J273" s="24"/>
    </row>
    <row r="274" spans="9:10" x14ac:dyDescent="0.55000000000000004">
      <c r="I274" s="24"/>
      <c r="J274" s="24"/>
    </row>
    <row r="275" spans="9:10" x14ac:dyDescent="0.55000000000000004">
      <c r="I275" s="24"/>
      <c r="J275" s="24"/>
    </row>
    <row r="276" spans="9:10" x14ac:dyDescent="0.55000000000000004">
      <c r="I276" s="24"/>
      <c r="J276" s="24"/>
    </row>
    <row r="277" spans="9:10" x14ac:dyDescent="0.55000000000000004">
      <c r="I277" s="24"/>
      <c r="J277" s="24"/>
    </row>
    <row r="278" spans="9:10" x14ac:dyDescent="0.55000000000000004">
      <c r="I278" s="24"/>
      <c r="J278" s="24"/>
    </row>
    <row r="279" spans="9:10" x14ac:dyDescent="0.55000000000000004">
      <c r="I279" s="24"/>
      <c r="J279" s="24"/>
    </row>
    <row r="280" spans="9:10" x14ac:dyDescent="0.55000000000000004">
      <c r="I280" s="24"/>
      <c r="J280" s="24"/>
    </row>
    <row r="281" spans="9:10" x14ac:dyDescent="0.55000000000000004">
      <c r="I281" s="24"/>
      <c r="J281" s="24"/>
    </row>
    <row r="282" spans="9:10" x14ac:dyDescent="0.55000000000000004">
      <c r="I282" s="24"/>
      <c r="J282" s="24"/>
    </row>
    <row r="283" spans="9:10" x14ac:dyDescent="0.55000000000000004">
      <c r="I283" s="24"/>
      <c r="J283" s="24"/>
    </row>
    <row r="284" spans="9:10" x14ac:dyDescent="0.55000000000000004">
      <c r="I284" s="24"/>
      <c r="J284" s="24"/>
    </row>
    <row r="285" spans="9:10" x14ac:dyDescent="0.55000000000000004">
      <c r="I285" s="24"/>
      <c r="J285" s="24"/>
    </row>
    <row r="286" spans="9:10" x14ac:dyDescent="0.55000000000000004">
      <c r="I286" s="24"/>
      <c r="J286" s="24"/>
    </row>
    <row r="287" spans="9:10" x14ac:dyDescent="0.55000000000000004">
      <c r="I287" s="24"/>
      <c r="J287" s="24"/>
    </row>
    <row r="288" spans="9:10" x14ac:dyDescent="0.55000000000000004">
      <c r="I288" s="24"/>
      <c r="J288" s="24"/>
    </row>
    <row r="289" spans="9:10" x14ac:dyDescent="0.55000000000000004">
      <c r="I289" s="24"/>
      <c r="J289" s="24"/>
    </row>
    <row r="290" spans="9:10" x14ac:dyDescent="0.55000000000000004">
      <c r="I290" s="24"/>
      <c r="J290" s="24"/>
    </row>
    <row r="291" spans="9:10" x14ac:dyDescent="0.55000000000000004">
      <c r="I291" s="24"/>
      <c r="J291" s="24"/>
    </row>
    <row r="292" spans="9:10" x14ac:dyDescent="0.55000000000000004">
      <c r="I292" s="24"/>
      <c r="J292" s="24"/>
    </row>
    <row r="293" spans="9:10" x14ac:dyDescent="0.55000000000000004">
      <c r="I293" s="24"/>
      <c r="J293" s="24"/>
    </row>
    <row r="294" spans="9:10" x14ac:dyDescent="0.55000000000000004">
      <c r="I294" s="24"/>
      <c r="J294" s="24"/>
    </row>
    <row r="295" spans="9:10" x14ac:dyDescent="0.55000000000000004">
      <c r="I295" s="24"/>
      <c r="J295" s="24"/>
    </row>
    <row r="296" spans="9:10" x14ac:dyDescent="0.55000000000000004">
      <c r="I296" s="24"/>
      <c r="J296" s="24"/>
    </row>
    <row r="297" spans="9:10" x14ac:dyDescent="0.55000000000000004">
      <c r="I297" s="24"/>
      <c r="J297" s="24"/>
    </row>
    <row r="298" spans="9:10" x14ac:dyDescent="0.55000000000000004">
      <c r="I298" s="24"/>
      <c r="J298" s="24"/>
    </row>
    <row r="299" spans="9:10" x14ac:dyDescent="0.55000000000000004">
      <c r="I299" s="24"/>
      <c r="J299" s="24"/>
    </row>
    <row r="300" spans="9:10" x14ac:dyDescent="0.55000000000000004">
      <c r="I300" s="24"/>
      <c r="J300" s="24"/>
    </row>
    <row r="301" spans="9:10" x14ac:dyDescent="0.55000000000000004">
      <c r="I301" s="24"/>
      <c r="J301" s="24"/>
    </row>
    <row r="302" spans="9:10" x14ac:dyDescent="0.55000000000000004">
      <c r="I302" s="24"/>
      <c r="J302" s="24"/>
    </row>
    <row r="303" spans="9:10" x14ac:dyDescent="0.55000000000000004">
      <c r="I303" s="24"/>
      <c r="J303" s="24"/>
    </row>
  </sheetData>
  <autoFilter ref="A4:H166" xr:uid="{40A4B7A3-F207-4AF4-8579-95FFC9A7072F}"/>
  <mergeCells count="1">
    <mergeCell ref="A1:B1"/>
  </mergeCells>
  <conditionalFormatting sqref="E117:E119 E85:E86">
    <cfRule type="cellIs" dxfId="74" priority="176" operator="equal">
      <formula>"Fulfilled"</formula>
    </cfRule>
    <cfRule type="cellIs" dxfId="73" priority="185" operator="equal">
      <formula>"Not verified"</formula>
    </cfRule>
    <cfRule type="cellIs" dxfId="72" priority="219" operator="equal">
      <formula>"Fullfilled"</formula>
    </cfRule>
    <cfRule type="cellIs" dxfId="71" priority="220" operator="equal">
      <formula>"N/A"</formula>
    </cfRule>
    <cfRule type="cellIs" dxfId="70" priority="221" operator="equal">
      <formula>"Open"</formula>
    </cfRule>
  </conditionalFormatting>
  <conditionalFormatting sqref="F6:F18">
    <cfRule type="cellIs" dxfId="69" priority="166" operator="equal">
      <formula>"Fulfilled"</formula>
    </cfRule>
    <cfRule type="cellIs" dxfId="68" priority="167" operator="equal">
      <formula>"Not verified"</formula>
    </cfRule>
    <cfRule type="cellIs" dxfId="67" priority="168" operator="equal">
      <formula>"Fullfilled"</formula>
    </cfRule>
    <cfRule type="cellIs" dxfId="66" priority="169" operator="equal">
      <formula>"N/A"</formula>
    </cfRule>
    <cfRule type="cellIs" dxfId="65" priority="170" operator="equal">
      <formula>"Open"</formula>
    </cfRule>
  </conditionalFormatting>
  <conditionalFormatting sqref="E82:E84">
    <cfRule type="cellIs" dxfId="64" priority="106" operator="equal">
      <formula>"Fulfilled"</formula>
    </cfRule>
    <cfRule type="cellIs" dxfId="63" priority="107" operator="equal">
      <formula>"Not verified"</formula>
    </cfRule>
    <cfRule type="cellIs" dxfId="62" priority="108" operator="equal">
      <formula>"Fullfilled"</formula>
    </cfRule>
    <cfRule type="cellIs" dxfId="61" priority="109" operator="equal">
      <formula>"N/A"</formula>
    </cfRule>
    <cfRule type="cellIs" dxfId="60" priority="110" operator="equal">
      <formula>"Open"</formula>
    </cfRule>
  </conditionalFormatting>
  <conditionalFormatting sqref="E87:E93">
    <cfRule type="cellIs" dxfId="59" priority="96" operator="equal">
      <formula>"Fulfilled"</formula>
    </cfRule>
    <cfRule type="cellIs" dxfId="58" priority="97" operator="equal">
      <formula>"Not verified"</formula>
    </cfRule>
    <cfRule type="cellIs" dxfId="57" priority="98" operator="equal">
      <formula>"Fullfilled"</formula>
    </cfRule>
    <cfRule type="cellIs" dxfId="56" priority="99" operator="equal">
      <formula>"N/A"</formula>
    </cfRule>
    <cfRule type="cellIs" dxfId="55" priority="100" operator="equal">
      <formula>"Open"</formula>
    </cfRule>
  </conditionalFormatting>
  <conditionalFormatting sqref="E94">
    <cfRule type="cellIs" dxfId="54" priority="81" operator="equal">
      <formula>"Fulfilled"</formula>
    </cfRule>
    <cfRule type="cellIs" dxfId="53" priority="82" operator="equal">
      <formula>"Not verified"</formula>
    </cfRule>
    <cfRule type="cellIs" dxfId="52" priority="83" operator="equal">
      <formula>"Fullfilled"</formula>
    </cfRule>
    <cfRule type="cellIs" dxfId="51" priority="84" operator="equal">
      <formula>"N/A"</formula>
    </cfRule>
    <cfRule type="cellIs" dxfId="50" priority="85" operator="equal">
      <formula>"Open"</formula>
    </cfRule>
  </conditionalFormatting>
  <conditionalFormatting sqref="E95:E102">
    <cfRule type="cellIs" dxfId="49" priority="76" operator="equal">
      <formula>"Fulfilled"</formula>
    </cfRule>
    <cfRule type="cellIs" dxfId="48" priority="77" operator="equal">
      <formula>"Not verified"</formula>
    </cfRule>
    <cfRule type="cellIs" dxfId="47" priority="78" operator="equal">
      <formula>"Fullfilled"</formula>
    </cfRule>
    <cfRule type="cellIs" dxfId="46" priority="79" operator="equal">
      <formula>"N/A"</formula>
    </cfRule>
    <cfRule type="cellIs" dxfId="45" priority="80" operator="equal">
      <formula>"Open"</formula>
    </cfRule>
  </conditionalFormatting>
  <conditionalFormatting sqref="E103:E109">
    <cfRule type="cellIs" dxfId="44" priority="71" operator="equal">
      <formula>"Fulfilled"</formula>
    </cfRule>
    <cfRule type="cellIs" dxfId="43" priority="72" operator="equal">
      <formula>"Not verified"</formula>
    </cfRule>
    <cfRule type="cellIs" dxfId="42" priority="73" operator="equal">
      <formula>"Fullfilled"</formula>
    </cfRule>
    <cfRule type="cellIs" dxfId="41" priority="74" operator="equal">
      <formula>"N/A"</formula>
    </cfRule>
    <cfRule type="cellIs" dxfId="40" priority="75" operator="equal">
      <formula>"Open"</formula>
    </cfRule>
  </conditionalFormatting>
  <conditionalFormatting sqref="E110:E112">
    <cfRule type="cellIs" dxfId="39" priority="66" operator="equal">
      <formula>"Fulfilled"</formula>
    </cfRule>
    <cfRule type="cellIs" dxfId="38" priority="67" operator="equal">
      <formula>"Not verified"</formula>
    </cfRule>
    <cfRule type="cellIs" dxfId="37" priority="68" operator="equal">
      <formula>"Fullfilled"</formula>
    </cfRule>
    <cfRule type="cellIs" dxfId="36" priority="69" operator="equal">
      <formula>"N/A"</formula>
    </cfRule>
    <cfRule type="cellIs" dxfId="35" priority="70" operator="equal">
      <formula>"Open"</formula>
    </cfRule>
  </conditionalFormatting>
  <conditionalFormatting sqref="E113:E116">
    <cfRule type="cellIs" dxfId="34" priority="61" operator="equal">
      <formula>"Fulfilled"</formula>
    </cfRule>
    <cfRule type="cellIs" dxfId="33" priority="62" operator="equal">
      <formula>"Not verified"</formula>
    </cfRule>
    <cfRule type="cellIs" dxfId="32" priority="63" operator="equal">
      <formula>"Fullfilled"</formula>
    </cfRule>
    <cfRule type="cellIs" dxfId="31" priority="64" operator="equal">
      <formula>"N/A"</formula>
    </cfRule>
    <cfRule type="cellIs" dxfId="30" priority="65" operator="equal">
      <formula>"Open"</formula>
    </cfRule>
  </conditionalFormatting>
  <conditionalFormatting sqref="E136:E138">
    <cfRule type="cellIs" dxfId="29" priority="36" operator="equal">
      <formula>"Fulfilled"</formula>
    </cfRule>
    <cfRule type="cellIs" dxfId="28" priority="37" operator="equal">
      <formula>"Not verified"</formula>
    </cfRule>
    <cfRule type="cellIs" dxfId="27" priority="38" operator="equal">
      <formula>"Fullfilled"</formula>
    </cfRule>
    <cfRule type="cellIs" dxfId="26" priority="39" operator="equal">
      <formula>"N/A"</formula>
    </cfRule>
    <cfRule type="cellIs" dxfId="25" priority="40" operator="equal">
      <formula>"Open"</formula>
    </cfRule>
  </conditionalFormatting>
  <conditionalFormatting sqref="E139 E120:E135">
    <cfRule type="cellIs" dxfId="24" priority="31" operator="equal">
      <formula>"Fulfilled"</formula>
    </cfRule>
    <cfRule type="cellIs" dxfId="23" priority="32" operator="equal">
      <formula>"Not verified"</formula>
    </cfRule>
    <cfRule type="cellIs" dxfId="22" priority="33" operator="equal">
      <formula>"Fullfilled"</formula>
    </cfRule>
    <cfRule type="cellIs" dxfId="21" priority="34" operator="equal">
      <formula>"N/A"</formula>
    </cfRule>
    <cfRule type="cellIs" dxfId="20" priority="35" operator="equal">
      <formula>"Open"</formula>
    </cfRule>
  </conditionalFormatting>
  <conditionalFormatting sqref="E140:E148">
    <cfRule type="cellIs" dxfId="19" priority="26" operator="equal">
      <formula>"Fulfilled"</formula>
    </cfRule>
    <cfRule type="cellIs" dxfId="18" priority="27" operator="equal">
      <formula>"Not verified"</formula>
    </cfRule>
    <cfRule type="cellIs" dxfId="17" priority="28" operator="equal">
      <formula>"Fullfilled"</formula>
    </cfRule>
    <cfRule type="cellIs" dxfId="16" priority="29" operator="equal">
      <formula>"N/A"</formula>
    </cfRule>
    <cfRule type="cellIs" dxfId="15" priority="30" operator="equal">
      <formula>"Open"</formula>
    </cfRule>
  </conditionalFormatting>
  <conditionalFormatting sqref="E149:E168">
    <cfRule type="cellIs" dxfId="14" priority="16" operator="equal">
      <formula>"Fulfilled"</formula>
    </cfRule>
    <cfRule type="cellIs" dxfId="13" priority="17" operator="equal">
      <formula>"Not verified"</formula>
    </cfRule>
    <cfRule type="cellIs" dxfId="12" priority="18" operator="equal">
      <formula>"Fullfilled"</formula>
    </cfRule>
    <cfRule type="cellIs" dxfId="11" priority="19" operator="equal">
      <formula>"N/A"</formula>
    </cfRule>
    <cfRule type="cellIs" dxfId="10" priority="20" operator="equal">
      <formula>"Open"</formula>
    </cfRule>
  </conditionalFormatting>
  <conditionalFormatting sqref="E7:E81">
    <cfRule type="cellIs" dxfId="9" priority="6" operator="equal">
      <formula>"Fulfilled"</formula>
    </cfRule>
    <cfRule type="cellIs" dxfId="8" priority="7" operator="equal">
      <formula>"Not verified"</formula>
    </cfRule>
    <cfRule type="cellIs" dxfId="7" priority="8" operator="equal">
      <formula>"Fullfilled"</formula>
    </cfRule>
    <cfRule type="cellIs" dxfId="6" priority="9" operator="equal">
      <formula>"N/A"</formula>
    </cfRule>
    <cfRule type="cellIs" dxfId="5" priority="10" operator="equal">
      <formula>"Open"</formula>
    </cfRule>
  </conditionalFormatting>
  <conditionalFormatting sqref="E5:E6">
    <cfRule type="cellIs" dxfId="4" priority="1" operator="equal">
      <formula>"Fulfilled"</formula>
    </cfRule>
    <cfRule type="cellIs" dxfId="3" priority="2" operator="equal">
      <formula>"Not verified"</formula>
    </cfRule>
    <cfRule type="cellIs" dxfId="2" priority="3" operator="equal">
      <formula>"Fullfilled"</formula>
    </cfRule>
    <cfRule type="cellIs" dxfId="1" priority="4" operator="equal">
      <formula>"N/A"</formula>
    </cfRule>
    <cfRule type="cellIs" dxfId="0" priority="5" operator="equal">
      <formula>"Open"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3" r:id="rId39" tooltip="https://docs.microsoft.com/azure/aks/operator-best-practices-cluster-isolation" xr:uid="{9D0CF7F2-1057-4B7C-A205-64407A9B9F14}"/>
    <hyperlink ref="G44" r:id="rId40" tooltip="https://docs.microsoft.com/azure/cloud-adoption-framework/scenarios/aks/eslz-cost-governance-with-kubecost" xr:uid="{53282C53-B1E2-449D-9D5C-4DF65F1D4E79}"/>
    <hyperlink ref="G45" r:id="rId41" tooltip="https://docs.microsoft.com/azure/aks/cluster-configuration" xr:uid="{C63F8C0C-89EC-4C9F-839B-06FD045BAFA7}"/>
    <hyperlink ref="G46" r:id="rId42" tooltip="https://docs.microsoft.com/azure/virtual-machines/disks-types" xr:uid="{01BC1C4E-80BC-4CE6-A545-20E24AB24D9E}"/>
    <hyperlink ref="G47" r:id="rId43" tooltip="https://docs.microsoft.com/azure/aks/operator-best-practices-multi-region" xr:uid="{45BC505D-4282-470D-A7AE-931CBC62EA60}"/>
    <hyperlink ref="G48" r:id="rId44" tooltip="https://docs.microsoft.com/azure/aks/operator-best-practices-storage" xr:uid="{2D1D617D-9625-418F-B5D4-D9B7AB380B97}"/>
    <hyperlink ref="G49" r:id="rId45" tooltip="https://docs.microsoft.com/azure/aks/availability-zones" xr:uid="{11F6F287-4141-4709-9D0F-624CEC877D22}"/>
    <hyperlink ref="G50" r:id="rId46" tooltip="https://docs.microsoft.com/azure/advisor/advisor-get-started" xr:uid="{83DB24F8-9AD4-4467-9EC3-08B8E7E4D0F4}"/>
    <hyperlink ref="G51" r:id="rId47" tooltip="https://docs.microsoft.com/azure/aks/operator-best-practices-scheduler" xr:uid="{C8EC9B6F-8932-4680-8AC1-61D97B980FFD}"/>
    <hyperlink ref="G52" r:id="rId48" tooltip="https://docs.microsoft.com/azure/azure-monitor/insights/container-insights-overview" xr:uid="{441F6DC6-81CB-4583-9217-7FE3CA0673DD}"/>
    <hyperlink ref="G53" r:id="rId49" tooltip="https://docs.microsoft.com/azure/azure-monitor/insights/container-insights-overview" xr:uid="{8D40363E-A742-4465-8E84-C91B38524B56}"/>
    <hyperlink ref="G54" r:id="rId50" tooltip="https://docs.microsoft.com/azure/azure-monitor/insights/container-insights-metric-alerts" xr:uid="{BEB540A6-404D-4273-A8E5-9E2AE3BED84F}"/>
    <hyperlink ref="G55" r:id="rId51" tooltip="https://docs.microsoft.com/azure/aks/supported-kubernetes-versions" xr:uid="{37A60B3C-C0C3-4489-9391-351F884333A5}"/>
    <hyperlink ref="G56" r:id="rId52" tooltip="https://docs.microsoft.com/azure/aks/node-updates-kured" xr:uid="{6FE8FC8B-9461-4E19-A99B-C926813C01F7}"/>
    <hyperlink ref="G57" r:id="rId53" tooltip="https://docs.microsoft.com/azure/architecture/example-scenario/bedrock/bedrock-automated-deployments" xr:uid="{A677166A-A803-437E-9A16-3B17026F331E}"/>
    <hyperlink ref="G58" r:id="rId54" tooltip="https://docs.microsoft.com/azure/aks/spot-node-pool" xr:uid="{6E7BB98C-0132-4FE6-8CA6-FDD4D8EFB65F}"/>
    <hyperlink ref="G59" r:id="rId55" tooltip="https://docs.microsoft.com/azure/aks/concepts-scale" xr:uid="{22E78F92-6419-40B1-8D28-5530D81DF026}"/>
    <hyperlink ref="G60" r:id="rId56" tooltip="https://kubecost.com/" xr:uid="{B267501A-ED9E-4DA8-B5C4-74BB0C188F23}"/>
    <hyperlink ref="G61" r:id="rId57" tooltip="https://docs.microsoft.com/azure/aks/faq" xr:uid="{A1B41113-D472-4FF6-BF17-C80DE3214F71}"/>
    <hyperlink ref="G62" r:id="rId58" tooltip="https://docs.microsoft.com/azure/aks/cluster-configuration" xr:uid="{2396057F-967A-41EC-8CAE-07C5DB157118}"/>
    <hyperlink ref="G63" r:id="rId59" tooltip="https://kubernetes.io/docs/setup/release/notes/" xr:uid="{91B307FD-2DF3-447C-A543-2A8E01DAD6D0}"/>
    <hyperlink ref="G64" r:id="rId60" tooltip="https://docs.microsoft.com/azure-stack/aks-hci/adapt-apps-mixed-os-clusters" xr:uid="{2E8F2C7C-55F3-47C8-A342-3E959E504D7B}"/>
    <hyperlink ref="G65" r:id="rId61" tooltip="https://docs.microsoft.com/virtualization/windowscontainers/deploy-containers/version-compatibility?tabs=windows-server-20H2%2Cwindows-10-20H2" xr:uid="{EFB6C76D-3021-494D-BD1A-1E8DDFFBCE2A}"/>
    <hyperlink ref="G66" r:id="rId62" tooltip="https://docs.microsoft.com/azure/azure-monitor/containers/container-insights-analyze" xr:uid="{601E808F-86D3-4544-BDEE-38847651E7AB}"/>
    <hyperlink ref="G67" r:id="rId63" tooltip="https://docs.microsoft.com/azure/aks/configure-azure-cni" xr:uid="{8A3F0056-83E0-490C-A5C7-C4159EA415CB}"/>
    <hyperlink ref="G68" r:id="rId64" tooltip="https://docs.microsoft.com/azure/virtual-machines/premium-storage-performance" xr:uid="{7DE9A0EE-549A-4AD8-8E2D-F67E40C7A699}"/>
    <hyperlink ref="G69" r:id="rId65" tooltip="https://docs.microsoft.com/azure/aks/load-balancer-standard" xr:uid="{AE3C1D7E-FF8A-49C9-AF3F-38FAFDEBC8B8}"/>
    <hyperlink ref="G70" r:id="rId66" tooltip="https://docs.microsoft.com/azure/aks/monitor-aks" xr:uid="{39554741-9F54-4FAC-BD7B-BB49956E9C2C}"/>
    <hyperlink ref="G71" r:id="rId67" tooltip="https://docs.microsoft.com/azure/aks/concepts-scale" xr:uid="{1E8D2646-93E8-4F41-9A06-46A8749D0808}"/>
    <hyperlink ref="G72" r:id="rId68" tooltip="https://docs.microsoft.com/azure/aks/concepts-scale" xr:uid="{7B22004E-BC13-4363-BCD0-EC20125A3B75}"/>
    <hyperlink ref="G73" r:id="rId69" tooltip="https://blog.cloudtrooper.net/2020/10/23/which-vm-size-should-i-choose-as-aks-node/" xr:uid="{B4439090-B49F-4934-B785-38827B4542C5}"/>
    <hyperlink ref="G74" r:id="rId70" tooltip="https://docs.microsoft.com/azure/aks/operator-best-practices-scheduler" xr:uid="{086B2D04-E6FC-4D88-BD66-18B5343EF3AB}"/>
    <hyperlink ref="G75" r:id="rId71" tooltip="https://docs.microsoft.com/azure/aks/operator-best-practices-scheduler" xr:uid="{525027EA-9DD9-4A57-8133-3556A1EF1D95}"/>
    <hyperlink ref="G76" r:id="rId72" tooltip="https://docs.microsoft.com/azure/azure-resource-manager/management/azure-subscription-service-limits" xr:uid="{011F2BEA-CC71-4649-AA9E-516C2B524152}"/>
    <hyperlink ref="G77" r:id="rId73" tooltip="https://docs.microsoft.com/azure/developer/terraform/create-k8s-cluster-with-tf-and-aks" xr:uid="{E48F24CA-9DC9-4785-9C83-9EA0FE171862}"/>
    <hyperlink ref="G78" r:id="rId74" tooltip="https://docs.microsoft.com/azure/architecture/reference-architectures/containers/aks/secure-baseline-aks" xr:uid="{9C5A5269-3AC6-4FA6-81CB-4C6A19D0B121}"/>
    <hyperlink ref="G79" r:id="rId75" tooltip="https://docs.microsoft.com/azure/azure-functions/functions-kubernetes-keda" xr:uid="{25AFB495-CC2C-4E75-B4B1-2564FE2FE4AE}"/>
    <hyperlink ref="G80" r:id="rId76" tooltip="https://dapr.io/" xr:uid="{4DD05553-48F0-4788-A47B-F5A2D42F4E0A}"/>
  </hyperlinks>
  <pageMargins left="0.7" right="0.7" top="0.75" bottom="0.75" header="0.3" footer="0.3"/>
  <pageSetup paperSize="9" orientation="portrait" horizontalDpi="4294967293" r:id="rId77"/>
  <drawing r:id="rId78"/>
  <legacyDrawing r:id="rId7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0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201930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1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2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3" name="Group Box 5">
              <controlPr defaultSize="0" autoFill="0" autoPict="0">
                <anchor moveWithCells="1">
                  <from>
                    <xdr:col>2</xdr:col>
                    <xdr:colOff>8183880</xdr:colOff>
                    <xdr:row>0</xdr:row>
                    <xdr:rowOff>144780</xdr:rowOff>
                  </from>
                  <to>
                    <xdr:col>3</xdr:col>
                    <xdr:colOff>601980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4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5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640080</xdr:rowOff>
                  </from>
                  <to>
                    <xdr:col>2</xdr:col>
                    <xdr:colOff>7898130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6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7117080</xdr:colOff>
                    <xdr:row>0</xdr:row>
                    <xdr:rowOff>754380</xdr:rowOff>
                  </from>
                  <to>
                    <xdr:col>2</xdr:col>
                    <xdr:colOff>8031480</xdr:colOff>
                    <xdr:row>0</xdr:row>
                    <xdr:rowOff>982980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7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8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6678930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9" name="Option Button 13">
              <controlPr defaultSize="0" autoFill="0" autoLine="0" autoPict="0" macro="[0]!Sheet1.set_lz">
                <anchor moveWithCells="1">
                  <from>
                    <xdr:col>2</xdr:col>
                    <xdr:colOff>5821680</xdr:colOff>
                    <xdr:row>0</xdr:row>
                    <xdr:rowOff>697230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0" name="Option Button 14">
              <controlPr defaultSize="0" autoFill="0" autoLine="0" autoPict="0" macro="[0]!Sheet1.set_aks">
                <anchor moveWithCells="1">
                  <from>
                    <xdr:col>2</xdr:col>
                    <xdr:colOff>5821680</xdr:colOff>
                    <xdr:row>0</xdr:row>
                    <xdr:rowOff>857250</xdr:rowOff>
                  </from>
                  <to>
                    <xdr:col>2</xdr:col>
                    <xdr:colOff>6793230</xdr:colOff>
                    <xdr:row>0</xdr:row>
                    <xdr:rowOff>1078230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1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7117080</xdr:colOff>
                    <xdr:row>0</xdr:row>
                    <xdr:rowOff>1047750</xdr:rowOff>
                  </from>
                  <to>
                    <xdr:col>2</xdr:col>
                    <xdr:colOff>8164830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2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1040130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C8" sqref="C8"/>
    </sheetView>
  </sheetViews>
  <sheetFormatPr defaultRowHeight="14.4" x14ac:dyDescent="0.55000000000000004"/>
  <cols>
    <col min="2" max="2" width="10" bestFit="1" customWidth="1"/>
  </cols>
  <sheetData>
    <row r="1" spans="1:4" x14ac:dyDescent="0.55000000000000004">
      <c r="A1" t="s">
        <v>3</v>
      </c>
      <c r="B1" t="s">
        <v>4</v>
      </c>
      <c r="C1" t="s">
        <v>16</v>
      </c>
      <c r="D1" t="s">
        <v>21</v>
      </c>
    </row>
    <row r="2" spans="1:4" x14ac:dyDescent="0.55000000000000004">
      <c r="A2" t="s">
        <v>6</v>
      </c>
      <c r="B2" s="12" t="s">
        <v>7</v>
      </c>
      <c r="C2" t="s">
        <v>42</v>
      </c>
      <c r="D2" s="21" t="s">
        <v>22</v>
      </c>
    </row>
    <row r="3" spans="1:4" x14ac:dyDescent="0.55000000000000004">
      <c r="A3" t="s">
        <v>9</v>
      </c>
      <c r="B3" s="9" t="s">
        <v>10</v>
      </c>
      <c r="C3" t="s">
        <v>49</v>
      </c>
    </row>
    <row r="4" spans="1:4" x14ac:dyDescent="0.55000000000000004">
      <c r="A4" t="s">
        <v>8</v>
      </c>
      <c r="B4" s="10" t="s">
        <v>11</v>
      </c>
      <c r="C4" t="s">
        <v>32</v>
      </c>
    </row>
    <row r="5" spans="1:4" x14ac:dyDescent="0.55000000000000004">
      <c r="B5" s="11" t="s">
        <v>12</v>
      </c>
      <c r="C5" t="s">
        <v>71</v>
      </c>
    </row>
    <row r="6" spans="1:4" x14ac:dyDescent="0.55000000000000004">
      <c r="C6" t="s">
        <v>83</v>
      </c>
    </row>
    <row r="7" spans="1:4" x14ac:dyDescent="0.55000000000000004">
      <c r="C7" t="s">
        <v>85</v>
      </c>
    </row>
    <row r="8" spans="1:4" x14ac:dyDescent="0.55000000000000004">
      <c r="C8" t="s">
        <v>120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2021-10-22T11:47:11Z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