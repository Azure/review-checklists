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jomore\Repos\review-checklists\samples\"/>
    </mc:Choice>
  </mc:AlternateContent>
  <xr:revisionPtr revIDLastSave="0" documentId="13_ncr:1_{A54D77BD-CAF3-40FC-8C16-4C4CC4229CBD}" xr6:coauthVersionLast="47" xr6:coauthVersionMax="47" xr10:uidLastSave="{00000000-0000-0000-0000-000000000000}"/>
  <bookViews>
    <workbookView xWindow="-120" yWindow="-120" windowWidth="29040" windowHeight="15720" tabRatio="320" activeTab="1" xr2:uid="{7C48A3BA-F709-465A-898F-4602D688CCF0}"/>
  </bookViews>
  <sheets>
    <sheet name="Dashboard" sheetId="7" r:id="rId1"/>
    <sheet name="Checklist" sheetId="5" r:id="rId2"/>
    <sheet name="Values" sheetId="6" r:id="rId3"/>
  </sheets>
  <functionGroups builtInGroupCount="19"/>
  <definedNames>
    <definedName name="_xlnm._FilterDatabase" localSheetId="1" hidden="1">Checklist!$A$4:$H$166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7" i="7" l="1"/>
  <c r="L7" i="7" s="1" a="1"/>
  <c r="L7" i="7" s="1"/>
  <c r="H8" i="7"/>
  <c r="K8" i="7" s="1" a="1"/>
  <c r="K8" i="7" s="1"/>
  <c r="H9" i="7"/>
  <c r="K9" i="7" s="1" a="1"/>
  <c r="K9" i="7" s="1"/>
  <c r="H10" i="7"/>
  <c r="L10" i="7" s="1" a="1"/>
  <c r="L10" i="7" s="1"/>
  <c r="H11" i="7"/>
  <c r="I11" i="7" s="1" a="1"/>
  <c r="I11" i="7" s="1"/>
  <c r="H12" i="7"/>
  <c r="L12" i="7" s="1" a="1"/>
  <c r="L12" i="7" s="1"/>
  <c r="H6" i="7"/>
  <c r="L6" i="7" s="1" a="1"/>
  <c r="L6" i="7" s="1"/>
  <c r="N20" i="7"/>
  <c r="P20" i="7" s="1" a="1"/>
  <c r="P20" i="7" s="1"/>
  <c r="N21" i="7"/>
  <c r="O21" i="7" s="1" a="1"/>
  <c r="O21" i="7" s="1"/>
  <c r="N22" i="7"/>
  <c r="P22" i="7" s="1" a="1"/>
  <c r="P22" i="7" s="1"/>
  <c r="N23" i="7"/>
  <c r="O23" i="7" s="1" a="1"/>
  <c r="O23" i="7" s="1"/>
  <c r="N24" i="7"/>
  <c r="Q24" i="7" s="1" a="1"/>
  <c r="Q24" i="7" s="1"/>
  <c r="N25" i="7"/>
  <c r="N26" i="7"/>
  <c r="P26" i="7" s="1" a="1"/>
  <c r="P26" i="7" s="1"/>
  <c r="P19" i="7"/>
  <c r="O19" i="7"/>
  <c r="L5" i="7"/>
  <c r="K5" i="7"/>
  <c r="J5" i="7"/>
  <c r="I5" i="7"/>
  <c r="E5" i="7"/>
  <c r="D5" i="7"/>
  <c r="C5" i="7"/>
  <c r="B5" i="7"/>
  <c r="E8" i="7" a="1"/>
  <c r="E8" i="7" s="1"/>
  <c r="E7" i="7" a="1"/>
  <c r="E7" i="7" s="1"/>
  <c r="E6" i="7" a="1"/>
  <c r="E6" i="7" s="1"/>
  <c r="D8" i="7" a="1"/>
  <c r="D8" i="7" s="1"/>
  <c r="D7" i="7" a="1"/>
  <c r="D7" i="7" s="1"/>
  <c r="D6" i="7" a="1"/>
  <c r="D6" i="7" s="1"/>
  <c r="C8" i="7" a="1"/>
  <c r="C8" i="7" s="1"/>
  <c r="C7" i="7" a="1"/>
  <c r="C7" i="7" s="1"/>
  <c r="C6" i="7" a="1"/>
  <c r="C6" i="7" s="1"/>
  <c r="B8" i="7" a="1"/>
  <c r="B8" i="7" s="1"/>
  <c r="B7" i="7" a="1"/>
  <c r="B7" i="7" s="1"/>
  <c r="B6" i="7" a="1"/>
  <c r="B6" i="7" s="1"/>
  <c r="A7" i="7"/>
  <c r="A8" i="7"/>
  <c r="A6" i="7"/>
  <c r="J12" i="7" l="1" a="1"/>
  <c r="J12" i="7" s="1"/>
  <c r="Q23" i="7" a="1"/>
  <c r="Q23" i="7" s="1"/>
  <c r="J7" i="7" a="1"/>
  <c r="J7" i="7" s="1"/>
  <c r="K12" i="7" a="1"/>
  <c r="K12" i="7" s="1"/>
  <c r="Q26" i="7" a="1"/>
  <c r="Q26" i="7" s="1"/>
  <c r="L9" i="7" a="1"/>
  <c r="L9" i="7" s="1"/>
  <c r="I9" i="7" a="1"/>
  <c r="I9" i="7" s="1"/>
  <c r="O22" i="7" a="1"/>
  <c r="O22" i="7" s="1"/>
  <c r="Q22" i="7" a="1"/>
  <c r="Q22" i="7" s="1"/>
  <c r="I8" i="7" a="1"/>
  <c r="I8" i="7" s="1"/>
  <c r="L8" i="7" a="1"/>
  <c r="L8" i="7" s="1"/>
  <c r="Q21" i="7" a="1"/>
  <c r="Q21" i="7" s="1"/>
  <c r="I12" i="7" a="1"/>
  <c r="I12" i="7" s="1"/>
  <c r="O26" i="7" a="1"/>
  <c r="O26" i="7" s="1"/>
  <c r="Q25" i="7" a="1"/>
  <c r="Q25" i="7" s="1"/>
  <c r="O25" i="7" a="1"/>
  <c r="O25" i="7" s="1"/>
  <c r="P25" i="7" a="1"/>
  <c r="P25" i="7" s="1"/>
  <c r="J11" i="7" a="1"/>
  <c r="J11" i="7" s="1"/>
  <c r="K11" i="7" a="1"/>
  <c r="K11" i="7" s="1"/>
  <c r="L11" i="7" a="1"/>
  <c r="L11" i="7" s="1"/>
  <c r="P24" i="7" a="1"/>
  <c r="P24" i="7" s="1"/>
  <c r="J10" i="7" a="1"/>
  <c r="J10" i="7" s="1"/>
  <c r="O24" i="7" a="1"/>
  <c r="O24" i="7" s="1"/>
  <c r="K10" i="7" a="1"/>
  <c r="K10" i="7" s="1"/>
  <c r="I10" i="7" a="1"/>
  <c r="I10" i="7" s="1"/>
  <c r="P23" i="7" a="1"/>
  <c r="P23" i="7" s="1"/>
  <c r="J9" i="7" a="1"/>
  <c r="J9" i="7" s="1"/>
  <c r="J8" i="7" a="1"/>
  <c r="J8" i="7" s="1"/>
  <c r="P21" i="7" a="1"/>
  <c r="P21" i="7" s="1"/>
  <c r="K7" i="7" a="1"/>
  <c r="K7" i="7" s="1"/>
  <c r="I7" i="7" a="1"/>
  <c r="I7" i="7" s="1"/>
  <c r="J6" i="7" a="1"/>
  <c r="J6" i="7" s="1"/>
  <c r="O20" i="7" a="1"/>
  <c r="O20" i="7" s="1"/>
  <c r="I6" i="7" a="1"/>
  <c r="I6" i="7" s="1"/>
  <c r="K6" i="7" a="1"/>
  <c r="K6" i="7" s="1"/>
  <c r="Q20" i="7" a="1"/>
  <c r="Q20" i="7" s="1"/>
  <c r="B9" i="7"/>
  <c r="D9" i="7"/>
  <c r="E9" i="7"/>
  <c r="F7" i="7"/>
  <c r="F8" i="7"/>
  <c r="C9" i="7"/>
  <c r="F6" i="7"/>
  <c r="R23" i="7" l="1"/>
  <c r="S23" i="7" s="1"/>
  <c r="M12" i="7"/>
  <c r="R22" i="7"/>
  <c r="S22" i="7" s="1"/>
  <c r="R26" i="7"/>
  <c r="S26" i="7" s="1"/>
  <c r="M9" i="7"/>
  <c r="M8" i="7"/>
  <c r="L13" i="7"/>
  <c r="R21" i="7"/>
  <c r="S21" i="7" s="1"/>
  <c r="R24" i="7"/>
  <c r="S24" i="7" s="1"/>
  <c r="M7" i="7"/>
  <c r="M6" i="7"/>
  <c r="M10" i="7"/>
  <c r="M11" i="7"/>
  <c r="R20" i="7"/>
  <c r="S20" i="7" s="1"/>
  <c r="R25" i="7"/>
  <c r="S25" i="7" s="1"/>
  <c r="O27" i="7"/>
  <c r="P27" i="7"/>
  <c r="Q27" i="7"/>
  <c r="I13" i="7"/>
  <c r="K13" i="7"/>
  <c r="J13" i="7"/>
  <c r="F9" i="7"/>
  <c r="R27" i="7" l="1"/>
  <c r="S27" i="7" s="1"/>
  <c r="D2" i="7" s="1"/>
  <c r="M13"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<sst xmlns="http://schemas.openxmlformats.org/spreadsheetml/2006/main" count="490" uniqueCount="127">
  <si>
    <t xml:space="preserve">Please go through each line and change status depending on how your landing zone fulfills the design recommendation. For design recommendation that don’t apply to your landing zone, change status to “N/A”.  Use the Comment column to add a note too. </t>
  </si>
  <si>
    <t>Main Area</t>
  </si>
  <si>
    <t>Sub Area</t>
  </si>
  <si>
    <t>Question</t>
  </si>
  <si>
    <t>Severity</t>
  </si>
  <si>
    <t>Status</t>
  </si>
  <si>
    <t>Comment</t>
  </si>
  <si>
    <t>High</t>
  </si>
  <si>
    <t>Not verified</t>
  </si>
  <si>
    <t>Low</t>
  </si>
  <si>
    <t>Medium</t>
  </si>
  <si>
    <t>Open</t>
  </si>
  <si>
    <t>Fulfilled</t>
  </si>
  <si>
    <t>N/A</t>
  </si>
  <si>
    <r>
      <rPr>
        <sz val="28"/>
        <color rgb="FF0078D4"/>
        <rFont val="Segoe UI Semibold"/>
        <family val="2"/>
      </rPr>
      <t xml:space="preserve">FastTrack for Azure
</t>
    </r>
    <r>
      <rPr>
        <b/>
        <sz val="14"/>
        <color rgb="FF625E5E"/>
        <rFont val="Segoe UI Semibold"/>
        <family val="2"/>
      </rPr>
      <t>Azure Review Checklist</t>
    </r>
  </si>
  <si>
    <t>More info</t>
  </si>
  <si>
    <t>Review Status</t>
  </si>
  <si>
    <t>Category</t>
  </si>
  <si>
    <t>Total</t>
  </si>
  <si>
    <t>Progress</t>
  </si>
  <si>
    <t>Closed</t>
  </si>
  <si>
    <t>Reference checklist URL</t>
  </si>
  <si>
    <t>Training</t>
  </si>
  <si>
    <t>https://raw.githubusercontent.com/Azure/review-checklists/main/samples/lz_checklist.en.json</t>
  </si>
  <si>
    <t>BC y DR</t>
  </si>
  <si>
    <t>Requisitos</t>
  </si>
  <si>
    <t>Defina los SLA, RTO y RPO requeridos.</t>
  </si>
  <si>
    <t>Alto</t>
  </si>
  <si>
    <t>DR</t>
  </si>
  <si>
    <t>Realizar pruebas de DR</t>
  </si>
  <si>
    <t>Medio</t>
  </si>
  <si>
    <t>TIENE</t>
  </si>
  <si>
    <t>Usar zonas de disponibilidad</t>
  </si>
  <si>
    <t>Utilice la oferta de AKS respaldada por SLA</t>
  </si>
  <si>
    <t>Bajo</t>
  </si>
  <si>
    <t>Identidad</t>
  </si>
  <si>
    <t>Usar identidades administradas en lugar de entidades de servicio</t>
  </si>
  <si>
    <t>Limitar el acceso a admin kubeconfig (get-credentials --admin)</t>
  </si>
  <si>
    <t>Usar espacios de nombres para restringir los privilegios RBAC en Kubernetes</t>
  </si>
  <si>
    <t>IPAM</t>
  </si>
  <si>
    <t>Elija el mejor complemento de CNI para sus requisitos (se recomienda Azure CNI)</t>
  </si>
  <si>
    <t>Si utiliza servicios LoadBalancer de IP privada, utilice una subred dedicada (no la subred AKS)</t>
  </si>
  <si>
    <t>Seguridad</t>
  </si>
  <si>
    <t>Escalabilidad</t>
  </si>
  <si>
    <t>Usar un controlador de entrada para exponer aplicaciones basadas en web</t>
  </si>
  <si>
    <t>Costar</t>
  </si>
  <si>
    <t>Usar un WAF para cargas de trabajo web (UI o API)</t>
  </si>
  <si>
    <t>No utilice el complemento aks application routing</t>
  </si>
  <si>
    <t>Gobernanza y seguridad</t>
  </si>
  <si>
    <t>Secretos</t>
  </si>
  <si>
    <t>Conformidad</t>
  </si>
  <si>
    <t>Separe las aplicaciones del plano de control con grupos de nodos de usuario/sistema</t>
  </si>
  <si>
    <t>Etiquetar el grupo de nodos del sistema para usarlo con selectores de nodos</t>
  </si>
  <si>
    <t>Uso de Azure Security Center para detectar vulnerabilidades de la postura de seguridad</t>
  </si>
  <si>
    <t>Gobernanza de costos</t>
  </si>
  <si>
    <t>Operaciones</t>
  </si>
  <si>
    <t>Almacenamiento</t>
  </si>
  <si>
    <t>Si utiliza AzFiles Standard, considere AzFiles Premium y/o ANF por razones de rendimiento</t>
  </si>
  <si>
    <t>Si usa Azure Disks and AZs, considere la posibilidad de dedicar nodos por AZ y WaitForFirstConsumer</t>
  </si>
  <si>
    <t>Alertas</t>
  </si>
  <si>
    <t>Usar kured para actualizaciones de nodos Linux</t>
  </si>
  <si>
    <t>Considere los grupos de nodos puntuales para cargas de trabajo no sensibles al tiempo</t>
  </si>
  <si>
    <t>Utilice herramientas como kubecost para asignar costos a diferentes departamentos</t>
  </si>
  <si>
    <t>No utilice API de Kubernetes obsoletas en los manifiestos de YAML</t>
  </si>
  <si>
    <t>Nodos de Windows taint</t>
  </si>
  <si>
    <t>Si usa Azure CNI, supervise % de ip de pod consumidas por nodo</t>
  </si>
  <si>
    <t>Supervisar la profundidad de la cola de disco del sistema operativo en los nodos</t>
  </si>
  <si>
    <t>Recursos</t>
  </si>
  <si>
    <t>Aplicar cuotas de recursos para espacios de nombres</t>
  </si>
  <si>
    <t>IaC</t>
  </si>
  <si>
    <t>Desarrollo</t>
  </si>
  <si>
    <t>Usar implementaciones canarias o azules/verdes</t>
  </si>
  <si>
    <t>Usar KEDA si se ejecutan cargas de trabajo controladas por eventos</t>
  </si>
  <si>
    <t>Utilice Dapr para facilitar el desarrollo de microservicios</t>
  </si>
  <si>
    <t>Usar el Administrador de tráfico o Front Door como equilibrador de carga global para la conmutación por error de la región</t>
  </si>
  <si>
    <t>Usar presupuestos de interrupción en las especificaciones del pod</t>
  </si>
  <si>
    <t>Si utiliza un registro privado, configure la replicación de regiones para almacenar imágenes en varias regiones</t>
  </si>
  <si>
    <t>Gestión de identidades y accesos</t>
  </si>
  <si>
    <t>Integrar la autenticación con AAD (mediante la integración administrada)</t>
  </si>
  <si>
    <t>Integrar la autorización con AAD RBAC</t>
  </si>
  <si>
    <t>Usar la identidad de Pod para identidades de carga de trabajo (addon v2 en versión preliminar hoy)</t>
  </si>
  <si>
    <t>Topología y conectividad de red</t>
  </si>
  <si>
    <t>Si usa Azure CNI, ajuste el tamaño de la subred en consecuencia</t>
  </si>
  <si>
    <t>Si usa Azure CNI, compruebe el máximo de pods/nodo (predeterminado 30)</t>
  </si>
  <si>
    <t>Filtre el tráfico de salida con AzFW/NVA si sus requisitos de seguridad lo exigen</t>
  </si>
  <si>
    <t>Si utiliza puntos de API públicos, restrinja las direcciones IP que pueden acceder a él</t>
  </si>
  <si>
    <t>Prácticas recomendadas</t>
  </si>
  <si>
    <t>Si usa AGIC, no comparta una AppGW entre clústeres</t>
  </si>
  <si>
    <t>Usar puntos de conexión privados (preferidos) o extremos de servicio de red virtual para acceder a PaaS desde el clúster</t>
  </si>
  <si>
    <t>Usar clústeres privados si sus requisitos lo exigen</t>
  </si>
  <si>
    <t>Habilitar una opción de directiva de red de Kubernetes (Calico/Azure)</t>
  </si>
  <si>
    <t>Usar directivas de red para aumentar la seguridad dentro del clúster</t>
  </si>
  <si>
    <t>Usar el estándar DDoS en la red virtual de AKS</t>
  </si>
  <si>
    <t>Si se requiere conectividad híbrida, use 2xER o ER+VPN para una mejor disponibilidad</t>
  </si>
  <si>
    <t>Considere la posibilidad de utilizar una malla de servicios para la administración avanzada de comunicaciones de microservicios</t>
  </si>
  <si>
    <t>Almacene sus secretos en el Almacén de claves de Azure con el controlador del Almacén de secretos de CSI</t>
  </si>
  <si>
    <t>Si el usuario entidades de servicio para el clúster, actualice las credenciales periódicamente (como trimestralmente)</t>
  </si>
  <si>
    <t>Usar Azure Policy for Kubernetes para garantizar el cumplimiento del clúster</t>
  </si>
  <si>
    <t>Utilice un registro privado para sus imágenes, como ACR</t>
  </si>
  <si>
    <t>Escanee sus imágenes en busca de vulnerabilidades</t>
  </si>
  <si>
    <t>Definir los requisitos de separación de aplicaciones (espacio de nombres/nodepool/clúster)</t>
  </si>
  <si>
    <t>Utilice una aplicación externa como kubecost para asignar custs a diferentes usuarios</t>
  </si>
  <si>
    <t>Usar discos efímeros del sistema operativo</t>
  </si>
  <si>
    <t>Si no usa discos efímeros, use discos de sistema operativo más grandes para los nodos, especialmente si hay muchos pods/nodos</t>
  </si>
  <si>
    <t>Evite mantener el estado en el clúster y almacene datos fuera (AzStorage, AzSQL, Cosmos, etc.)</t>
  </si>
  <si>
    <t>Consulte periódicamente Azure Advisor para obtener recomendaciones sobre el clúster</t>
  </si>
  <si>
    <t>Consulte regularmente kubeadvisor para obtener recomendaciones sobre su clúster</t>
  </si>
  <si>
    <t>Monitorización</t>
  </si>
  <si>
    <t>Supervise las métricas de clúster con Azure Monitor, Prometheus o similar</t>
  </si>
  <si>
    <t>Almacene y analice los registros de clúster con Azure Monitor, Telegraf/ElasticSearch o similar</t>
  </si>
  <si>
    <t>Configurar alertas en las métricas más críticas (Container Insights para recomendaciones)</t>
  </si>
  <si>
    <t>Tener un proceso regular para actualizar el clúster periódicamente (trimestralmente, por ejemplo)</t>
  </si>
  <si>
    <t>Considere gitops para implementar aplicaciones o configuración de clúster en varios clústeres</t>
  </si>
  <si>
    <t>Considere el nodo virtual para ráfagas rápidas</t>
  </si>
  <si>
    <t>Asegúrese de que los operadores del nodo RG no realicen ningún cambio (también conocido como 'infra RG')</t>
  </si>
  <si>
    <t>Usar el nombre personalizado de Node RG (también conocido como 'Infra RG')</t>
  </si>
  <si>
    <t>Mantenga sincronizado el nivel de revisión de contenedores de Windows con el nivel de revisión de host</t>
  </si>
  <si>
    <t>Supervisar la utilización de la CPU y la memoria de los nodos</t>
  </si>
  <si>
    <t>Si no utiliza el filtrado de salida con AzFW/NVA, supervise los puertos SNAT alB estándar asignados</t>
  </si>
  <si>
    <t>Enviar registros maestros (también conocidos como registros de API) a Log Analytics</t>
  </si>
  <si>
    <t>Usar el escalador automático de clústeres</t>
  </si>
  <si>
    <t>Utilice el escalador automático de pod horizontal cuando sea necesario</t>
  </si>
  <si>
    <t>Considere un tamaño de nodo apropiado, no demasiado grande o demasiado pequeño</t>
  </si>
  <si>
    <t>Solicitudes y límites de Configre en las especificaciones de su pod</t>
  </si>
  <si>
    <t>Asegúrese de que su suscripción tenga suficiente cuota para escalar horizontalmente sus nodos</t>
  </si>
  <si>
    <t>Implementación de aplicaciones</t>
  </si>
  <si>
    <t>Uso de la automatización a través de ARM/TF para crear los recursos de Azure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</si>
</sst>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u/>
      <sz val="11"/>
      <color theme="10"/>
      <name val="Calibri"/>
      <family val="2"/>
      <scheme val="minor"/>
    </font>
    <font>
      <sz val="11"/>
      <color theme="1"/>
      <name val="Calibri"/>
      <family val="2"/>
      <scheme val="minor"/>
    </font>
    <font>
      <sz val="11"/>
      <color theme="1"/>
      <name val="Segoe UI"/>
      <family val="2"/>
    </font>
    <font>
      <u/>
      <sz val="11"/>
      <color theme="10"/>
      <name val="Segoe UI"/>
      <family val="2"/>
    </font>
    <font>
      <sz val="16"/>
      <color theme="0"/>
      <name val="Segoe UI Semibold"/>
      <family val="2"/>
    </font>
    <font>
      <b/>
      <sz val="11"/>
      <color theme="1"/>
      <name val="Segoe UI"/>
      <family val="2"/>
    </font>
    <font>
      <sz val="28"/>
      <color rgb="FF0078D4"/>
      <name val="Segoe UI Semibold"/>
      <family val="2"/>
    </font>
    <font>
      <sz val="11"/>
      <color rgb="FF000000"/>
      <name val="Calibri"/>
      <family val="2"/>
    </font>
    <font>
      <b/>
      <sz val="11"/>
      <color theme="1"/>
      <name val="Calibri"/>
      <family val="2"/>
      <scheme val="minor"/>
    </font>
    <font>
      <sz val="11"/>
      <color theme="1"/>
      <name val="Segoe UI Semibold"/>
      <family val="2"/>
    </font>
    <font>
      <b/>
      <sz val="14"/>
      <color rgb="FF625E5E"/>
      <name val="Segoe UI Semibold"/>
      <family val="2"/>
    </font>
    <font>
      <b/>
      <sz val="11"/>
      <color theme="4"/>
      <name val="Calibri"/>
      <family val="2"/>
      <scheme val="minor"/>
    </font>
    <font>
      <b/>
      <sz val="22"/>
      <color theme="4"/>
      <name val="Calibri"/>
      <family val="2"/>
      <scheme val="minor"/>
    </font>
    <font>
      <b/>
      <sz val="24"/>
      <color theme="4"/>
      <name val="Calibri"/>
      <family val="2"/>
      <scheme val="minor"/>
    </font>
    <font>
      <sz val="8"/>
      <color rgb="FF000000"/>
      <name val="Segoe UI"/>
      <family val="2"/>
    </font>
  </fonts>
  <fills count="8">
    <fill>
      <patternFill patternType="none"/>
    </fill>
    <fill>
      <patternFill patternType="gray125"/>
    </fill>
    <fill>
      <patternFill patternType="solid">
        <fgColor rgb="FFFFFFCC"/>
      </patternFill>
    </fill>
    <fill>
      <patternFill patternType="solid">
        <fgColor rgb="FFFF0000"/>
        <bgColor indexed="64"/>
      </patternFill>
    </fill>
    <fill>
      <patternFill patternType="solid">
        <fgColor rgb="FF00B050"/>
        <bgColor indexed="64"/>
      </patternFill>
    </fill>
    <fill>
      <patternFill patternType="solid">
        <fgColor theme="1"/>
        <bgColor indexed="64"/>
      </patternFill>
    </fill>
    <fill>
      <patternFill patternType="solid">
        <fgColor theme="0" tint="-0.249977111117893"/>
        <bgColor indexed="64"/>
      </patternFill>
    </fill>
    <fill>
      <patternFill patternType="solid">
        <fgColor theme="7"/>
        <bgColor indexed="64"/>
      </patternFill>
    </fill>
  </fills>
  <borders count="2">
    <border>
      <left/>
      <right/>
      <top/>
      <bottom/>
      <diagonal/>
    </border>
    <border>
      <left style="thin">
        <color rgb="FFB2B2B2"/>
      </left>
      <right style="thin">
        <color rgb="FFB2B2B2"/>
      </right>
      <top style="thin">
        <color rgb="FFB2B2B2"/>
      </top>
      <bottom style="thin">
        <color rgb="FFB2B2B2"/>
      </bottom>
      <diagonal/>
    </border>
  </borders>
  <cellStyleXfs count="4">
    <xf numFmtId="0" fontId="0" fillId="0" borderId="0"/>
    <xf numFmtId="0" fontId="1" fillId="0" borderId="0" applyNumberFormat="0" applyFill="0" applyBorder="0" applyAlignment="0" applyProtection="0"/>
    <xf numFmtId="0" fontId="2" fillId="2" borderId="1" applyNumberFormat="0" applyFont="0" applyAlignment="0" applyProtection="0"/>
    <xf numFmtId="9" fontId="2" fillId="0" borderId="0" applyFont="0" applyFill="0" applyBorder="0" applyAlignment="0" applyProtection="0"/>
  </cellStyleXfs>
  <cellXfs count="24">
    <xf numFmtId="0" fontId="0" fillId="0" borderId="0" xfId="0"/>
    <xf numFmtId="0" fontId="3" fillId="0" borderId="0" xfId="0" applyFont="1" applyAlignment="1">
      <alignment horizontal="left" vertical="top" wrapText="1"/>
    </xf>
    <xf numFmtId="0" fontId="3" fillId="0" borderId="0" xfId="0" applyFont="1" applyAlignment="1">
      <alignment horizontal="left" vertical="top"/>
    </xf>
    <xf numFmtId="0" fontId="4" fillId="0" borderId="0" xfId="1" applyFont="1" applyAlignment="1">
      <alignment horizontal="left" vertical="top"/>
    </xf>
    <xf numFmtId="0" fontId="3" fillId="0" borderId="0" xfId="0" applyFont="1" applyAlignment="1">
      <alignment vertical="top" wrapText="1"/>
    </xf>
    <xf numFmtId="0" fontId="6" fillId="0" borderId="0" xfId="2" applyFont="1" applyFill="1" applyBorder="1" applyAlignment="1">
      <alignment vertical="top"/>
    </xf>
    <xf numFmtId="0" fontId="6" fillId="0" borderId="0" xfId="2" applyFont="1" applyFill="1" applyBorder="1" applyAlignment="1">
      <alignment vertical="top" wrapText="1"/>
    </xf>
    <xf numFmtId="0" fontId="6" fillId="0" borderId="0" xfId="0" applyFont="1" applyAlignment="1">
      <alignment horizontal="left" vertical="top"/>
    </xf>
    <xf numFmtId="0" fontId="5" fillId="5" borderId="0" xfId="0" applyFont="1" applyFill="1" applyAlignment="1">
      <alignment horizontal="left" vertical="top"/>
    </xf>
    <xf numFmtId="0" fontId="3" fillId="0" borderId="0" xfId="0" applyFont="1" applyAlignment="1">
      <alignment vertical="top"/>
    </xf>
    <xf numFmtId="0" fontId="0" fillId="3" borderId="0" xfId="0" applyFill="1"/>
    <xf numFmtId="0" fontId="0" fillId="4" borderId="0" xfId="0" applyFill="1"/>
    <xf numFmtId="0" fontId="0" fillId="6" borderId="0" xfId="0" applyFill="1"/>
    <xf numFmtId="0" fontId="0" fillId="7" borderId="0" xfId="0" applyFill="1"/>
    <xf numFmtId="0" fontId="1" fillId="0" borderId="0" xfId="1" applyAlignment="1">
      <alignment horizontal="left" vertical="top"/>
    </xf>
    <xf numFmtId="0" fontId="10" fillId="0" borderId="0" xfId="0" applyFont="1" applyAlignment="1">
      <alignment horizontal="left" vertical="center" wrapText="1" indent="10"/>
    </xf>
    <xf numFmtId="0" fontId="9" fillId="0" borderId="0" xfId="0" applyFont="1"/>
    <xf numFmtId="0" fontId="14" fillId="0" borderId="0" xfId="0" applyFont="1"/>
    <xf numFmtId="9" fontId="0" fillId="0" borderId="0" xfId="3" applyFont="1"/>
    <xf numFmtId="9" fontId="12" fillId="0" borderId="0" xfId="3" applyFont="1"/>
    <xf numFmtId="9" fontId="13" fillId="0" borderId="0" xfId="0" applyNumberFormat="1" applyFont="1"/>
    <xf numFmtId="0" fontId="1" fillId="0" borderId="0" xfId="1" applyFill="1" applyBorder="1" applyAlignment="1">
      <alignment vertical="center"/>
    </xf>
    <xf numFmtId="0" fontId="1" fillId="0" borderId="0" xfId="1"/>
    <xf numFmtId="0" fontId="3" fillId="0" borderId="0" xfId="0" applyFont="1" applyAlignment="1">
      <alignment horizontal="left"/>
    </xf>
  </cellXfs>
  <cellStyles count="4">
    <cellStyle name="Hyperlink" xfId="1" builtinId="8"/>
    <cellStyle name="Normal" xfId="0" builtinId="0"/>
    <cellStyle name="Note" xfId="2" builtinId="10"/>
    <cellStyle name="Percent" xfId="3" builtinId="5"/>
  </cellStyles>
  <dxfs count="75">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s>
  <tableStyles count="0" defaultTableStyle="TableStyleMedium2" defaultPivotStyle="PivotStyleLight16"/>
  <colors>
    <mruColors>
      <color rgb="FF625E5E"/>
      <color rgb="FF817D7D"/>
      <color rgb="FF0078D4"/>
      <color rgb="FF50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Overall checks (per severity)</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022-4103-AB6F-73A89D7045B8}"/>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022-4103-AB6F-73A89D7045B8}"/>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022-4103-AB6F-73A89D7045B8}"/>
              </c:ext>
            </c:extLst>
          </c:dPt>
          <c:cat>
            <c:strRef>
              <c:f>Dashboard!$A$6:$A$8</c:f>
              <c:strCache>
                <c:ptCount val="3"/>
                <c:pt idx="0">
                  <c:v>High</c:v>
                </c:pt>
                <c:pt idx="1">
                  <c:v>Medium</c:v>
                </c:pt>
                <c:pt idx="2">
                  <c:v>Low</c:v>
                </c:pt>
              </c:strCache>
            </c:strRef>
          </c:cat>
          <c:val>
            <c:numRef>
              <c:f>Dashboard!$F$6:$F$8</c:f>
              <c:numCache>
                <c:formatCode>General</c:formatCode>
                <c:ptCount val="3"/>
                <c:pt idx="0">
                  <c:v>0</c:v>
                </c:pt>
                <c:pt idx="1">
                  <c:v>0</c:v>
                </c:pt>
                <c:pt idx="2">
                  <c:v>0</c:v>
                </c:pt>
              </c:numCache>
            </c:numRef>
          </c:val>
          <c:extLst>
            <c:ext xmlns:c16="http://schemas.microsoft.com/office/drawing/2014/chart" uri="{C3380CC4-5D6E-409C-BE32-E72D297353CC}">
              <c16:uniqueId val="{00000000-40F4-4D4C-B7F3-53AA5B0E7933}"/>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(overall)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328-4E93-9FAF-CDC3684C0D60}"/>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328-4E93-9FAF-CDC3684C0D60}"/>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328-4E93-9FAF-CDC3684C0D60}"/>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328-4E93-9FAF-CDC3684C0D60}"/>
              </c:ext>
            </c:extLst>
          </c:dPt>
          <c:cat>
            <c:strRef>
              <c:f>Dashboard!$B$5:$E$5</c:f>
              <c:strCache>
                <c:ptCount val="4"/>
                <c:pt idx="0">
                  <c:v>Not verified</c:v>
                </c:pt>
                <c:pt idx="1">
                  <c:v>Open</c:v>
                </c:pt>
                <c:pt idx="2">
                  <c:v>Fulfilled</c:v>
                </c:pt>
                <c:pt idx="3">
                  <c:v>N/A</c:v>
                </c:pt>
              </c:strCache>
            </c:strRef>
          </c:cat>
          <c:val>
            <c:numRef>
              <c:f>Dashboard!$B$9:$E$9</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AAA7-491E-BF02-221FE53ECC2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a:t>
            </a:r>
            <a:r>
              <a:rPr lang="en-US" sz="1100" baseline="0"/>
              <a:t> (High)</a:t>
            </a:r>
            <a:endParaRPr lang="en-US" sz="1100"/>
          </a:p>
        </c:rich>
      </c:tx>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1"/>
          <c:order val="0"/>
          <c:cat>
            <c:strRef>
              <c:f>Dashboard!$B$5:$E$5</c:f>
              <c:strCache>
                <c:ptCount val="4"/>
                <c:pt idx="0">
                  <c:v>Not verified</c:v>
                </c:pt>
                <c:pt idx="1">
                  <c:v>Open</c:v>
                </c:pt>
                <c:pt idx="2">
                  <c:v>Fulfilled</c:v>
                </c:pt>
                <c:pt idx="3">
                  <c:v>N/A</c:v>
                </c:pt>
              </c:strCache>
            </c:strRef>
          </c:cat>
          <c:val>
            <c:numRef>
              <c:f>Dashboard!$B$6:$E$6</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C-906F-43A2-8931-AB6F9CC71ACD}"/>
            </c:ext>
          </c:extLst>
        </c:ser>
        <c:ser>
          <c:idx val="0"/>
          <c:order val="1"/>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4-906F-43A2-8931-AB6F9CC71AC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6-906F-43A2-8931-AB6F9CC71AC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8-906F-43A2-8931-AB6F9CC71AC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A-906F-43A2-8931-AB6F9CC71ACD}"/>
              </c:ext>
            </c:extLst>
          </c:dPt>
          <c:cat>
            <c:strRef>
              <c:f>Dashboard!$B$5:$E$5</c:f>
              <c:strCache>
                <c:ptCount val="4"/>
                <c:pt idx="0">
                  <c:v>Not verified</c:v>
                </c:pt>
                <c:pt idx="1">
                  <c:v>Open</c:v>
                </c:pt>
                <c:pt idx="2">
                  <c:v>Fulfilled</c:v>
                </c:pt>
                <c:pt idx="3">
                  <c:v>N/A</c:v>
                </c:pt>
              </c:strCache>
            </c:strRef>
          </c:cat>
          <c:val>
            <c:numRef>
              <c:f>Dashboard!$B$6:$E$6</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B-906F-43A2-8931-AB6F9CC71ACD}"/>
            </c:ext>
          </c:extLst>
        </c:ser>
        <c:dLbls>
          <c:showLegendKey val="0"/>
          <c:showVal val="0"/>
          <c:showCatName val="0"/>
          <c:showSerName val="0"/>
          <c:showPercent val="0"/>
          <c:showBubbleSize val="0"/>
          <c:showLeaderLines val="1"/>
        </c:dLbls>
      </c:pie3DChart>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(Medium)</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F46-451A-AE1C-09C4AD1E35C2}"/>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F46-451A-AE1C-09C4AD1E35C2}"/>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F46-451A-AE1C-09C4AD1E35C2}"/>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F46-451A-AE1C-09C4AD1E35C2}"/>
              </c:ext>
            </c:extLst>
          </c:dPt>
          <c:cat>
            <c:strRef>
              <c:f>Dashboard!$B$5:$E$5</c:f>
              <c:strCache>
                <c:ptCount val="4"/>
                <c:pt idx="0">
                  <c:v>Not verified</c:v>
                </c:pt>
                <c:pt idx="1">
                  <c:v>Open</c:v>
                </c:pt>
                <c:pt idx="2">
                  <c:v>Fulfilled</c:v>
                </c:pt>
                <c:pt idx="3">
                  <c:v>N/A</c:v>
                </c:pt>
              </c:strCache>
            </c:strRef>
          </c:cat>
          <c:val>
            <c:numRef>
              <c:f>Dashboard!$B$7:$E$7</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80B2-438D-B00E-4E937DE390C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(Low)</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60B-4975-A672-1060207E218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60B-4975-A672-1060207E218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60B-4975-A672-1060207E218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60B-4975-A672-1060207E218B}"/>
              </c:ext>
            </c:extLst>
          </c:dPt>
          <c:cat>
            <c:strRef>
              <c:f>Dashboard!$B$5:$E$5</c:f>
              <c:strCache>
                <c:ptCount val="4"/>
                <c:pt idx="0">
                  <c:v>Not verified</c:v>
                </c:pt>
                <c:pt idx="1">
                  <c:v>Open</c:v>
                </c:pt>
                <c:pt idx="2">
                  <c:v>Fulfilled</c:v>
                </c:pt>
                <c:pt idx="3">
                  <c:v>N/A</c:v>
                </c:pt>
              </c:strCache>
            </c:strRef>
          </c:cat>
          <c:val>
            <c:numRef>
              <c:f>Dashboard!$B$8:$E$8</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7B85-4812-8DC5-4FEFD49C0CB7}"/>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Overall checks (per design</a:t>
            </a:r>
            <a:r>
              <a:rPr lang="en-US" sz="1000" baseline="0"/>
              <a:t> area)</a:t>
            </a:r>
            <a:endParaRPr lang="en-US" sz="1000"/>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D9E-4CE0-A990-137DE654B40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D9E-4CE0-A990-137DE654B40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D9E-4CE0-A990-137DE654B407}"/>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D9E-4CE0-A990-137DE654B407}"/>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5D9E-4CE0-A990-137DE654B407}"/>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5D9E-4CE0-A990-137DE654B407}"/>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5D9E-4CE0-A990-137DE654B407}"/>
              </c:ext>
            </c:extLst>
          </c:dPt>
          <c:cat>
            <c:strRef>
              <c:f>Dashboard!$H$6:$H$12</c:f>
              <c:strCache>
                <c:ptCount val="7"/>
                <c:pt idx="0">
                  <c:v>Gestión de identidades y accesos</c:v>
                </c:pt>
                <c:pt idx="1">
                  <c:v>Topología y conectividad de red</c:v>
                </c:pt>
                <c:pt idx="2">
                  <c:v>BC y DR</c:v>
                </c:pt>
                <c:pt idx="3">
                  <c:v>Gobernanza y seguridad</c:v>
                </c:pt>
                <c:pt idx="4">
                  <c:v>Gobernanza de costos</c:v>
                </c:pt>
                <c:pt idx="5">
                  <c:v>Operaciones</c:v>
                </c:pt>
                <c:pt idx="6">
                  <c:v>Implementación de aplicaciones</c:v>
                </c:pt>
              </c:strCache>
            </c:strRef>
          </c:cat>
          <c:val>
            <c:numRef>
              <c:f>Dashboard!$M$6:$M$12</c:f>
              <c:numCache>
                <c:formatCode>General</c:formatCode>
                <c:ptCount val="7"/>
                <c:pt idx="0">
                  <c:v>6</c:v>
                </c:pt>
                <c:pt idx="1">
                  <c:v>17</c:v>
                </c:pt>
                <c:pt idx="2">
                  <c:v>7</c:v>
                </c:pt>
                <c:pt idx="3">
                  <c:v>9</c:v>
                </c:pt>
                <c:pt idx="4">
                  <c:v>1</c:v>
                </c:pt>
                <c:pt idx="5">
                  <c:v>32</c:v>
                </c:pt>
                <c:pt idx="6">
                  <c:v>4</c:v>
                </c:pt>
              </c:numCache>
            </c:numRef>
          </c:val>
          <c:extLst>
            <c:ext xmlns:c16="http://schemas.microsoft.com/office/drawing/2014/chart" uri="{C3380CC4-5D6E-409C-BE32-E72D297353CC}">
              <c16:uniqueId val="{00000000-641C-4C25-AB91-4B7C0B635C6A}"/>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(per technology)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Dashboard!$I$5</c:f>
              <c:strCache>
                <c:ptCount val="1"/>
                <c:pt idx="0">
                  <c:v>Not verified</c:v>
                </c:pt>
              </c:strCache>
            </c:strRef>
          </c:tx>
          <c:spPr>
            <a:solidFill>
              <a:schemeClr val="accent1"/>
            </a:solidFill>
            <a:ln>
              <a:noFill/>
            </a:ln>
            <a:effectLst/>
            <a:sp3d/>
          </c:spPr>
          <c:invertIfNegative val="0"/>
          <c:cat>
            <c:strRef>
              <c:f>Dashboard!$H$6:$H$12</c:f>
              <c:strCache>
                <c:ptCount val="7"/>
                <c:pt idx="0">
                  <c:v>Gestión de identidades y accesos</c:v>
                </c:pt>
                <c:pt idx="1">
                  <c:v>Topología y conectividad de red</c:v>
                </c:pt>
                <c:pt idx="2">
                  <c:v>BC y DR</c:v>
                </c:pt>
                <c:pt idx="3">
                  <c:v>Gobernanza y seguridad</c:v>
                </c:pt>
                <c:pt idx="4">
                  <c:v>Gobernanza de costos</c:v>
                </c:pt>
                <c:pt idx="5">
                  <c:v>Operaciones</c:v>
                </c:pt>
                <c:pt idx="6">
                  <c:v>Implementación de aplicaciones</c:v>
                </c:pt>
              </c:strCache>
            </c:strRef>
          </c:cat>
          <c:val>
            <c:numRef>
              <c:f>Dashboard!$I$6:$I$12</c:f>
              <c:numCache>
                <c:formatCode>General</c:formatCode>
                <c:ptCount val="7"/>
                <c:pt idx="0">
                  <c:v>6</c:v>
                </c:pt>
                <c:pt idx="1">
                  <c:v>17</c:v>
                </c:pt>
                <c:pt idx="2">
                  <c:v>7</c:v>
                </c:pt>
                <c:pt idx="3">
                  <c:v>9</c:v>
                </c:pt>
                <c:pt idx="4">
                  <c:v>1</c:v>
                </c:pt>
                <c:pt idx="5">
                  <c:v>32</c:v>
                </c:pt>
                <c:pt idx="6">
                  <c:v>4</c:v>
                </c:pt>
              </c:numCache>
            </c:numRef>
          </c:val>
          <c:extLst>
            <c:ext xmlns:c16="http://schemas.microsoft.com/office/drawing/2014/chart" uri="{C3380CC4-5D6E-409C-BE32-E72D297353CC}">
              <c16:uniqueId val="{00000000-A456-4CA0-9887-8AFA0FCABAF4}"/>
            </c:ext>
          </c:extLst>
        </c:ser>
        <c:ser>
          <c:idx val="1"/>
          <c:order val="1"/>
          <c:tx>
            <c:strRef>
              <c:f>Dashboard!$J$5</c:f>
              <c:strCache>
                <c:ptCount val="1"/>
                <c:pt idx="0">
                  <c:v>Open</c:v>
                </c:pt>
              </c:strCache>
            </c:strRef>
          </c:tx>
          <c:spPr>
            <a:solidFill>
              <a:schemeClr val="accent2"/>
            </a:solidFill>
            <a:ln>
              <a:noFill/>
            </a:ln>
            <a:effectLst/>
            <a:sp3d/>
          </c:spPr>
          <c:invertIfNegative val="0"/>
          <c:cat>
            <c:strRef>
              <c:f>Dashboard!$H$6:$H$12</c:f>
              <c:strCache>
                <c:ptCount val="7"/>
                <c:pt idx="0">
                  <c:v>Gestión de identidades y accesos</c:v>
                </c:pt>
                <c:pt idx="1">
                  <c:v>Topología y conectividad de red</c:v>
                </c:pt>
                <c:pt idx="2">
                  <c:v>BC y DR</c:v>
                </c:pt>
                <c:pt idx="3">
                  <c:v>Gobernanza y seguridad</c:v>
                </c:pt>
                <c:pt idx="4">
                  <c:v>Gobernanza de costos</c:v>
                </c:pt>
                <c:pt idx="5">
                  <c:v>Operaciones</c:v>
                </c:pt>
                <c:pt idx="6">
                  <c:v>Implementación de aplicaciones</c:v>
                </c:pt>
              </c:strCache>
            </c:strRef>
          </c:cat>
          <c:val>
            <c:numRef>
              <c:f>Dashboard!$J$6:$J$12</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A456-4CA0-9887-8AFA0FCABAF4}"/>
            </c:ext>
          </c:extLst>
        </c:ser>
        <c:ser>
          <c:idx val="2"/>
          <c:order val="2"/>
          <c:tx>
            <c:strRef>
              <c:f>Dashboard!$K$5</c:f>
              <c:strCache>
                <c:ptCount val="1"/>
                <c:pt idx="0">
                  <c:v>Fulfilled</c:v>
                </c:pt>
              </c:strCache>
            </c:strRef>
          </c:tx>
          <c:spPr>
            <a:solidFill>
              <a:schemeClr val="accent3"/>
            </a:solidFill>
            <a:ln>
              <a:noFill/>
            </a:ln>
            <a:effectLst/>
            <a:sp3d/>
          </c:spPr>
          <c:invertIfNegative val="0"/>
          <c:cat>
            <c:strRef>
              <c:f>Dashboard!$H$6:$H$12</c:f>
              <c:strCache>
                <c:ptCount val="7"/>
                <c:pt idx="0">
                  <c:v>Gestión de identidades y accesos</c:v>
                </c:pt>
                <c:pt idx="1">
                  <c:v>Topología y conectividad de red</c:v>
                </c:pt>
                <c:pt idx="2">
                  <c:v>BC y DR</c:v>
                </c:pt>
                <c:pt idx="3">
                  <c:v>Gobernanza y seguridad</c:v>
                </c:pt>
                <c:pt idx="4">
                  <c:v>Gobernanza de costos</c:v>
                </c:pt>
                <c:pt idx="5">
                  <c:v>Operaciones</c:v>
                </c:pt>
                <c:pt idx="6">
                  <c:v>Implementación de aplicaciones</c:v>
                </c:pt>
              </c:strCache>
            </c:strRef>
          </c:cat>
          <c:val>
            <c:numRef>
              <c:f>Dashboard!$K$6:$K$12</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A456-4CA0-9887-8AFA0FCABAF4}"/>
            </c:ext>
          </c:extLst>
        </c:ser>
        <c:ser>
          <c:idx val="3"/>
          <c:order val="3"/>
          <c:tx>
            <c:strRef>
              <c:f>Dashboard!$L$5</c:f>
              <c:strCache>
                <c:ptCount val="1"/>
                <c:pt idx="0">
                  <c:v>N/A</c:v>
                </c:pt>
              </c:strCache>
            </c:strRef>
          </c:tx>
          <c:spPr>
            <a:solidFill>
              <a:schemeClr val="accent4"/>
            </a:solidFill>
            <a:ln>
              <a:noFill/>
            </a:ln>
            <a:effectLst/>
            <a:sp3d/>
          </c:spPr>
          <c:invertIfNegative val="0"/>
          <c:cat>
            <c:strRef>
              <c:f>Dashboard!$H$6:$H$12</c:f>
              <c:strCache>
                <c:ptCount val="7"/>
                <c:pt idx="0">
                  <c:v>Gestión de identidades y accesos</c:v>
                </c:pt>
                <c:pt idx="1">
                  <c:v>Topología y conectividad de red</c:v>
                </c:pt>
                <c:pt idx="2">
                  <c:v>BC y DR</c:v>
                </c:pt>
                <c:pt idx="3">
                  <c:v>Gobernanza y seguridad</c:v>
                </c:pt>
                <c:pt idx="4">
                  <c:v>Gobernanza de costos</c:v>
                </c:pt>
                <c:pt idx="5">
                  <c:v>Operaciones</c:v>
                </c:pt>
                <c:pt idx="6">
                  <c:v>Implementación de aplicaciones</c:v>
                </c:pt>
              </c:strCache>
            </c:strRef>
          </c:cat>
          <c:val>
            <c:numRef>
              <c:f>Dashboard!$L$6:$L$12</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A456-4CA0-9887-8AFA0FCABAF4}"/>
            </c:ext>
          </c:extLst>
        </c:ser>
        <c:dLbls>
          <c:showLegendKey val="0"/>
          <c:showVal val="0"/>
          <c:showCatName val="0"/>
          <c:showSerName val="0"/>
          <c:showPercent val="0"/>
          <c:showBubbleSize val="0"/>
        </c:dLbls>
        <c:gapWidth val="150"/>
        <c:shape val="box"/>
        <c:axId val="614148176"/>
        <c:axId val="614191024"/>
        <c:axId val="0"/>
      </c:bar3DChart>
      <c:catAx>
        <c:axId val="6141481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91024"/>
        <c:crosses val="autoZero"/>
        <c:auto val="1"/>
        <c:lblAlgn val="ctr"/>
        <c:lblOffset val="100"/>
        <c:noMultiLvlLbl val="0"/>
      </c:catAx>
      <c:valAx>
        <c:axId val="614191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48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419100</xdr:colOff>
      <xdr:row>29</xdr:row>
      <xdr:rowOff>180974</xdr:rowOff>
    </xdr:from>
    <xdr:to>
      <xdr:col>11</xdr:col>
      <xdr:colOff>457199</xdr:colOff>
      <xdr:row>43</xdr:row>
      <xdr:rowOff>76199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238125</xdr:colOff>
      <xdr:row>0</xdr:row>
      <xdr:rowOff>114300</xdr:rowOff>
    </xdr:from>
    <xdr:to>
      <xdr:col>21</xdr:col>
      <xdr:colOff>66675</xdr:colOff>
      <xdr:row>14</xdr:row>
      <xdr:rowOff>142875</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161925</xdr:colOff>
      <xdr:row>0</xdr:row>
      <xdr:rowOff>152399</xdr:rowOff>
    </xdr:from>
    <xdr:to>
      <xdr:col>25</xdr:col>
      <xdr:colOff>428625</xdr:colOff>
      <xdr:row>7</xdr:row>
      <xdr:rowOff>133350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171450</xdr:colOff>
      <xdr:row>8</xdr:row>
      <xdr:rowOff>19050</xdr:rowOff>
    </xdr:from>
    <xdr:to>
      <xdr:col>25</xdr:col>
      <xdr:colOff>428625</xdr:colOff>
      <xdr:row>16</xdr:row>
      <xdr:rowOff>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166687</xdr:colOff>
      <xdr:row>16</xdr:row>
      <xdr:rowOff>57150</xdr:rowOff>
    </xdr:from>
    <xdr:to>
      <xdr:col>25</xdr:col>
      <xdr:colOff>447675</xdr:colOff>
      <xdr:row>24</xdr:row>
      <xdr:rowOff>85725</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200024</xdr:colOff>
      <xdr:row>29</xdr:row>
      <xdr:rowOff>180975</xdr:rowOff>
    </xdr:from>
    <xdr:to>
      <xdr:col>6</xdr:col>
      <xdr:colOff>285749</xdr:colOff>
      <xdr:row>43</xdr:row>
      <xdr:rowOff>95250</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238123</xdr:colOff>
      <xdr:row>14</xdr:row>
      <xdr:rowOff>28574</xdr:rowOff>
    </xdr:from>
    <xdr:to>
      <xdr:col>11</xdr:col>
      <xdr:colOff>466724</xdr:colOff>
      <xdr:row>29</xdr:row>
      <xdr:rowOff>47625</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304800</xdr:colOff>
      <xdr:row>0</xdr:row>
      <xdr:rowOff>305488</xdr:rowOff>
    </xdr:to>
    <xdr:sp macro="" textlink="">
      <xdr:nvSpPr>
        <xdr:cNvPr id="3077" name="AutoShape 5" descr="Full-color reverse Microsoft logo">
          <a:extLst>
            <a:ext uri="{FF2B5EF4-FFF2-40B4-BE49-F238E27FC236}">
              <a16:creationId xmlns:a16="http://schemas.microsoft.com/office/drawing/2014/main" id="{00000000-0008-0000-0100-0000050C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0</xdr:row>
      <xdr:rowOff>305488</xdr:rowOff>
    </xdr:to>
    <xdr:sp macro="" textlink="">
      <xdr:nvSpPr>
        <xdr:cNvPr id="3080" name="AutoShape 8" descr="Full-color reverse Microsoft logo">
          <a:extLst>
            <a:ext uri="{FF2B5EF4-FFF2-40B4-BE49-F238E27FC236}">
              <a16:creationId xmlns:a16="http://schemas.microsoft.com/office/drawing/2014/main" id="{00000000-0008-0000-0100-0000080C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2</xdr:col>
      <xdr:colOff>544726</xdr:colOff>
      <xdr:row>1</xdr:row>
      <xdr:rowOff>96378</xdr:rowOff>
    </xdr:to>
    <xdr:pic>
      <xdr:nvPicPr>
        <xdr:cNvPr id="7" name="Picture 6" descr="Azure logo stacked">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3105150"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8458200</xdr:colOff>
          <xdr:row>0</xdr:row>
          <xdr:rowOff>800100</xdr:rowOff>
        </xdr:from>
        <xdr:to>
          <xdr:col>3</xdr:col>
          <xdr:colOff>201930</xdr:colOff>
          <xdr:row>0</xdr:row>
          <xdr:rowOff>1040130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checklist to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8458200</xdr:colOff>
          <xdr:row>0</xdr:row>
          <xdr:rowOff>400050</xdr:rowOff>
        </xdr:from>
        <xdr:to>
          <xdr:col>3</xdr:col>
          <xdr:colOff>190500</xdr:colOff>
          <xdr:row>0</xdr:row>
          <xdr:rowOff>678180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Import checklist from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6164580</xdr:colOff>
          <xdr:row>0</xdr:row>
          <xdr:rowOff>571500</xdr:rowOff>
        </xdr:from>
        <xdr:to>
          <xdr:col>2</xdr:col>
          <xdr:colOff>7829550</xdr:colOff>
          <xdr:row>0</xdr:row>
          <xdr:rowOff>830580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Import latest reference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8183880</xdr:colOff>
          <xdr:row>0</xdr:row>
          <xdr:rowOff>144780</xdr:rowOff>
        </xdr:from>
        <xdr:to>
          <xdr:col>3</xdr:col>
          <xdr:colOff>601980</xdr:colOff>
          <xdr:row>0</xdr:row>
          <xdr:rowOff>1276350</xdr:rowOff>
        </xdr:to>
        <xdr:sp macro="" textlink="">
          <xdr:nvSpPr>
            <xdr:cNvPr id="1029" name="Group Box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Advanced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6019800</xdr:colOff>
          <xdr:row>0</xdr:row>
          <xdr:rowOff>144780</xdr:rowOff>
        </xdr:from>
        <xdr:to>
          <xdr:col>2</xdr:col>
          <xdr:colOff>8001000</xdr:colOff>
          <xdr:row>0</xdr:row>
          <xdr:rowOff>1295400</xdr:rowOff>
        </xdr:to>
        <xdr:sp macro="" textlink="">
          <xdr:nvSpPr>
            <xdr:cNvPr id="1030" name="Group Box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Easy</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6" Type="http://schemas.openxmlformats.org/officeDocument/2006/relationships/hyperlink" Target="https://docs.microsoft.com/azure/aks/operator-best-practices-network" TargetMode="External"/><Relationship Id="rId21" Type="http://schemas.openxmlformats.org/officeDocument/2006/relationships/hyperlink" Target="https://azure.github.io/application-gateway-kubernetes-ingress/setup/install-existing/" TargetMode="External"/><Relationship Id="rId42" Type="http://schemas.openxmlformats.org/officeDocument/2006/relationships/hyperlink" Target="https://docs.microsoft.com/azure/aks/operator-best-practices-multi-region" TargetMode="External"/><Relationship Id="rId47" Type="http://schemas.openxmlformats.org/officeDocument/2006/relationships/hyperlink" Target="https://docs.microsoft.com/azure/azure-monitor/insights/container-insights-overview" TargetMode="External"/><Relationship Id="rId63" Type="http://schemas.openxmlformats.org/officeDocument/2006/relationships/hyperlink" Target="https://docs.microsoft.com/azure/aks/load-balancer-standard" TargetMode="External"/><Relationship Id="rId68" Type="http://schemas.openxmlformats.org/officeDocument/2006/relationships/hyperlink" Target="https://docs.microsoft.com/azure/aks/operator-best-practices-scheduler" TargetMode="External"/><Relationship Id="rId84" Type="http://schemas.openxmlformats.org/officeDocument/2006/relationships/ctrlProp" Target="../ctrlProps/ctrlProp5.xml"/><Relationship Id="rId16" Type="http://schemas.openxmlformats.org/officeDocument/2006/relationships/hyperlink" Target="https://docs.microsoft.com/azure/aks/configure-azure-cni" TargetMode="External"/><Relationship Id="rId11" Type="http://schemas.openxmlformats.org/officeDocument/2006/relationships/hyperlink" Target="https://docs.microsoft.com/azure/aks/manage-azure-rbac" TargetMode="External"/><Relationship Id="rId32" Type="http://schemas.openxmlformats.org/officeDocument/2006/relationships/hyperlink" Target="https://docs.microsoft.com/azure/aks/update-credentials" TargetMode="External"/><Relationship Id="rId37" Type="http://schemas.openxmlformats.org/officeDocument/2006/relationships/hyperlink" Target="https://docs.microsoft.com/azure/security-center/container-security" TargetMode="External"/><Relationship Id="rId53" Type="http://schemas.openxmlformats.org/officeDocument/2006/relationships/hyperlink" Target="https://docs.microsoft.com/azure/aks/concepts-scale" TargetMode="External"/><Relationship Id="rId58" Type="http://schemas.openxmlformats.org/officeDocument/2006/relationships/hyperlink" Target="https://docs.microsoft.com/azure-stack/aks-hci/adapt-apps-mixed-os-clusters" TargetMode="External"/><Relationship Id="rId74" Type="http://schemas.openxmlformats.org/officeDocument/2006/relationships/hyperlink" Target="https://dapr.io/" TargetMode="External"/><Relationship Id="rId79" Type="http://schemas.openxmlformats.org/officeDocument/2006/relationships/vmlDrawing" Target="../drawings/vmlDrawing1.vml"/><Relationship Id="rId5" Type="http://schemas.openxmlformats.org/officeDocument/2006/relationships/hyperlink" Target="https://docs.microsoft.com/azure/aks/uptime-sla" TargetMode="External"/><Relationship Id="rId61" Type="http://schemas.openxmlformats.org/officeDocument/2006/relationships/hyperlink" Target="https://docs.microsoft.com/azure/aks/configure-azure-cni" TargetMode="External"/><Relationship Id="rId82" Type="http://schemas.openxmlformats.org/officeDocument/2006/relationships/ctrlProp" Target="../ctrlProps/ctrlProp3.xml"/><Relationship Id="rId19" Type="http://schemas.openxmlformats.org/officeDocument/2006/relationships/hyperlink" Target="https://docs.microsoft.com/azure/aks/api-server-authorized-ip-ranges" TargetMode="External"/><Relationship Id="rId14" Type="http://schemas.openxmlformats.org/officeDocument/2006/relationships/hyperlink" Target="https://docs.microsoft.com/azure/aks/operator-best-practices-network" TargetMode="External"/><Relationship Id="rId22" Type="http://schemas.openxmlformats.org/officeDocument/2006/relationships/hyperlink" Target="https://docs.microsoft.com/azure/private-link/private-link-overview" TargetMode="External"/><Relationship Id="rId27" Type="http://schemas.openxmlformats.org/officeDocument/2006/relationships/hyperlink" Target="https://docs.microsoft.com/azure/virtual-network/ddos-protection-overview" TargetMode="External"/><Relationship Id="rId30" Type="http://schemas.openxmlformats.org/officeDocument/2006/relationships/hyperlink" Target="https://docs.microsoft.com/azure/aks/servicemesh-about" TargetMode="External"/><Relationship Id="rId35" Type="http://schemas.openxmlformats.org/officeDocument/2006/relationships/hyperlink" Target="https://docs.microsoft.com/azure/aks/use-multiple-node-pools" TargetMode="External"/><Relationship Id="rId43" Type="http://schemas.openxmlformats.org/officeDocument/2006/relationships/hyperlink" Target="https://docs.microsoft.com/azure/aks/operator-best-practices-storage" TargetMode="External"/><Relationship Id="rId48" Type="http://schemas.openxmlformats.org/officeDocument/2006/relationships/hyperlink" Target="https://docs.microsoft.com/azure/azure-monitor/insights/container-insights-overview" TargetMode="External"/><Relationship Id="rId56" Type="http://schemas.openxmlformats.org/officeDocument/2006/relationships/hyperlink" Target="https://docs.microsoft.com/azure/aks/cluster-configuration" TargetMode="External"/><Relationship Id="rId64" Type="http://schemas.openxmlformats.org/officeDocument/2006/relationships/hyperlink" Target="https://docs.microsoft.com/azure/aks/monitor-aks" TargetMode="External"/><Relationship Id="rId69" Type="http://schemas.openxmlformats.org/officeDocument/2006/relationships/hyperlink" Target="https://docs.microsoft.com/azure/aks/operator-best-practices-scheduler" TargetMode="External"/><Relationship Id="rId77" Type="http://schemas.openxmlformats.org/officeDocument/2006/relationships/printerSettings" Target="../printerSettings/printerSettings1.bin"/><Relationship Id="rId8" Type="http://schemas.openxmlformats.org/officeDocument/2006/relationships/hyperlink" Target="https://docs.microsoft.com/azure/aks/use-managed-identity" TargetMode="External"/><Relationship Id="rId51" Type="http://schemas.openxmlformats.org/officeDocument/2006/relationships/hyperlink" Target="https://docs.microsoft.com/azure/architecture/example-scenario/bedrock/bedrock-automated-deployments" TargetMode="External"/><Relationship Id="rId72" Type="http://schemas.openxmlformats.org/officeDocument/2006/relationships/hyperlink" Target="https://docs.microsoft.com/azure/architecture/reference-architectures/containers/aks/secure-baseline-aks" TargetMode="External"/><Relationship Id="rId80" Type="http://schemas.openxmlformats.org/officeDocument/2006/relationships/ctrlProp" Target="../ctrlProps/ctrlProp1.xml"/><Relationship Id="rId3" Type="http://schemas.openxmlformats.org/officeDocument/2006/relationships/hyperlink" Target="https://docs.microsoft.com/azure/aks/operator-best-practices-multi-region" TargetMode="External"/><Relationship Id="rId12" Type="http://schemas.openxmlformats.org/officeDocument/2006/relationships/hyperlink" Target="https://docs.microsoft.com/azure/aks/operator-best-practices-identity" TargetMode="External"/><Relationship Id="rId17" Type="http://schemas.openxmlformats.org/officeDocument/2006/relationships/hyperlink" Target="https://docs.microsoft.com/azure/aks/internal-lb" TargetMode="External"/><Relationship Id="rId25" Type="http://schemas.openxmlformats.org/officeDocument/2006/relationships/hyperlink" Target="https://docs.microsoft.com/azure/aks/operator-best-practices-network" TargetMode="External"/><Relationship Id="rId33" Type="http://schemas.openxmlformats.org/officeDocument/2006/relationships/hyperlink" Target="https://docs.microsoft.com/azure/governance/policy/concepts/policy-for-kubernetes" TargetMode="External"/><Relationship Id="rId38" Type="http://schemas.openxmlformats.org/officeDocument/2006/relationships/hyperlink" Target="https://docs.microsoft.com/azure/security-center/container-security" TargetMode="External"/><Relationship Id="rId46" Type="http://schemas.openxmlformats.org/officeDocument/2006/relationships/hyperlink" Target="https://docs.microsoft.com/azure/aks/operator-best-practices-scheduler" TargetMode="External"/><Relationship Id="rId59" Type="http://schemas.openxmlformats.org/officeDocument/2006/relationships/hyperlink" Target="https://docs.microsoft.com/virtualization/windowscontainers/deploy-containers/version-compatibility?tabs=windows-server-20H2%2Cwindows-10-20H2" TargetMode="External"/><Relationship Id="rId67" Type="http://schemas.openxmlformats.org/officeDocument/2006/relationships/hyperlink" Target="https://blog.cloudtrooper.net/2020/10/23/which-vm-size-should-i-choose-as-aks-node/" TargetMode="External"/><Relationship Id="rId20" Type="http://schemas.openxmlformats.org/officeDocument/2006/relationships/hyperlink" Target="https://docs.microsoft.com/azure/aks/concepts-network" TargetMode="External"/><Relationship Id="rId41" Type="http://schemas.openxmlformats.org/officeDocument/2006/relationships/hyperlink" Target="https://docs.microsoft.com/azure/virtual-machines/disks-types" TargetMode="External"/><Relationship Id="rId54" Type="http://schemas.openxmlformats.org/officeDocument/2006/relationships/hyperlink" Target="https://kubecost.com/" TargetMode="External"/><Relationship Id="rId62" Type="http://schemas.openxmlformats.org/officeDocument/2006/relationships/hyperlink" Target="https://docs.microsoft.com/azure/virtual-machines/premium-storage-performance" TargetMode="External"/><Relationship Id="rId70" Type="http://schemas.openxmlformats.org/officeDocument/2006/relationships/hyperlink" Target="https://docs.microsoft.com/azure/azure-resource-manager/management/azure-subscription-service-limits" TargetMode="External"/><Relationship Id="rId75" Type="http://schemas.openxmlformats.org/officeDocument/2006/relationships/hyperlink" Target="https://docs.microsoft.com/azure/aks/operator-best-practices-cluster-isolation" TargetMode="External"/><Relationship Id="rId83" Type="http://schemas.openxmlformats.org/officeDocument/2006/relationships/ctrlProp" Target="../ctrlProps/ctrlProp4.xml"/><Relationship Id="rId1" Type="http://schemas.openxmlformats.org/officeDocument/2006/relationships/hyperlink" Target="https://docs.microsoft.com/azure/cloud-adoption-framework/ready/enterprise-scale/business-continuity-and-disaster-recovery" TargetMode="External"/><Relationship Id="rId6" Type="http://schemas.openxmlformats.org/officeDocument/2006/relationships/hyperlink" Target="https://docs.microsoft.com/azure/aks/operator-best-practices-scheduler" TargetMode="External"/><Relationship Id="rId15" Type="http://schemas.openxmlformats.org/officeDocument/2006/relationships/hyperlink" Target="https://docs.microsoft.com/azure/aks/configure-azure-cni" TargetMode="External"/><Relationship Id="rId23" Type="http://schemas.openxmlformats.org/officeDocument/2006/relationships/hyperlink" Target="https://docs.microsoft.com/azure/aks/private-clusters" TargetMode="External"/><Relationship Id="rId28" Type="http://schemas.openxmlformats.org/officeDocument/2006/relationships/hyperlink" Target="https://docs.microsoft.com/azure/aks/http-application-routing" TargetMode="External"/><Relationship Id="rId36" Type="http://schemas.openxmlformats.org/officeDocument/2006/relationships/hyperlink" Target="https://docs.microsoft.com/azure/container-registry/" TargetMode="External"/><Relationship Id="rId49" Type="http://schemas.openxmlformats.org/officeDocument/2006/relationships/hyperlink" Target="https://docs.microsoft.com/azure/azure-monitor/insights/container-insights-metric-alerts" TargetMode="External"/><Relationship Id="rId57" Type="http://schemas.openxmlformats.org/officeDocument/2006/relationships/hyperlink" Target="https://kubernetes.io/docs/setup/release/notes/" TargetMode="External"/><Relationship Id="rId10" Type="http://schemas.openxmlformats.org/officeDocument/2006/relationships/hyperlink" Target="https://docs.microsoft.com/azure/aks/control-kubeconfig-access" TargetMode="External"/><Relationship Id="rId31" Type="http://schemas.openxmlformats.org/officeDocument/2006/relationships/hyperlink" Target="https://github.com/Azure/secrets-store-csi-driver-provider-azure" TargetMode="External"/><Relationship Id="rId44" Type="http://schemas.openxmlformats.org/officeDocument/2006/relationships/hyperlink" Target="https://docs.microsoft.com/azure/aks/availability-zones" TargetMode="External"/><Relationship Id="rId52" Type="http://schemas.openxmlformats.org/officeDocument/2006/relationships/hyperlink" Target="https://docs.microsoft.com/azure/aks/spot-node-pool" TargetMode="External"/><Relationship Id="rId60" Type="http://schemas.openxmlformats.org/officeDocument/2006/relationships/hyperlink" Target="https://docs.microsoft.com/azure/azure-monitor/containers/container-insights-analyze" TargetMode="External"/><Relationship Id="rId65" Type="http://schemas.openxmlformats.org/officeDocument/2006/relationships/hyperlink" Target="https://docs.microsoft.com/azure/aks/concepts-scale" TargetMode="External"/><Relationship Id="rId73" Type="http://schemas.openxmlformats.org/officeDocument/2006/relationships/hyperlink" Target="https://docs.microsoft.com/azure/azure-functions/functions-kubernetes-keda" TargetMode="External"/><Relationship Id="rId78" Type="http://schemas.openxmlformats.org/officeDocument/2006/relationships/drawing" Target="../drawings/drawing2.xml"/><Relationship Id="rId81" Type="http://schemas.openxmlformats.org/officeDocument/2006/relationships/ctrlProp" Target="../ctrlProps/ctrlProp2.xml"/><Relationship Id="rId4" Type="http://schemas.openxmlformats.org/officeDocument/2006/relationships/hyperlink" Target="https://docs.microsoft.com/azure/aks/availability-zones" TargetMode="External"/><Relationship Id="rId9" Type="http://schemas.openxmlformats.org/officeDocument/2006/relationships/hyperlink" Target="https://docs.microsoft.com/azure/aks/managed-aad" TargetMode="External"/><Relationship Id="rId13" Type="http://schemas.openxmlformats.org/officeDocument/2006/relationships/hyperlink" Target="https://docs.microsoft.com/azure/aks/operator-best-practices-identity" TargetMode="External"/><Relationship Id="rId18" Type="http://schemas.openxmlformats.org/officeDocument/2006/relationships/hyperlink" Target="https://docs.microsoft.com/azure/aks/limit-egress-traffic" TargetMode="External"/><Relationship Id="rId39" Type="http://schemas.openxmlformats.org/officeDocument/2006/relationships/hyperlink" Target="https://docs.microsoft.com/azure/cloud-adoption-framework/scenarios/aks/eslz-cost-governance-with-kubecost" TargetMode="External"/><Relationship Id="rId34" Type="http://schemas.openxmlformats.org/officeDocument/2006/relationships/hyperlink" Target="https://docs.microsoft.com/azure/aks/use-system-pools" TargetMode="External"/><Relationship Id="rId50" Type="http://schemas.openxmlformats.org/officeDocument/2006/relationships/hyperlink" Target="https://docs.microsoft.com/azure/aks/node-updates-kured" TargetMode="External"/><Relationship Id="rId55" Type="http://schemas.openxmlformats.org/officeDocument/2006/relationships/hyperlink" Target="https://docs.microsoft.com/azure/aks/faq" TargetMode="External"/><Relationship Id="rId76" Type="http://schemas.openxmlformats.org/officeDocument/2006/relationships/hyperlink" Target="https://docs.microsoft.com/azure/aks/supported-kubernetes-versions" TargetMode="External"/><Relationship Id="rId7" Type="http://schemas.openxmlformats.org/officeDocument/2006/relationships/hyperlink" Target="https://docs.microsoft.com/azure/container-registry/container-registry-geo-replication" TargetMode="External"/><Relationship Id="rId71" Type="http://schemas.openxmlformats.org/officeDocument/2006/relationships/hyperlink" Target="https://docs.microsoft.com/azure/developer/terraform/create-k8s-cluster-with-tf-and-aks" TargetMode="External"/><Relationship Id="rId2" Type="http://schemas.openxmlformats.org/officeDocument/2006/relationships/hyperlink" Target="https://docs.microsoft.com/azure/cloud-adoption-framework/ready/enterprise-scale/business-continuity-and-disaster-recovery" TargetMode="External"/><Relationship Id="rId29" Type="http://schemas.openxmlformats.org/officeDocument/2006/relationships/hyperlink" Target="https://docs.microsoft.com/azure/expressroute/designing-for-disaster-recovery-with-expressroute-privatepeering" TargetMode="External"/><Relationship Id="rId24" Type="http://schemas.openxmlformats.org/officeDocument/2006/relationships/hyperlink" Target="https://docs.microsoft.com/azure/aks/use-network-policies" TargetMode="External"/><Relationship Id="rId40" Type="http://schemas.openxmlformats.org/officeDocument/2006/relationships/hyperlink" Target="https://docs.microsoft.com/azure/aks/cluster-configuration" TargetMode="External"/><Relationship Id="rId45" Type="http://schemas.openxmlformats.org/officeDocument/2006/relationships/hyperlink" Target="https://docs.microsoft.com/azure/advisor/advisor-get-started" TargetMode="External"/><Relationship Id="rId66" Type="http://schemas.openxmlformats.org/officeDocument/2006/relationships/hyperlink" Target="https://docs.microsoft.com/azure/aks/concepts-scale" TargetMode="Externa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raw.githubusercontent.com/Azure/review-checklists/main/samples/lz_checklist.en.jso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3FBF-2D65-44F3-AF2A-1C07141BA112}">
  <sheetPr codeName="Sheet3"/>
  <dimension ref="A2:S27"/>
  <sheetViews>
    <sheetView workbookViewId="0">
      <selection activeCell="F10" sqref="F10"/>
    </sheetView>
  </sheetViews>
  <sheetFormatPr defaultRowHeight="14.4" x14ac:dyDescent="0.55000000000000004"/>
  <cols>
    <col min="1" max="1" width="28.26171875" customWidth="1"/>
  </cols>
  <sheetData>
    <row r="2" spans="1:13" ht="30.6" x14ac:dyDescent="1.1000000000000001">
      <c r="A2" s="17" t="s">
        <v>16</v>
      </c>
      <c r="D2" s="20">
        <f>S27</f>
        <v>0</v>
      </c>
    </row>
    <row r="5" spans="1:13" x14ac:dyDescent="0.55000000000000004">
      <c r="B5" s="16" t="str">
        <f>Values!$B$2</f>
        <v>Not verified</v>
      </c>
      <c r="C5" s="16" t="str">
        <f>Values!$B$3</f>
        <v>Open</v>
      </c>
      <c r="D5" s="16" t="str">
        <f>Values!$B$4</f>
        <v>Fulfilled</v>
      </c>
      <c r="E5" s="16" t="str">
        <f>Values!$B$5</f>
        <v>N/A</v>
      </c>
      <c r="I5" s="16" t="str">
        <f>Values!$B$2</f>
        <v>Not verified</v>
      </c>
      <c r="J5" s="16" t="str">
        <f>Values!$B$3</f>
        <v>Open</v>
      </c>
      <c r="K5" s="16" t="str">
        <f>Values!$B$4</f>
        <v>Fulfilled</v>
      </c>
      <c r="L5" s="16" t="str">
        <f>Values!$B$5</f>
        <v>N/A</v>
      </c>
      <c r="M5" s="16" t="s">
        <v>18</v>
      </c>
    </row>
    <row r="6" spans="1:13" x14ac:dyDescent="0.55000000000000004">
      <c r="A6" s="16" t="str">
        <f>Values!A2</f>
        <v>High</v>
      </c>
      <c r="B6" cm="1">
        <f t="array" ref="B6">SUMPRODUCT(--(Checklist!$D$5:$G$500=$A6)*--(Checklist!$E$5:$E$500=B$5))</f>
        <v>0</v>
      </c>
      <c r="C6" cm="1">
        <f t="array" ref="C6">SUMPRODUCT(--(Checklist!$D$5:$G$500=$A6)*--(Checklist!$E$5:$E$500=C$5))</f>
        <v>0</v>
      </c>
      <c r="D6" cm="1">
        <f t="array" ref="D6">SUMPRODUCT(--(Checklist!$D$5:$G$500=$A6)*--(Checklist!$E$5:$E$500=D$5))</f>
        <v>0</v>
      </c>
      <c r="E6" cm="1">
        <f t="array" ref="E6">SUMPRODUCT(--(Checklist!$D$5:$G$500=$A6)*--(Checklist!$E$5:$E$500=E$5))</f>
        <v>0</v>
      </c>
      <c r="F6">
        <f>SUM(B6:E6)</f>
        <v>0</v>
      </c>
      <c r="H6" s="16" t="str">
        <f>IF(Values!$C2="","",Values!$C2)</f>
        <v>Gestión de identidades y accesos</v>
      </c>
      <c r="I6" cm="1">
        <f t="array" ref="I6">IF($H6="","",SUMPRODUCT(--(Checklist!$A$5:$A$500=$H6)*--(Checklist!$E$5:$E$500=I$5)))</f>
        <v>6</v>
      </c>
      <c r="J6" cm="1">
        <f t="array" ref="J6">IF($H6="","",SUMPRODUCT(--(Checklist!$A$5:$A$500=$H6)*--(Checklist!$E$5:$E$500=J$5)))</f>
        <v>0</v>
      </c>
      <c r="K6" cm="1">
        <f t="array" ref="K6">IF($H6="","",SUMPRODUCT(--(Checklist!$A$5:$A$500=$H6)*--(Checklist!$E$5:$E$500=K$5)))</f>
        <v>0</v>
      </c>
      <c r="L6" cm="1">
        <f t="array" ref="L6">IF($H6="","",SUMPRODUCT(--(Checklist!$A$5:$A$500=$H6)*--(Checklist!$E$5:$E$500=L$5)))</f>
        <v>0</v>
      </c>
      <c r="M6">
        <f>IF($H6="","",SUM(I6:L6))</f>
        <v>6</v>
      </c>
    </row>
    <row r="7" spans="1:13" x14ac:dyDescent="0.55000000000000004">
      <c r="A7" s="16" t="str">
        <f>Values!A3</f>
        <v>Medium</v>
      </c>
      <c r="B7" cm="1">
        <f t="array" ref="B7">SUMPRODUCT(--(Checklist!$D$5:$G$500=$A7)*--(Checklist!$E$5:$E$500=B$5))</f>
        <v>0</v>
      </c>
      <c r="C7" cm="1">
        <f t="array" ref="C7">SUMPRODUCT(--(Checklist!$D$5:$G$500=$A7)*--(Checklist!$E$5:$E$500=C$5))</f>
        <v>0</v>
      </c>
      <c r="D7" cm="1">
        <f t="array" ref="D7">SUMPRODUCT(--(Checklist!$D$5:$G$500=$A7)*--(Checklist!$E$5:$E$500=D$5))</f>
        <v>0</v>
      </c>
      <c r="E7" cm="1">
        <f t="array" ref="E7">SUMPRODUCT(--(Checklist!$D$5:$G$500=$A7)*--(Checklist!$E$5:$E$500=E$5))</f>
        <v>0</v>
      </c>
      <c r="F7">
        <f t="shared" ref="F7:F8" si="0">SUM(B7:E7)</f>
        <v>0</v>
      </c>
      <c r="H7" s="16" t="str">
        <f>IF(Values!$C3="","",Values!$C3)</f>
        <v>Topología y conectividad de red</v>
      </c>
      <c r="I7" cm="1">
        <f t="array" ref="I7">IF($H7="","",SUMPRODUCT(--(Checklist!$A$5:$A$500=$H7)*--(Checklist!$E$5:$E$500=I$5)))</f>
        <v>17</v>
      </c>
      <c r="J7" cm="1">
        <f t="array" ref="J7">IF($H7="","",SUMPRODUCT(--(Checklist!$A$5:$A$500=$H7)*--(Checklist!$E$5:$E$500=J$5)))</f>
        <v>0</v>
      </c>
      <c r="K7" cm="1">
        <f t="array" ref="K7">IF($H7="","",SUMPRODUCT(--(Checklist!$A$5:$A$500=$H7)*--(Checklist!$E$5:$E$500=K$5)))</f>
        <v>0</v>
      </c>
      <c r="L7" cm="1">
        <f t="array" ref="L7">IF($H7="","",SUMPRODUCT(--(Checklist!$A$5:$A$500=$H7)*--(Checklist!$E$5:$E$500=L$5)))</f>
        <v>0</v>
      </c>
      <c r="M7">
        <f t="shared" ref="M7:M12" si="1">IF($H7="","",SUM(I7:L7))</f>
        <v>17</v>
      </c>
    </row>
    <row r="8" spans="1:13" x14ac:dyDescent="0.55000000000000004">
      <c r="A8" s="16" t="str">
        <f>Values!A4</f>
        <v>Low</v>
      </c>
      <c r="B8" cm="1">
        <f t="array" ref="B8">SUMPRODUCT(--(Checklist!$D$5:$G$500=$A8)*--(Checklist!$E$5:$E$500=B$5))</f>
        <v>0</v>
      </c>
      <c r="C8" cm="1">
        <f t="array" ref="C8">SUMPRODUCT(--(Checklist!$D$5:$G$500=$A8)*--(Checklist!$E$5:$E$500=C$5))</f>
        <v>0</v>
      </c>
      <c r="D8" cm="1">
        <f t="array" ref="D8">SUMPRODUCT(--(Checklist!$D$5:$G$500=$A8)*--(Checklist!$E$5:$E$500=D$5))</f>
        <v>0</v>
      </c>
      <c r="E8" cm="1">
        <f t="array" ref="E8">SUMPRODUCT(--(Checklist!$D$5:$G$500=$A8)*--(Checklist!$E$5:$E$500=E$5))</f>
        <v>0</v>
      </c>
      <c r="F8">
        <f t="shared" si="0"/>
        <v>0</v>
      </c>
      <c r="H8" s="16" t="str">
        <f>IF(Values!$C4="","",Values!$C4)</f>
        <v>BC y DR</v>
      </c>
      <c r="I8" cm="1">
        <f t="array" ref="I8">IF($H8="","",SUMPRODUCT(--(Checklist!$A$5:$A$500=$H8)*--(Checklist!$E$5:$E$500=I$5)))</f>
        <v>7</v>
      </c>
      <c r="J8" cm="1">
        <f t="array" ref="J8">IF($H8="","",SUMPRODUCT(--(Checklist!$A$5:$A$500=$H8)*--(Checklist!$E$5:$E$500=J$5)))</f>
        <v>0</v>
      </c>
      <c r="K8" cm="1">
        <f t="array" ref="K8">IF($H8="","",SUMPRODUCT(--(Checklist!$A$5:$A$500=$H8)*--(Checklist!$E$5:$E$500=K$5)))</f>
        <v>0</v>
      </c>
      <c r="L8" cm="1">
        <f t="array" ref="L8">IF($H8="","",SUMPRODUCT(--(Checklist!$A$5:$A$500=$H8)*--(Checklist!$E$5:$E$500=L$5)))</f>
        <v>0</v>
      </c>
      <c r="M8">
        <f t="shared" si="1"/>
        <v>7</v>
      </c>
    </row>
    <row r="9" spans="1:13" x14ac:dyDescent="0.55000000000000004">
      <c r="B9">
        <f>SUM(B6:B8)</f>
        <v>0</v>
      </c>
      <c r="C9">
        <f t="shared" ref="C9:E9" si="2">SUM(C6:C8)</f>
        <v>0</v>
      </c>
      <c r="D9">
        <f t="shared" si="2"/>
        <v>0</v>
      </c>
      <c r="E9">
        <f t="shared" si="2"/>
        <v>0</v>
      </c>
      <c r="F9" s="16">
        <f>SUM(F6:F8)</f>
        <v>0</v>
      </c>
      <c r="H9" s="16" t="str">
        <f>IF(Values!$C5="","",Values!$C5)</f>
        <v>Gobernanza y seguridad</v>
      </c>
      <c r="I9" cm="1">
        <f t="array" ref="I9">IF($H9="","",SUMPRODUCT(--(Checklist!$A$5:$A$500=$H9)*--(Checklist!$E$5:$E$500=I$5)))</f>
        <v>9</v>
      </c>
      <c r="J9" cm="1">
        <f t="array" ref="J9">IF($H9="","",SUMPRODUCT(--(Checklist!$A$5:$A$500=$H9)*--(Checklist!$E$5:$E$500=J$5)))</f>
        <v>0</v>
      </c>
      <c r="K9" cm="1">
        <f t="array" ref="K9">IF($H9="","",SUMPRODUCT(--(Checklist!$A$5:$A$500=$H9)*--(Checklist!$E$5:$E$500=K$5)))</f>
        <v>0</v>
      </c>
      <c r="L9" cm="1">
        <f t="array" ref="L9">IF($H9="","",SUMPRODUCT(--(Checklist!$A$5:$A$500=$H9)*--(Checklist!$E$5:$E$500=L$5)))</f>
        <v>0</v>
      </c>
      <c r="M9">
        <f t="shared" si="1"/>
        <v>9</v>
      </c>
    </row>
    <row r="10" spans="1:13" x14ac:dyDescent="0.55000000000000004">
      <c r="H10" s="16" t="str">
        <f>IF(Values!$C6="","",Values!$C6)</f>
        <v>Gobernanza de costos</v>
      </c>
      <c r="I10" cm="1">
        <f t="array" ref="I10">IF($H10="","",SUMPRODUCT(--(Checklist!$A$5:$A$500=$H10)*--(Checklist!$E$5:$E$500=I$5)))</f>
        <v>1</v>
      </c>
      <c r="J10" cm="1">
        <f t="array" ref="J10">IF($H10="","",SUMPRODUCT(--(Checklist!$A$5:$A$500=$H10)*--(Checklist!$E$5:$E$500=J$5)))</f>
        <v>0</v>
      </c>
      <c r="K10" cm="1">
        <f t="array" ref="K10">IF($H10="","",SUMPRODUCT(--(Checklist!$A$5:$A$500=$H10)*--(Checklist!$E$5:$E$500=K$5)))</f>
        <v>0</v>
      </c>
      <c r="L10" cm="1">
        <f t="array" ref="L10">IF($H10="","",SUMPRODUCT(--(Checklist!$A$5:$A$500=$H10)*--(Checklist!$E$5:$E$500=L$5)))</f>
        <v>0</v>
      </c>
      <c r="M10">
        <f t="shared" si="1"/>
        <v>1</v>
      </c>
    </row>
    <row r="11" spans="1:13" x14ac:dyDescent="0.55000000000000004">
      <c r="H11" s="16" t="str">
        <f>IF(Values!$C7="","",Values!$C7)</f>
        <v>Operaciones</v>
      </c>
      <c r="I11" cm="1">
        <f t="array" ref="I11">IF($H11="","",SUMPRODUCT(--(Checklist!$A$5:$A$500=$H11)*--(Checklist!$E$5:$E$500=I$5)))</f>
        <v>32</v>
      </c>
      <c r="J11" cm="1">
        <f t="array" ref="J11">IF($H11="","",SUMPRODUCT(--(Checklist!$A$5:$A$500=$H11)*--(Checklist!$E$5:$E$500=J$5)))</f>
        <v>0</v>
      </c>
      <c r="K11" cm="1">
        <f t="array" ref="K11">IF($H11="","",SUMPRODUCT(--(Checklist!$A$5:$A$500=$H11)*--(Checklist!$E$5:$E$500=K$5)))</f>
        <v>0</v>
      </c>
      <c r="L11" cm="1">
        <f t="array" ref="L11">IF($H11="","",SUMPRODUCT(--(Checklist!$A$5:$A$500=$H11)*--(Checklist!$E$5:$E$500=L$5)))</f>
        <v>0</v>
      </c>
      <c r="M11">
        <f t="shared" si="1"/>
        <v>32</v>
      </c>
    </row>
    <row r="12" spans="1:13" x14ac:dyDescent="0.55000000000000004">
      <c r="H12" s="16" t="str">
        <f>IF(Values!$C8="","",Values!$C8)</f>
        <v>Implementación de aplicaciones</v>
      </c>
      <c r="I12" cm="1">
        <f t="array" ref="I12">IF($H12="","",SUMPRODUCT(--(Checklist!$A$5:$A$500=$H12)*--(Checklist!$E$5:$E$500=I$5)))</f>
        <v>4</v>
      </c>
      <c r="J12" cm="1">
        <f t="array" ref="J12">IF($H12="","",SUMPRODUCT(--(Checklist!$A$5:$A$500=$H12)*--(Checklist!$E$5:$E$500=J$5)))</f>
        <v>0</v>
      </c>
      <c r="K12" cm="1">
        <f t="array" ref="K12">IF($H12="","",SUMPRODUCT(--(Checklist!$A$5:$A$500=$H12)*--(Checklist!$E$5:$E$500=K$5)))</f>
        <v>0</v>
      </c>
      <c r="L12" cm="1">
        <f t="array" ref="L12">IF($H12="","",SUMPRODUCT(--(Checklist!$A$5:$A$500=$H12)*--(Checklist!$E$5:$E$500=L$5)))</f>
        <v>0</v>
      </c>
      <c r="M12">
        <f t="shared" si="1"/>
        <v>4</v>
      </c>
    </row>
    <row r="13" spans="1:13" x14ac:dyDescent="0.55000000000000004">
      <c r="I13">
        <f>SUM(I6:I12)</f>
        <v>76</v>
      </c>
      <c r="J13">
        <f t="shared" ref="J13:M13" si="3">SUM(J6:J12)</f>
        <v>0</v>
      </c>
      <c r="K13">
        <f t="shared" si="3"/>
        <v>0</v>
      </c>
      <c r="L13">
        <f t="shared" si="3"/>
        <v>0</v>
      </c>
      <c r="M13" s="16">
        <f t="shared" si="3"/>
        <v>76</v>
      </c>
    </row>
    <row r="19" spans="14:19" x14ac:dyDescent="0.55000000000000004">
      <c r="O19" s="16" t="str">
        <f>Values!$B$2</f>
        <v>Not verified</v>
      </c>
      <c r="P19" s="16" t="str">
        <f>Values!$B$3</f>
        <v>Open</v>
      </c>
      <c r="Q19" s="16" t="s">
        <v>20</v>
      </c>
      <c r="R19" s="16" t="s">
        <v>18</v>
      </c>
      <c r="S19" s="16" t="s">
        <v>19</v>
      </c>
    </row>
    <row r="20" spans="14:19" x14ac:dyDescent="0.55000000000000004">
      <c r="N20" s="16" t="str">
        <f>IF(Values!$C2="","",Values!$C2)</f>
        <v>Gestión de identidades y accesos</v>
      </c>
      <c r="O20" cm="1">
        <f t="array" ref="O20">IF($N20="","",SUMPRODUCT(--(Checklist!$A$5:$A$500=$N20)*--(Checklist!$E$5:$E$500=O$19)))</f>
        <v>6</v>
      </c>
      <c r="P20" cm="1">
        <f t="array" ref="P20">IF($N20="","",SUMPRODUCT(--(Checklist!$A$5:$A$500=$N20)*--(Checklist!$E$5:$E$500=P$19)))</f>
        <v>0</v>
      </c>
      <c r="Q20" cm="1">
        <f t="array" ref="Q20">IF($N20="","",SUMPRODUCT(--(Checklist!$A$5:$A$500=$N20)*(--(Checklist!$E$5:$E$500=Values!$B$4)+--(Checklist!$E$5:$E$500=Values!$B$5))))</f>
        <v>0</v>
      </c>
      <c r="R20">
        <f>IF($N20="","",SUM(O20:Q20))</f>
        <v>6</v>
      </c>
      <c r="S20" s="18">
        <f>IF($N20="","",Q20/R20)</f>
        <v>0</v>
      </c>
    </row>
    <row r="21" spans="14:19" x14ac:dyDescent="0.55000000000000004">
      <c r="N21" s="16" t="str">
        <f>IF(Values!$C3="","",Values!$C3)</f>
        <v>Topología y conectividad de red</v>
      </c>
      <c r="O21" cm="1">
        <f t="array" ref="O21">IF($N21="","",SUMPRODUCT(--(Checklist!$A$5:$A$500=$N21)*--(Checklist!$E$5:$E$500=O$19)))</f>
        <v>17</v>
      </c>
      <c r="P21" cm="1">
        <f t="array" ref="P21">IF($N21="","",SUMPRODUCT(--(Checklist!$A$5:$A$500=$N21)*--(Checklist!$E$5:$E$500=P$19)))</f>
        <v>0</v>
      </c>
      <c r="Q21" cm="1">
        <f t="array" ref="Q21">IF($N21="","",SUMPRODUCT(--(Checklist!$A$5:$A$500=$N21)*(--(Checklist!$E$5:$E$500=Values!$B$4)+--(Checklist!$E$5:$E$500=Values!$B$5))))</f>
        <v>0</v>
      </c>
      <c r="R21">
        <f t="shared" ref="R21:R26" si="4">IF($N21="","",SUM(O21:Q21))</f>
        <v>17</v>
      </c>
      <c r="S21" s="18">
        <f t="shared" ref="S21:S26" si="5">IF($N21="","",Q21/R21)</f>
        <v>0</v>
      </c>
    </row>
    <row r="22" spans="14:19" x14ac:dyDescent="0.55000000000000004">
      <c r="N22" s="16" t="str">
        <f>IF(Values!$C4="","",Values!$C4)</f>
        <v>BC y DR</v>
      </c>
      <c r="O22" cm="1">
        <f t="array" ref="O22">IF($N22="","",SUMPRODUCT(--(Checklist!$A$5:$A$500=$N22)*--(Checklist!$E$5:$E$500=O$19)))</f>
        <v>7</v>
      </c>
      <c r="P22" cm="1">
        <f t="array" ref="P22">IF($N22="","",SUMPRODUCT(--(Checklist!$A$5:$A$500=$N22)*--(Checklist!$E$5:$E$500=P$19)))</f>
        <v>0</v>
      </c>
      <c r="Q22" cm="1">
        <f t="array" ref="Q22">IF($N22="","",SUMPRODUCT(--(Checklist!$A$5:$A$500=$N22)*(--(Checklist!$E$5:$E$500=Values!$B$4)+--(Checklist!$E$5:$E$500=Values!$B$5))))</f>
        <v>0</v>
      </c>
      <c r="R22">
        <f t="shared" si="4"/>
        <v>7</v>
      </c>
      <c r="S22" s="18">
        <f t="shared" si="5"/>
        <v>0</v>
      </c>
    </row>
    <row r="23" spans="14:19" x14ac:dyDescent="0.55000000000000004">
      <c r="N23" s="16" t="str">
        <f>IF(Values!$C5="","",Values!$C5)</f>
        <v>Gobernanza y seguridad</v>
      </c>
      <c r="O23" cm="1">
        <f t="array" ref="O23">IF($N23="","",SUMPRODUCT(--(Checklist!$A$5:$A$500=$N23)*--(Checklist!$E$5:$E$500=O$19)))</f>
        <v>9</v>
      </c>
      <c r="P23" cm="1">
        <f t="array" ref="P23">IF($N23="","",SUMPRODUCT(--(Checklist!$A$5:$A$500=$N23)*--(Checklist!$E$5:$E$500=P$19)))</f>
        <v>0</v>
      </c>
      <c r="Q23" cm="1">
        <f t="array" ref="Q23">IF($N23="","",SUMPRODUCT(--(Checklist!$A$5:$A$500=$N23)*(--(Checklist!$E$5:$E$500=Values!$B$4)+--(Checklist!$E$5:$E$500=Values!$B$5))))</f>
        <v>0</v>
      </c>
      <c r="R23">
        <f t="shared" si="4"/>
        <v>9</v>
      </c>
      <c r="S23" s="18">
        <f t="shared" si="5"/>
        <v>0</v>
      </c>
    </row>
    <row r="24" spans="14:19" x14ac:dyDescent="0.55000000000000004">
      <c r="N24" s="16" t="str">
        <f>IF(Values!$C6="","",Values!$C6)</f>
        <v>Gobernanza de costos</v>
      </c>
      <c r="O24" cm="1">
        <f t="array" ref="O24">IF($N24="","",SUMPRODUCT(--(Checklist!$A$5:$A$500=$N24)*--(Checklist!$E$5:$E$500=O$19)))</f>
        <v>1</v>
      </c>
      <c r="P24" cm="1">
        <f t="array" ref="P24">IF($N24="","",SUMPRODUCT(--(Checklist!$A$5:$A$500=$N24)*--(Checklist!$E$5:$E$500=P$19)))</f>
        <v>0</v>
      </c>
      <c r="Q24" cm="1">
        <f t="array" ref="Q24">IF($N24="","",SUMPRODUCT(--(Checklist!$A$5:$A$500=$N24)*(--(Checklist!$E$5:$E$500=Values!$B$4)+--(Checklist!$E$5:$E$500=Values!$B$5))))</f>
        <v>0</v>
      </c>
      <c r="R24">
        <f t="shared" si="4"/>
        <v>1</v>
      </c>
      <c r="S24" s="18">
        <f t="shared" si="5"/>
        <v>0</v>
      </c>
    </row>
    <row r="25" spans="14:19" x14ac:dyDescent="0.55000000000000004">
      <c r="N25" s="16" t="str">
        <f>IF(Values!$C7="","",Values!$C7)</f>
        <v>Operaciones</v>
      </c>
      <c r="O25" cm="1">
        <f t="array" ref="O25">IF($N25="","",SUMPRODUCT(--(Checklist!$A$5:$A$500=$N25)*--(Checklist!$E$5:$E$500=O$19)))</f>
        <v>32</v>
      </c>
      <c r="P25" cm="1">
        <f t="array" ref="P25">IF($N25="","",SUMPRODUCT(--(Checklist!$A$5:$A$500=$N25)*--(Checklist!$E$5:$E$500=P$19)))</f>
        <v>0</v>
      </c>
      <c r="Q25" cm="1">
        <f t="array" ref="Q25">IF($N25="","",SUMPRODUCT(--(Checklist!$A$5:$A$500=$N25)*(--(Checklist!$E$5:$E$500=Values!$B$4)+--(Checklist!$E$5:$E$500=Values!$B$5))))</f>
        <v>0</v>
      </c>
      <c r="R25">
        <f t="shared" si="4"/>
        <v>32</v>
      </c>
      <c r="S25" s="18">
        <f t="shared" si="5"/>
        <v>0</v>
      </c>
    </row>
    <row r="26" spans="14:19" x14ac:dyDescent="0.55000000000000004">
      <c r="N26" s="16" t="str">
        <f>IF(Values!$C8="","",Values!$C8)</f>
        <v>Implementación de aplicaciones</v>
      </c>
      <c r="O26" cm="1">
        <f t="array" ref="O26">IF($N26="","",SUMPRODUCT(--(Checklist!$A$5:$A$500=$N26)*--(Checklist!$E$5:$E$500=O$19)))</f>
        <v>4</v>
      </c>
      <c r="P26" cm="1">
        <f t="array" ref="P26">IF($N26="","",SUMPRODUCT(--(Checklist!$A$5:$A$500=$N26)*--(Checklist!$E$5:$E$500=P$19)))</f>
        <v>0</v>
      </c>
      <c r="Q26" cm="1">
        <f t="array" ref="Q26">IF($N26="","",SUMPRODUCT(--(Checklist!$A$5:$A$500=$N26)*(--(Checklist!$E$5:$E$500=Values!$B$4)+--(Checklist!$E$5:$E$500=Values!$B$5))))</f>
        <v>0</v>
      </c>
      <c r="R26">
        <f t="shared" si="4"/>
        <v>4</v>
      </c>
      <c r="S26" s="18">
        <f t="shared" si="5"/>
        <v>0</v>
      </c>
    </row>
    <row r="27" spans="14:19" x14ac:dyDescent="0.55000000000000004">
      <c r="O27">
        <f>SUM(O20:O26)</f>
        <v>76</v>
      </c>
      <c r="P27">
        <f>SUM(P20:P26)</f>
        <v>0</v>
      </c>
      <c r="Q27">
        <f>SUM(Q20:Q26)</f>
        <v>0</v>
      </c>
      <c r="R27" s="16">
        <f>SUM(R20:R26)</f>
        <v>76</v>
      </c>
      <c r="S27" s="19">
        <f t="shared" ref="S27" si="6">Q27/R27</f>
        <v>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4B7A3-F207-4AF4-8579-95FFC9A7072F}">
  <sheetPr codeName="Sheet1"/>
  <dimension ref="A1:H221"/>
  <sheetViews>
    <sheetView showGridLines="0" tabSelected="1" topLeftCell="C1" zoomScale="80" zoomScaleNormal="80" workbookViewId="0">
      <selection activeCell="E1" sqref="E1"/>
    </sheetView>
  </sheetViews>
  <sheetFormatPr defaultColWidth="9" defaultRowHeight="16.2" x14ac:dyDescent="0.55000000000000004"/>
  <cols>
    <col min="1" max="1" width="19" style="1" customWidth="1"/>
    <col min="2" max="2" width="16.83984375" style="1" customWidth="1"/>
    <col min="3" max="3" width="148.83984375" style="2" customWidth="1"/>
    <col min="4" max="4" width="16.15625" style="2" customWidth="1"/>
    <col min="5" max="5" width="15.15625" style="2" customWidth="1"/>
    <col min="6" max="6" width="49.62890625" style="2" customWidth="1"/>
    <col min="7" max="7" width="18.41796875" style="2" customWidth="1"/>
    <col min="8" max="8" width="14.578125" style="2" customWidth="1"/>
    <col min="9" max="16384" width="9" style="2"/>
  </cols>
  <sheetData>
    <row r="1" spans="1:8" ht="121.9" customHeight="1" x14ac:dyDescent="0.7">
      <c r="A1" s="23"/>
      <c r="B1" s="23"/>
      <c r="C1" s="15" t="s">
        <v>14</v>
      </c>
    </row>
    <row r="2" spans="1:8" s="7" customFormat="1" x14ac:dyDescent="0.55000000000000004">
      <c r="A2" s="5" t="s">
        <v>0</v>
      </c>
      <c r="B2" s="6"/>
      <c r="C2" s="5"/>
      <c r="D2" s="6"/>
      <c r="E2" s="6"/>
      <c r="F2" s="6"/>
      <c r="G2" s="6"/>
    </row>
    <row r="3" spans="1:8" x14ac:dyDescent="0.55000000000000004">
      <c r="A3" s="4"/>
      <c r="B3" s="4"/>
      <c r="C3" s="9"/>
      <c r="D3" s="4"/>
      <c r="E3" s="4"/>
      <c r="F3" s="4"/>
      <c r="G3" s="4"/>
    </row>
    <row r="4" spans="1:8" s="8" customFormat="1" ht="22.8" x14ac:dyDescent="0.55000000000000004">
      <c r="A4" s="8" t="s">
        <v>1</v>
      </c>
      <c r="B4" s="8" t="s">
        <v>2</v>
      </c>
      <c r="C4" s="8" t="s">
        <v>3</v>
      </c>
      <c r="D4" s="8" t="s">
        <v>4</v>
      </c>
      <c r="E4" s="8" t="s">
        <v>5</v>
      </c>
      <c r="F4" s="8" t="s">
        <v>6</v>
      </c>
      <c r="G4" s="8" t="s">
        <v>15</v>
      </c>
      <c r="H4" s="8" t="s">
        <v>22</v>
      </c>
    </row>
    <row r="5" spans="1:8" ht="16.5" customHeight="1" x14ac:dyDescent="0.55000000000000004">
      <c r="A5" s="2" t="s">
        <v>24</v>
      </c>
      <c r="B5" s="2" t="s">
        <v>25</v>
      </c>
      <c r="C5" s="2" t="s">
        <v>26</v>
      </c>
      <c r="D5" s="2" t="s">
        <v>27</v>
      </c>
      <c r="E5" s="2" t="s">
        <v>8</v>
      </c>
      <c r="G5" s="21" t="s">
        <v>15</v>
      </c>
      <c r="H5" s="14"/>
    </row>
    <row r="6" spans="1:8" ht="16.5" customHeight="1" x14ac:dyDescent="0.55000000000000004">
      <c r="A6" s="2" t="s">
        <v>24</v>
      </c>
      <c r="B6" s="2" t="s">
        <v>28</v>
      </c>
      <c r="C6" s="2" t="s">
        <v>29</v>
      </c>
      <c r="D6" s="2" t="s">
        <v>27</v>
      </c>
      <c r="E6" s="2" t="s">
        <v>8</v>
      </c>
      <c r="G6" s="21" t="s">
        <v>15</v>
      </c>
      <c r="H6" s="14"/>
    </row>
    <row r="7" spans="1:8" ht="16.5" customHeight="1" x14ac:dyDescent="0.55000000000000004">
      <c r="A7" s="2" t="s">
        <v>24</v>
      </c>
      <c r="B7" s="2" t="s">
        <v>28</v>
      </c>
      <c r="C7" s="2" t="s">
        <v>74</v>
      </c>
      <c r="D7" s="2" t="s">
        <v>30</v>
      </c>
      <c r="E7" s="2" t="s">
        <v>8</v>
      </c>
      <c r="G7" s="21" t="s">
        <v>15</v>
      </c>
      <c r="H7" s="14"/>
    </row>
    <row r="8" spans="1:8" ht="16.5" customHeight="1" x14ac:dyDescent="0.55000000000000004">
      <c r="A8" s="2" t="s">
        <v>24</v>
      </c>
      <c r="B8" s="2" t="s">
        <v>31</v>
      </c>
      <c r="C8" s="2" t="s">
        <v>32</v>
      </c>
      <c r="D8" s="2" t="s">
        <v>30</v>
      </c>
      <c r="E8" s="2" t="s">
        <v>8</v>
      </c>
      <c r="F8" s="1"/>
      <c r="G8" s="21" t="s">
        <v>15</v>
      </c>
      <c r="H8" s="14"/>
    </row>
    <row r="9" spans="1:8" ht="16.5" customHeight="1" x14ac:dyDescent="0.55000000000000004">
      <c r="A9" s="2" t="s">
        <v>24</v>
      </c>
      <c r="B9" s="2" t="s">
        <v>31</v>
      </c>
      <c r="C9" s="2" t="s">
        <v>33</v>
      </c>
      <c r="D9" s="2" t="s">
        <v>27</v>
      </c>
      <c r="E9" s="2" t="s">
        <v>8</v>
      </c>
      <c r="G9" s="21" t="s">
        <v>15</v>
      </c>
      <c r="H9" s="14"/>
    </row>
    <row r="10" spans="1:8" ht="16.5" customHeight="1" x14ac:dyDescent="0.55000000000000004">
      <c r="A10" s="2" t="s">
        <v>24</v>
      </c>
      <c r="B10" s="2" t="s">
        <v>31</v>
      </c>
      <c r="C10" s="2" t="s">
        <v>75</v>
      </c>
      <c r="D10" s="2" t="s">
        <v>34</v>
      </c>
      <c r="E10" s="2" t="s">
        <v>8</v>
      </c>
      <c r="F10" s="1"/>
      <c r="G10" s="21" t="s">
        <v>15</v>
      </c>
      <c r="H10" s="14"/>
    </row>
    <row r="11" spans="1:8" ht="16.5" customHeight="1" x14ac:dyDescent="0.55000000000000004">
      <c r="A11" s="2" t="s">
        <v>24</v>
      </c>
      <c r="B11" s="2" t="s">
        <v>31</v>
      </c>
      <c r="C11" s="2" t="s">
        <v>76</v>
      </c>
      <c r="D11" s="2" t="s">
        <v>27</v>
      </c>
      <c r="E11" s="2" t="s">
        <v>8</v>
      </c>
      <c r="G11" s="21" t="s">
        <v>15</v>
      </c>
      <c r="H11" s="14"/>
    </row>
    <row r="12" spans="1:8" ht="16.5" customHeight="1" x14ac:dyDescent="0.55000000000000004">
      <c r="A12" s="2" t="s">
        <v>77</v>
      </c>
      <c r="B12" s="2" t="s">
        <v>35</v>
      </c>
      <c r="C12" s="2" t="s">
        <v>36</v>
      </c>
      <c r="D12" s="2" t="s">
        <v>27</v>
      </c>
      <c r="E12" s="2" t="s">
        <v>8</v>
      </c>
      <c r="G12" s="21" t="s">
        <v>15</v>
      </c>
      <c r="H12" s="14"/>
    </row>
    <row r="13" spans="1:8" ht="16.5" customHeight="1" x14ac:dyDescent="0.55000000000000004">
      <c r="A13" s="2" t="s">
        <v>77</v>
      </c>
      <c r="B13" s="2" t="s">
        <v>35</v>
      </c>
      <c r="C13" s="1" t="s">
        <v>78</v>
      </c>
      <c r="D13" s="2" t="s">
        <v>30</v>
      </c>
      <c r="E13" s="2" t="s">
        <v>8</v>
      </c>
      <c r="G13" s="21" t="s">
        <v>15</v>
      </c>
      <c r="H13" s="14"/>
    </row>
    <row r="14" spans="1:8" ht="16.5" customHeight="1" x14ac:dyDescent="0.55000000000000004">
      <c r="A14" s="2" t="s">
        <v>77</v>
      </c>
      <c r="B14" s="2" t="s">
        <v>35</v>
      </c>
      <c r="C14" s="2" t="s">
        <v>37</v>
      </c>
      <c r="D14" s="2" t="s">
        <v>30</v>
      </c>
      <c r="E14" s="2" t="s">
        <v>8</v>
      </c>
      <c r="G14" s="21" t="s">
        <v>15</v>
      </c>
      <c r="H14" s="14"/>
    </row>
    <row r="15" spans="1:8" ht="16.5" customHeight="1" x14ac:dyDescent="0.55000000000000004">
      <c r="A15" s="2" t="s">
        <v>77</v>
      </c>
      <c r="B15" s="2" t="s">
        <v>35</v>
      </c>
      <c r="C15" s="2" t="s">
        <v>79</v>
      </c>
      <c r="D15" s="2" t="s">
        <v>30</v>
      </c>
      <c r="E15" s="2" t="s">
        <v>8</v>
      </c>
      <c r="G15" s="21" t="s">
        <v>15</v>
      </c>
      <c r="H15" s="14"/>
    </row>
    <row r="16" spans="1:8" ht="16.5" customHeight="1" x14ac:dyDescent="0.55000000000000004">
      <c r="A16" s="2" t="s">
        <v>77</v>
      </c>
      <c r="B16" s="2" t="s">
        <v>35</v>
      </c>
      <c r="C16" s="2" t="s">
        <v>38</v>
      </c>
      <c r="D16" s="2" t="s">
        <v>27</v>
      </c>
      <c r="E16" s="2" t="s">
        <v>8</v>
      </c>
      <c r="G16" s="21" t="s">
        <v>15</v>
      </c>
      <c r="H16" s="14"/>
    </row>
    <row r="17" spans="1:8" ht="16.5" customHeight="1" x14ac:dyDescent="0.55000000000000004">
      <c r="A17" s="2" t="s">
        <v>77</v>
      </c>
      <c r="B17" s="2" t="s">
        <v>35</v>
      </c>
      <c r="C17" s="2" t="s">
        <v>80</v>
      </c>
      <c r="D17" s="2" t="s">
        <v>30</v>
      </c>
      <c r="E17" s="2" t="s">
        <v>8</v>
      </c>
      <c r="G17" s="21" t="s">
        <v>15</v>
      </c>
      <c r="H17" s="14"/>
    </row>
    <row r="18" spans="1:8" ht="16.5" customHeight="1" x14ac:dyDescent="0.55000000000000004">
      <c r="A18" s="2" t="s">
        <v>81</v>
      </c>
      <c r="B18" s="2" t="s">
        <v>39</v>
      </c>
      <c r="C18" s="2" t="s">
        <v>40</v>
      </c>
      <c r="D18" s="2" t="s">
        <v>27</v>
      </c>
      <c r="E18" s="2" t="s">
        <v>8</v>
      </c>
      <c r="G18" s="21" t="s">
        <v>15</v>
      </c>
      <c r="H18" s="14"/>
    </row>
    <row r="19" spans="1:8" ht="16.5" customHeight="1" x14ac:dyDescent="0.55000000000000004">
      <c r="A19" s="2" t="s">
        <v>81</v>
      </c>
      <c r="B19" s="2" t="s">
        <v>39</v>
      </c>
      <c r="C19" s="2" t="s">
        <v>82</v>
      </c>
      <c r="D19" s="2" t="s">
        <v>27</v>
      </c>
      <c r="E19" s="2" t="s">
        <v>8</v>
      </c>
      <c r="G19" s="21" t="s">
        <v>15</v>
      </c>
      <c r="H19" s="14"/>
    </row>
    <row r="20" spans="1:8" ht="16.5" customHeight="1" x14ac:dyDescent="0.55000000000000004">
      <c r="A20" s="2" t="s">
        <v>81</v>
      </c>
      <c r="B20" s="2" t="s">
        <v>39</v>
      </c>
      <c r="C20" s="2" t="s">
        <v>83</v>
      </c>
      <c r="D20" s="2" t="s">
        <v>27</v>
      </c>
      <c r="E20" s="2" t="s">
        <v>8</v>
      </c>
      <c r="F20" s="1"/>
      <c r="G20" s="21" t="s">
        <v>15</v>
      </c>
      <c r="H20" s="14"/>
    </row>
    <row r="21" spans="1:8" ht="16.5" customHeight="1" x14ac:dyDescent="0.55000000000000004">
      <c r="A21" s="2" t="s">
        <v>81</v>
      </c>
      <c r="B21" s="2" t="s">
        <v>39</v>
      </c>
      <c r="C21" s="2" t="s">
        <v>41</v>
      </c>
      <c r="D21" s="2" t="s">
        <v>34</v>
      </c>
      <c r="E21" s="2" t="s">
        <v>8</v>
      </c>
      <c r="G21" s="21" t="s">
        <v>15</v>
      </c>
      <c r="H21" s="14"/>
    </row>
    <row r="22" spans="1:8" ht="16.5" customHeight="1" x14ac:dyDescent="0.55000000000000004">
      <c r="A22" s="2" t="s">
        <v>81</v>
      </c>
      <c r="B22" s="2" t="s">
        <v>42</v>
      </c>
      <c r="C22" s="2" t="s">
        <v>84</v>
      </c>
      <c r="D22" s="2" t="s">
        <v>27</v>
      </c>
      <c r="E22" s="2" t="s">
        <v>8</v>
      </c>
      <c r="G22" s="21" t="s">
        <v>15</v>
      </c>
      <c r="H22" s="14"/>
    </row>
    <row r="23" spans="1:8" ht="16.5" customHeight="1" x14ac:dyDescent="0.55000000000000004">
      <c r="A23" s="2" t="s">
        <v>81</v>
      </c>
      <c r="B23" s="2" t="s">
        <v>42</v>
      </c>
      <c r="C23" s="2" t="s">
        <v>85</v>
      </c>
      <c r="D23" s="2" t="s">
        <v>30</v>
      </c>
      <c r="E23" s="2" t="s">
        <v>8</v>
      </c>
      <c r="G23" s="21" t="s">
        <v>15</v>
      </c>
      <c r="H23" s="14"/>
    </row>
    <row r="24" spans="1:8" ht="16.5" customHeight="1" x14ac:dyDescent="0.55000000000000004">
      <c r="A24" s="2" t="s">
        <v>81</v>
      </c>
      <c r="B24" s="2" t="s">
        <v>43</v>
      </c>
      <c r="C24" s="2" t="s">
        <v>44</v>
      </c>
      <c r="D24" s="2" t="s">
        <v>30</v>
      </c>
      <c r="E24" s="2" t="s">
        <v>8</v>
      </c>
      <c r="G24" s="21" t="s">
        <v>15</v>
      </c>
      <c r="H24" s="14"/>
    </row>
    <row r="25" spans="1:8" ht="16.5" customHeight="1" x14ac:dyDescent="0.55000000000000004">
      <c r="A25" s="2" t="s">
        <v>81</v>
      </c>
      <c r="B25" s="2" t="s">
        <v>86</v>
      </c>
      <c r="C25" s="2" t="s">
        <v>87</v>
      </c>
      <c r="D25" s="2" t="s">
        <v>30</v>
      </c>
      <c r="E25" s="2" t="s">
        <v>8</v>
      </c>
      <c r="G25" s="21" t="s">
        <v>15</v>
      </c>
      <c r="H25" s="14"/>
    </row>
    <row r="26" spans="1:8" ht="16.5" customHeight="1" x14ac:dyDescent="0.55000000000000004">
      <c r="A26" s="2" t="s">
        <v>81</v>
      </c>
      <c r="B26" s="2" t="s">
        <v>45</v>
      </c>
      <c r="C26" s="2" t="s">
        <v>88</v>
      </c>
      <c r="D26" s="2" t="s">
        <v>30</v>
      </c>
      <c r="E26" s="2" t="s">
        <v>8</v>
      </c>
      <c r="G26" s="21" t="s">
        <v>15</v>
      </c>
      <c r="H26" s="14"/>
    </row>
    <row r="27" spans="1:8" ht="16.5" customHeight="1" x14ac:dyDescent="0.55000000000000004">
      <c r="A27" s="2" t="s">
        <v>81</v>
      </c>
      <c r="B27" s="2" t="s">
        <v>42</v>
      </c>
      <c r="C27" s="2" t="s">
        <v>89</v>
      </c>
      <c r="D27" s="2" t="s">
        <v>27</v>
      </c>
      <c r="E27" s="2" t="s">
        <v>8</v>
      </c>
      <c r="G27" s="21" t="s">
        <v>15</v>
      </c>
      <c r="H27" s="14"/>
    </row>
    <row r="28" spans="1:8" ht="16.5" customHeight="1" x14ac:dyDescent="0.55000000000000004">
      <c r="A28" s="2" t="s">
        <v>81</v>
      </c>
      <c r="B28" s="2" t="s">
        <v>42</v>
      </c>
      <c r="C28" s="2" t="s">
        <v>90</v>
      </c>
      <c r="D28" s="2" t="s">
        <v>27</v>
      </c>
      <c r="E28" s="2" t="s">
        <v>8</v>
      </c>
      <c r="G28" s="21" t="s">
        <v>15</v>
      </c>
      <c r="H28" s="14"/>
    </row>
    <row r="29" spans="1:8" ht="16.5" customHeight="1" x14ac:dyDescent="0.55000000000000004">
      <c r="A29" s="2" t="s">
        <v>81</v>
      </c>
      <c r="B29" s="2" t="s">
        <v>42</v>
      </c>
      <c r="C29" s="2" t="s">
        <v>91</v>
      </c>
      <c r="D29" s="2" t="s">
        <v>27</v>
      </c>
      <c r="E29" s="2" t="s">
        <v>8</v>
      </c>
      <c r="G29" s="21" t="s">
        <v>15</v>
      </c>
      <c r="H29" s="14"/>
    </row>
    <row r="30" spans="1:8" ht="16.5" customHeight="1" x14ac:dyDescent="0.55000000000000004">
      <c r="A30" s="2" t="s">
        <v>81</v>
      </c>
      <c r="B30" s="2" t="s">
        <v>42</v>
      </c>
      <c r="C30" s="2" t="s">
        <v>46</v>
      </c>
      <c r="D30" s="2" t="s">
        <v>27</v>
      </c>
      <c r="E30" s="2" t="s">
        <v>8</v>
      </c>
      <c r="F30" s="1"/>
      <c r="G30" s="21" t="s">
        <v>15</v>
      </c>
      <c r="H30" s="14"/>
    </row>
    <row r="31" spans="1:8" ht="16.5" customHeight="1" x14ac:dyDescent="0.55000000000000004">
      <c r="A31" s="2" t="s">
        <v>81</v>
      </c>
      <c r="B31" s="2" t="s">
        <v>42</v>
      </c>
      <c r="C31" s="2" t="s">
        <v>92</v>
      </c>
      <c r="D31" s="2" t="s">
        <v>30</v>
      </c>
      <c r="E31" s="2" t="s">
        <v>8</v>
      </c>
      <c r="G31" s="21" t="s">
        <v>15</v>
      </c>
      <c r="H31" s="14"/>
    </row>
    <row r="32" spans="1:8" ht="16.5" customHeight="1" x14ac:dyDescent="0.55000000000000004">
      <c r="A32" s="2" t="s">
        <v>81</v>
      </c>
      <c r="B32" s="2" t="s">
        <v>86</v>
      </c>
      <c r="C32" s="2" t="s">
        <v>47</v>
      </c>
      <c r="D32" s="2" t="s">
        <v>27</v>
      </c>
      <c r="E32" s="2" t="s">
        <v>8</v>
      </c>
      <c r="G32" s="21" t="s">
        <v>15</v>
      </c>
      <c r="H32" s="14"/>
    </row>
    <row r="33" spans="1:8" ht="16.5" customHeight="1" x14ac:dyDescent="0.55000000000000004">
      <c r="A33" s="2" t="s">
        <v>81</v>
      </c>
      <c r="B33" s="2" t="s">
        <v>31</v>
      </c>
      <c r="C33" s="2" t="s">
        <v>93</v>
      </c>
      <c r="D33" s="2" t="s">
        <v>30</v>
      </c>
      <c r="E33" s="2" t="s">
        <v>8</v>
      </c>
      <c r="G33" s="21" t="s">
        <v>15</v>
      </c>
      <c r="H33" s="14"/>
    </row>
    <row r="34" spans="1:8" ht="16.5" customHeight="1" x14ac:dyDescent="0.55000000000000004">
      <c r="A34" s="2" t="s">
        <v>81</v>
      </c>
      <c r="B34" s="2" t="s">
        <v>42</v>
      </c>
      <c r="C34" s="2" t="s">
        <v>94</v>
      </c>
      <c r="D34" s="2" t="s">
        <v>30</v>
      </c>
      <c r="E34" s="2" t="s">
        <v>8</v>
      </c>
      <c r="F34" s="1"/>
      <c r="G34" s="21" t="s">
        <v>15</v>
      </c>
      <c r="H34" s="14"/>
    </row>
    <row r="35" spans="1:8" ht="16.5" customHeight="1" x14ac:dyDescent="0.55000000000000004">
      <c r="A35" s="1" t="s">
        <v>48</v>
      </c>
      <c r="B35" s="2" t="s">
        <v>49</v>
      </c>
      <c r="C35" s="2" t="s">
        <v>95</v>
      </c>
      <c r="D35" s="2" t="s">
        <v>30</v>
      </c>
      <c r="E35" s="2" t="s">
        <v>8</v>
      </c>
      <c r="G35" s="21" t="s">
        <v>15</v>
      </c>
      <c r="H35" s="14"/>
    </row>
    <row r="36" spans="1:8" ht="16.5" customHeight="1" x14ac:dyDescent="0.55000000000000004">
      <c r="A36" s="1" t="s">
        <v>48</v>
      </c>
      <c r="B36" s="2" t="s">
        <v>49</v>
      </c>
      <c r="C36" s="2" t="s">
        <v>96</v>
      </c>
      <c r="D36" s="2" t="s">
        <v>27</v>
      </c>
      <c r="E36" s="2" t="s">
        <v>8</v>
      </c>
      <c r="G36" s="21" t="s">
        <v>15</v>
      </c>
      <c r="H36" s="14"/>
    </row>
    <row r="37" spans="1:8" ht="16.5" customHeight="1" x14ac:dyDescent="0.55000000000000004">
      <c r="A37" s="1" t="s">
        <v>48</v>
      </c>
      <c r="B37" s="2" t="s">
        <v>50</v>
      </c>
      <c r="C37" s="2" t="s">
        <v>97</v>
      </c>
      <c r="D37" s="2" t="s">
        <v>30</v>
      </c>
      <c r="E37" s="2" t="s">
        <v>8</v>
      </c>
      <c r="G37" s="21" t="s">
        <v>15</v>
      </c>
      <c r="H37" s="14"/>
    </row>
    <row r="38" spans="1:8" ht="16.5" customHeight="1" x14ac:dyDescent="0.55000000000000004">
      <c r="A38" s="1" t="s">
        <v>48</v>
      </c>
      <c r="B38" s="2" t="s">
        <v>50</v>
      </c>
      <c r="C38" s="2" t="s">
        <v>51</v>
      </c>
      <c r="D38" s="2" t="s">
        <v>30</v>
      </c>
      <c r="E38" s="2" t="s">
        <v>8</v>
      </c>
      <c r="G38" s="21" t="s">
        <v>15</v>
      </c>
      <c r="H38" s="14"/>
    </row>
    <row r="39" spans="1:8" ht="16.5" customHeight="1" x14ac:dyDescent="0.55000000000000004">
      <c r="A39" s="1" t="s">
        <v>48</v>
      </c>
      <c r="B39" s="2" t="s">
        <v>50</v>
      </c>
      <c r="C39" s="2" t="s">
        <v>52</v>
      </c>
      <c r="D39" s="2" t="s">
        <v>34</v>
      </c>
      <c r="E39" s="2" t="s">
        <v>8</v>
      </c>
      <c r="G39" s="21" t="s">
        <v>15</v>
      </c>
      <c r="H39" s="14"/>
    </row>
    <row r="40" spans="1:8" ht="16.5" customHeight="1" x14ac:dyDescent="0.55000000000000004">
      <c r="A40" s="1" t="s">
        <v>48</v>
      </c>
      <c r="B40" s="2" t="s">
        <v>50</v>
      </c>
      <c r="C40" s="2" t="s">
        <v>98</v>
      </c>
      <c r="D40" s="2" t="s">
        <v>30</v>
      </c>
      <c r="E40" s="2" t="s">
        <v>8</v>
      </c>
      <c r="G40" s="21" t="s">
        <v>15</v>
      </c>
      <c r="H40" s="14"/>
    </row>
    <row r="41" spans="1:8" ht="16.5" customHeight="1" x14ac:dyDescent="0.55000000000000004">
      <c r="A41" s="1" t="s">
        <v>48</v>
      </c>
      <c r="B41" s="2" t="s">
        <v>50</v>
      </c>
      <c r="C41" s="1" t="s">
        <v>99</v>
      </c>
      <c r="D41" s="2" t="s">
        <v>30</v>
      </c>
      <c r="E41" s="2" t="s">
        <v>8</v>
      </c>
      <c r="G41" s="21" t="s">
        <v>15</v>
      </c>
      <c r="H41" s="14"/>
    </row>
    <row r="42" spans="1:8" ht="16.5" customHeight="1" x14ac:dyDescent="0.55000000000000004">
      <c r="A42" s="1" t="s">
        <v>48</v>
      </c>
      <c r="B42" s="2" t="s">
        <v>50</v>
      </c>
      <c r="C42" s="2" t="s">
        <v>53</v>
      </c>
      <c r="D42" s="2" t="s">
        <v>30</v>
      </c>
      <c r="E42" s="2" t="s">
        <v>8</v>
      </c>
      <c r="G42" s="21" t="s">
        <v>15</v>
      </c>
      <c r="H42" s="14"/>
    </row>
    <row r="43" spans="1:8" ht="16.5" customHeight="1" x14ac:dyDescent="0.55000000000000004">
      <c r="A43" s="1" t="s">
        <v>48</v>
      </c>
      <c r="B43" s="2" t="s">
        <v>50</v>
      </c>
      <c r="C43" s="2" t="s">
        <v>100</v>
      </c>
      <c r="D43" s="2" t="s">
        <v>27</v>
      </c>
      <c r="E43" s="2" t="s">
        <v>8</v>
      </c>
      <c r="G43" s="21" t="s">
        <v>15</v>
      </c>
      <c r="H43" s="14"/>
    </row>
    <row r="44" spans="1:8" ht="16.5" customHeight="1" x14ac:dyDescent="0.55000000000000004">
      <c r="A44" s="1" t="s">
        <v>54</v>
      </c>
      <c r="B44" s="2" t="s">
        <v>45</v>
      </c>
      <c r="C44" s="2" t="s">
        <v>101</v>
      </c>
      <c r="D44" s="2" t="s">
        <v>34</v>
      </c>
      <c r="E44" s="2" t="s">
        <v>8</v>
      </c>
      <c r="G44" s="21" t="s">
        <v>15</v>
      </c>
      <c r="H44" s="14"/>
    </row>
    <row r="45" spans="1:8" ht="16.5" customHeight="1" x14ac:dyDescent="0.55000000000000004">
      <c r="A45" s="1" t="s">
        <v>55</v>
      </c>
      <c r="B45" s="2" t="s">
        <v>56</v>
      </c>
      <c r="C45" s="2" t="s">
        <v>102</v>
      </c>
      <c r="D45" s="2" t="s">
        <v>27</v>
      </c>
      <c r="E45" s="2" t="s">
        <v>8</v>
      </c>
      <c r="G45" s="21" t="s">
        <v>15</v>
      </c>
      <c r="H45" s="14"/>
    </row>
    <row r="46" spans="1:8" ht="16.5" customHeight="1" x14ac:dyDescent="0.55000000000000004">
      <c r="A46" s="1" t="s">
        <v>55</v>
      </c>
      <c r="B46" s="2" t="s">
        <v>56</v>
      </c>
      <c r="C46" s="2" t="s">
        <v>103</v>
      </c>
      <c r="D46" s="2" t="s">
        <v>27</v>
      </c>
      <c r="E46" s="2" t="s">
        <v>8</v>
      </c>
      <c r="G46" s="21" t="s">
        <v>15</v>
      </c>
      <c r="H46" s="14"/>
    </row>
    <row r="47" spans="1:8" ht="16.5" customHeight="1" x14ac:dyDescent="0.55000000000000004">
      <c r="A47" s="1" t="s">
        <v>55</v>
      </c>
      <c r="B47" s="2" t="s">
        <v>56</v>
      </c>
      <c r="C47" s="2" t="s">
        <v>104</v>
      </c>
      <c r="D47" s="2" t="s">
        <v>30</v>
      </c>
      <c r="E47" s="2" t="s">
        <v>8</v>
      </c>
      <c r="G47" s="21" t="s">
        <v>15</v>
      </c>
      <c r="H47" s="14"/>
    </row>
    <row r="48" spans="1:8" ht="16.5" customHeight="1" x14ac:dyDescent="0.55000000000000004">
      <c r="A48" s="1" t="s">
        <v>55</v>
      </c>
      <c r="B48" s="2" t="s">
        <v>56</v>
      </c>
      <c r="C48" s="2" t="s">
        <v>57</v>
      </c>
      <c r="D48" s="2" t="s">
        <v>30</v>
      </c>
      <c r="E48" s="2" t="s">
        <v>8</v>
      </c>
      <c r="G48" s="21" t="s">
        <v>15</v>
      </c>
      <c r="H48" s="14"/>
    </row>
    <row r="49" spans="1:8" ht="16.5" customHeight="1" x14ac:dyDescent="0.55000000000000004">
      <c r="A49" s="1" t="s">
        <v>55</v>
      </c>
      <c r="B49" s="2" t="s">
        <v>56</v>
      </c>
      <c r="C49" s="2" t="s">
        <v>58</v>
      </c>
      <c r="D49" s="2" t="s">
        <v>30</v>
      </c>
      <c r="E49" s="2" t="s">
        <v>8</v>
      </c>
      <c r="G49" s="21" t="s">
        <v>15</v>
      </c>
      <c r="H49" s="14"/>
    </row>
    <row r="50" spans="1:8" ht="16.5" customHeight="1" x14ac:dyDescent="0.55000000000000004">
      <c r="A50" s="1" t="s">
        <v>55</v>
      </c>
      <c r="B50" s="2" t="s">
        <v>50</v>
      </c>
      <c r="C50" s="2" t="s">
        <v>105</v>
      </c>
      <c r="D50" s="2" t="s">
        <v>34</v>
      </c>
      <c r="E50" s="2" t="s">
        <v>8</v>
      </c>
      <c r="G50" s="21" t="s">
        <v>15</v>
      </c>
      <c r="H50" s="14"/>
    </row>
    <row r="51" spans="1:8" ht="16.5" customHeight="1" x14ac:dyDescent="0.55000000000000004">
      <c r="A51" s="1" t="s">
        <v>55</v>
      </c>
      <c r="B51" s="2" t="s">
        <v>50</v>
      </c>
      <c r="C51" s="2" t="s">
        <v>106</v>
      </c>
      <c r="D51" s="2" t="s">
        <v>34</v>
      </c>
      <c r="E51" s="2" t="s">
        <v>8</v>
      </c>
      <c r="G51" s="21" t="s">
        <v>15</v>
      </c>
      <c r="H51" s="14"/>
    </row>
    <row r="52" spans="1:8" ht="16.5" customHeight="1" x14ac:dyDescent="0.55000000000000004">
      <c r="A52" s="1" t="s">
        <v>55</v>
      </c>
      <c r="B52" s="2" t="s">
        <v>107</v>
      </c>
      <c r="C52" s="2" t="s">
        <v>108</v>
      </c>
      <c r="D52" s="2" t="s">
        <v>27</v>
      </c>
      <c r="E52" s="2" t="s">
        <v>8</v>
      </c>
      <c r="G52" s="21" t="s">
        <v>15</v>
      </c>
      <c r="H52" s="14"/>
    </row>
    <row r="53" spans="1:8" ht="16.5" customHeight="1" x14ac:dyDescent="0.55000000000000004">
      <c r="A53" s="1" t="s">
        <v>55</v>
      </c>
      <c r="B53" s="2" t="s">
        <v>107</v>
      </c>
      <c r="C53" s="2" t="s">
        <v>109</v>
      </c>
      <c r="D53" s="2" t="s">
        <v>27</v>
      </c>
      <c r="E53" s="2" t="s">
        <v>8</v>
      </c>
      <c r="G53" s="21" t="s">
        <v>15</v>
      </c>
      <c r="H53" s="14"/>
    </row>
    <row r="54" spans="1:8" ht="16.5" customHeight="1" x14ac:dyDescent="0.55000000000000004">
      <c r="A54" s="1" t="s">
        <v>55</v>
      </c>
      <c r="B54" s="2" t="s">
        <v>59</v>
      </c>
      <c r="C54" s="2" t="s">
        <v>110</v>
      </c>
      <c r="D54" s="2" t="s">
        <v>27</v>
      </c>
      <c r="E54" s="2" t="s">
        <v>8</v>
      </c>
      <c r="G54" s="21" t="s">
        <v>15</v>
      </c>
      <c r="H54" s="14"/>
    </row>
    <row r="55" spans="1:8" ht="16.5" customHeight="1" x14ac:dyDescent="0.55000000000000004">
      <c r="A55" s="1" t="s">
        <v>55</v>
      </c>
      <c r="B55" s="2" t="s">
        <v>50</v>
      </c>
      <c r="C55" s="2" t="s">
        <v>111</v>
      </c>
      <c r="D55" s="2" t="s">
        <v>27</v>
      </c>
      <c r="E55" s="2" t="s">
        <v>8</v>
      </c>
      <c r="G55" s="21" t="s">
        <v>15</v>
      </c>
      <c r="H55" s="14"/>
    </row>
    <row r="56" spans="1:8" ht="16.5" customHeight="1" x14ac:dyDescent="0.55000000000000004">
      <c r="A56" s="1" t="s">
        <v>55</v>
      </c>
      <c r="B56" s="2" t="s">
        <v>50</v>
      </c>
      <c r="C56" s="1" t="s">
        <v>60</v>
      </c>
      <c r="D56" s="2" t="s">
        <v>27</v>
      </c>
      <c r="E56" s="2" t="s">
        <v>8</v>
      </c>
      <c r="G56" s="21" t="s">
        <v>15</v>
      </c>
      <c r="H56" s="14"/>
    </row>
    <row r="57" spans="1:8" ht="16.5" customHeight="1" x14ac:dyDescent="0.55000000000000004">
      <c r="A57" s="1" t="s">
        <v>55</v>
      </c>
      <c r="B57" s="2" t="s">
        <v>50</v>
      </c>
      <c r="C57" s="1" t="s">
        <v>112</v>
      </c>
      <c r="D57" s="2" t="s">
        <v>34</v>
      </c>
      <c r="E57" s="2" t="s">
        <v>8</v>
      </c>
      <c r="G57" s="21" t="s">
        <v>15</v>
      </c>
      <c r="H57" s="14"/>
    </row>
    <row r="58" spans="1:8" ht="16.5" customHeight="1" x14ac:dyDescent="0.55000000000000004">
      <c r="A58" s="1" t="s">
        <v>55</v>
      </c>
      <c r="B58" s="2" t="s">
        <v>45</v>
      </c>
      <c r="C58" s="2" t="s">
        <v>61</v>
      </c>
      <c r="D58" s="2" t="s">
        <v>34</v>
      </c>
      <c r="E58" s="2" t="s">
        <v>8</v>
      </c>
      <c r="G58" s="21" t="s">
        <v>15</v>
      </c>
      <c r="H58" s="14"/>
    </row>
    <row r="59" spans="1:8" ht="16.5" customHeight="1" x14ac:dyDescent="0.55000000000000004">
      <c r="A59" s="1" t="s">
        <v>55</v>
      </c>
      <c r="B59" s="2" t="s">
        <v>45</v>
      </c>
      <c r="C59" s="1" t="s">
        <v>113</v>
      </c>
      <c r="D59" s="2" t="s">
        <v>34</v>
      </c>
      <c r="E59" s="2" t="s">
        <v>8</v>
      </c>
      <c r="G59" s="21" t="s">
        <v>15</v>
      </c>
      <c r="H59" s="14"/>
    </row>
    <row r="60" spans="1:8" ht="16.5" customHeight="1" x14ac:dyDescent="0.55000000000000004">
      <c r="A60" s="1" t="s">
        <v>55</v>
      </c>
      <c r="B60" s="2" t="s">
        <v>45</v>
      </c>
      <c r="C60" s="2" t="s">
        <v>62</v>
      </c>
      <c r="D60" s="2" t="s">
        <v>34</v>
      </c>
      <c r="E60" s="2" t="s">
        <v>8</v>
      </c>
      <c r="G60" s="21" t="s">
        <v>15</v>
      </c>
      <c r="H60" s="14"/>
    </row>
    <row r="61" spans="1:8" ht="16.5" customHeight="1" x14ac:dyDescent="0.55000000000000004">
      <c r="A61" s="1" t="s">
        <v>55</v>
      </c>
      <c r="B61" s="2" t="s">
        <v>50</v>
      </c>
      <c r="C61" s="2" t="s">
        <v>114</v>
      </c>
      <c r="D61" s="2" t="s">
        <v>27</v>
      </c>
      <c r="E61" s="2" t="s">
        <v>8</v>
      </c>
      <c r="G61" s="21" t="s">
        <v>15</v>
      </c>
      <c r="H61" s="14"/>
    </row>
    <row r="62" spans="1:8" ht="16.5" customHeight="1" x14ac:dyDescent="0.55000000000000004">
      <c r="A62" s="1" t="s">
        <v>55</v>
      </c>
      <c r="B62" s="2" t="s">
        <v>50</v>
      </c>
      <c r="C62" s="2" t="s">
        <v>115</v>
      </c>
      <c r="D62" s="2" t="s">
        <v>34</v>
      </c>
      <c r="E62" s="2" t="s">
        <v>8</v>
      </c>
      <c r="G62" s="21" t="s">
        <v>15</v>
      </c>
      <c r="H62" s="14"/>
    </row>
    <row r="63" spans="1:8" ht="16.5" customHeight="1" x14ac:dyDescent="0.55000000000000004">
      <c r="A63" s="1" t="s">
        <v>55</v>
      </c>
      <c r="B63" s="2" t="s">
        <v>50</v>
      </c>
      <c r="C63" s="2" t="s">
        <v>63</v>
      </c>
      <c r="D63" s="2" t="s">
        <v>30</v>
      </c>
      <c r="E63" s="2" t="s">
        <v>8</v>
      </c>
      <c r="G63" s="21" t="s">
        <v>15</v>
      </c>
      <c r="H63" s="14"/>
    </row>
    <row r="64" spans="1:8" ht="16.5" customHeight="1" x14ac:dyDescent="0.55000000000000004">
      <c r="A64" s="1" t="s">
        <v>55</v>
      </c>
      <c r="B64" s="2" t="s">
        <v>50</v>
      </c>
      <c r="C64" s="2" t="s">
        <v>64</v>
      </c>
      <c r="D64" s="2" t="s">
        <v>34</v>
      </c>
      <c r="E64" s="2" t="s">
        <v>8</v>
      </c>
      <c r="F64" s="1"/>
      <c r="G64" s="21" t="s">
        <v>15</v>
      </c>
      <c r="H64" s="14"/>
    </row>
    <row r="65" spans="1:8" ht="16.5" customHeight="1" x14ac:dyDescent="0.55000000000000004">
      <c r="A65" s="1" t="s">
        <v>55</v>
      </c>
      <c r="B65" s="2" t="s">
        <v>50</v>
      </c>
      <c r="C65" s="1" t="s">
        <v>116</v>
      </c>
      <c r="D65" s="2" t="s">
        <v>34</v>
      </c>
      <c r="E65" s="2" t="s">
        <v>8</v>
      </c>
      <c r="G65" s="21" t="s">
        <v>15</v>
      </c>
      <c r="H65" s="14"/>
    </row>
    <row r="66" spans="1:8" ht="16.5" customHeight="1" x14ac:dyDescent="0.55000000000000004">
      <c r="A66" s="1" t="s">
        <v>55</v>
      </c>
      <c r="B66" s="2" t="s">
        <v>107</v>
      </c>
      <c r="C66" s="2" t="s">
        <v>117</v>
      </c>
      <c r="D66" s="2" t="s">
        <v>30</v>
      </c>
      <c r="E66" s="2" t="s">
        <v>8</v>
      </c>
      <c r="G66" s="21" t="s">
        <v>15</v>
      </c>
      <c r="H66" s="14"/>
    </row>
    <row r="67" spans="1:8" ht="16.5" customHeight="1" x14ac:dyDescent="0.55000000000000004">
      <c r="A67" s="1" t="s">
        <v>55</v>
      </c>
      <c r="B67" s="2" t="s">
        <v>107</v>
      </c>
      <c r="C67" s="2" t="s">
        <v>65</v>
      </c>
      <c r="D67" s="2" t="s">
        <v>30</v>
      </c>
      <c r="E67" s="2" t="s">
        <v>8</v>
      </c>
      <c r="G67" s="21" t="s">
        <v>15</v>
      </c>
      <c r="H67" s="14"/>
    </row>
    <row r="68" spans="1:8" ht="16.5" customHeight="1" x14ac:dyDescent="0.55000000000000004">
      <c r="A68" s="1" t="s">
        <v>55</v>
      </c>
      <c r="B68" s="2" t="s">
        <v>107</v>
      </c>
      <c r="C68" s="2" t="s">
        <v>66</v>
      </c>
      <c r="D68" s="2" t="s">
        <v>30</v>
      </c>
      <c r="E68" s="2" t="s">
        <v>8</v>
      </c>
      <c r="G68" s="21" t="s">
        <v>15</v>
      </c>
      <c r="H68" s="14"/>
    </row>
    <row r="69" spans="1:8" ht="16.5" customHeight="1" x14ac:dyDescent="0.55000000000000004">
      <c r="A69" s="1" t="s">
        <v>55</v>
      </c>
      <c r="B69" s="2" t="s">
        <v>107</v>
      </c>
      <c r="C69" s="2" t="s">
        <v>118</v>
      </c>
      <c r="D69" s="2" t="s">
        <v>30</v>
      </c>
      <c r="E69" s="2" t="s">
        <v>8</v>
      </c>
      <c r="G69" s="21" t="s">
        <v>15</v>
      </c>
      <c r="H69" s="14"/>
    </row>
    <row r="70" spans="1:8" ht="16.5" customHeight="1" x14ac:dyDescent="0.55000000000000004">
      <c r="A70" s="1" t="s">
        <v>55</v>
      </c>
      <c r="B70" s="2" t="s">
        <v>50</v>
      </c>
      <c r="C70" s="2" t="s">
        <v>119</v>
      </c>
      <c r="D70" s="2" t="s">
        <v>34</v>
      </c>
      <c r="E70" s="2" t="s">
        <v>8</v>
      </c>
      <c r="G70" s="21" t="s">
        <v>15</v>
      </c>
      <c r="H70" s="14"/>
    </row>
    <row r="71" spans="1:8" ht="16.5" customHeight="1" x14ac:dyDescent="0.55000000000000004">
      <c r="A71" s="1" t="s">
        <v>55</v>
      </c>
      <c r="B71" s="2" t="s">
        <v>43</v>
      </c>
      <c r="C71" s="2" t="s">
        <v>120</v>
      </c>
      <c r="D71" s="2" t="s">
        <v>30</v>
      </c>
      <c r="E71" s="2" t="s">
        <v>8</v>
      </c>
      <c r="G71" s="21" t="s">
        <v>15</v>
      </c>
      <c r="H71" s="14"/>
    </row>
    <row r="72" spans="1:8" ht="16.5" customHeight="1" x14ac:dyDescent="0.55000000000000004">
      <c r="A72" s="1" t="s">
        <v>55</v>
      </c>
      <c r="B72" s="2" t="s">
        <v>43</v>
      </c>
      <c r="C72" s="2" t="s">
        <v>121</v>
      </c>
      <c r="D72" s="2" t="s">
        <v>30</v>
      </c>
      <c r="E72" s="2" t="s">
        <v>8</v>
      </c>
      <c r="G72" s="21" t="s">
        <v>15</v>
      </c>
      <c r="H72" s="14"/>
    </row>
    <row r="73" spans="1:8" ht="16.5" customHeight="1" x14ac:dyDescent="0.55000000000000004">
      <c r="A73" s="1" t="s">
        <v>55</v>
      </c>
      <c r="B73" s="2" t="s">
        <v>43</v>
      </c>
      <c r="C73" s="2" t="s">
        <v>122</v>
      </c>
      <c r="D73" s="2" t="s">
        <v>27</v>
      </c>
      <c r="E73" s="2" t="s">
        <v>8</v>
      </c>
      <c r="G73" s="21" t="s">
        <v>15</v>
      </c>
      <c r="H73" s="14"/>
    </row>
    <row r="74" spans="1:8" ht="16.5" customHeight="1" x14ac:dyDescent="0.55000000000000004">
      <c r="A74" s="1" t="s">
        <v>55</v>
      </c>
      <c r="B74" s="2" t="s">
        <v>67</v>
      </c>
      <c r="C74" s="2" t="s">
        <v>123</v>
      </c>
      <c r="D74" s="2" t="s">
        <v>27</v>
      </c>
      <c r="E74" s="2" t="s">
        <v>8</v>
      </c>
      <c r="G74" s="21" t="s">
        <v>15</v>
      </c>
      <c r="H74" s="14"/>
    </row>
    <row r="75" spans="1:8" ht="16.5" customHeight="1" x14ac:dyDescent="0.55000000000000004">
      <c r="A75" s="1" t="s">
        <v>55</v>
      </c>
      <c r="B75" s="2" t="s">
        <v>67</v>
      </c>
      <c r="C75" s="2" t="s">
        <v>68</v>
      </c>
      <c r="D75" s="2" t="s">
        <v>30</v>
      </c>
      <c r="E75" s="2" t="s">
        <v>8</v>
      </c>
      <c r="F75" s="1"/>
      <c r="G75" s="21" t="s">
        <v>15</v>
      </c>
      <c r="H75" s="14"/>
    </row>
    <row r="76" spans="1:8" ht="16.5" customHeight="1" x14ac:dyDescent="0.55000000000000004">
      <c r="A76" s="1" t="s">
        <v>55</v>
      </c>
      <c r="B76" s="2" t="s">
        <v>67</v>
      </c>
      <c r="C76" s="2" t="s">
        <v>124</v>
      </c>
      <c r="D76" s="2" t="s">
        <v>27</v>
      </c>
      <c r="E76" s="2" t="s">
        <v>8</v>
      </c>
      <c r="G76" s="21" t="s">
        <v>15</v>
      </c>
      <c r="H76" s="14"/>
    </row>
    <row r="77" spans="1:8" ht="16.5" customHeight="1" x14ac:dyDescent="0.55000000000000004">
      <c r="A77" s="1" t="s">
        <v>125</v>
      </c>
      <c r="B77" s="2" t="s">
        <v>69</v>
      </c>
      <c r="C77" s="2" t="s">
        <v>126</v>
      </c>
      <c r="D77" s="2" t="s">
        <v>30</v>
      </c>
      <c r="E77" s="2" t="s">
        <v>8</v>
      </c>
      <c r="G77" s="21" t="s">
        <v>15</v>
      </c>
      <c r="H77" s="14"/>
    </row>
    <row r="78" spans="1:8" ht="16.5" customHeight="1" x14ac:dyDescent="0.55000000000000004">
      <c r="A78" s="1" t="s">
        <v>125</v>
      </c>
      <c r="B78" s="2" t="s">
        <v>70</v>
      </c>
      <c r="C78" s="2" t="s">
        <v>71</v>
      </c>
      <c r="D78" s="2" t="s">
        <v>30</v>
      </c>
      <c r="E78" s="2" t="s">
        <v>8</v>
      </c>
      <c r="G78" s="21" t="s">
        <v>15</v>
      </c>
      <c r="H78" s="14"/>
    </row>
    <row r="79" spans="1:8" ht="16.5" customHeight="1" x14ac:dyDescent="0.55000000000000004">
      <c r="A79" s="1" t="s">
        <v>125</v>
      </c>
      <c r="B79" s="2" t="s">
        <v>70</v>
      </c>
      <c r="C79" s="2" t="s">
        <v>72</v>
      </c>
      <c r="D79" s="2" t="s">
        <v>34</v>
      </c>
      <c r="E79" s="2" t="s">
        <v>8</v>
      </c>
      <c r="G79" s="21" t="s">
        <v>15</v>
      </c>
      <c r="H79" s="14"/>
    </row>
    <row r="80" spans="1:8" ht="16.5" customHeight="1" x14ac:dyDescent="0.55000000000000004">
      <c r="A80" s="1" t="s">
        <v>125</v>
      </c>
      <c r="B80" s="2" t="s">
        <v>70</v>
      </c>
      <c r="C80" s="2" t="s">
        <v>73</v>
      </c>
      <c r="D80" s="2" t="s">
        <v>34</v>
      </c>
      <c r="E80" s="2" t="s">
        <v>8</v>
      </c>
      <c r="G80" s="21" t="s">
        <v>15</v>
      </c>
      <c r="H80" s="14"/>
    </row>
    <row r="81" spans="2:8" ht="16.5" customHeight="1" x14ac:dyDescent="0.55000000000000004">
      <c r="B81" s="2"/>
      <c r="C81" s="1"/>
      <c r="G81" s="21"/>
      <c r="H81" s="14"/>
    </row>
    <row r="82" spans="2:8" ht="16.5" customHeight="1" x14ac:dyDescent="0.55000000000000004">
      <c r="B82" s="2"/>
      <c r="G82" s="14"/>
      <c r="H82" s="14"/>
    </row>
    <row r="83" spans="2:8" ht="16.5" customHeight="1" x14ac:dyDescent="0.55000000000000004">
      <c r="B83" s="2"/>
      <c r="G83" s="14"/>
      <c r="H83" s="14"/>
    </row>
    <row r="84" spans="2:8" ht="16.5" customHeight="1" x14ac:dyDescent="0.55000000000000004">
      <c r="B84" s="2"/>
      <c r="G84" s="14"/>
      <c r="H84" s="14"/>
    </row>
    <row r="85" spans="2:8" ht="16.5" customHeight="1" x14ac:dyDescent="0.55000000000000004">
      <c r="B85" s="2"/>
      <c r="C85" s="1"/>
      <c r="G85" s="14"/>
      <c r="H85" s="14"/>
    </row>
    <row r="86" spans="2:8" ht="16.5" customHeight="1" x14ac:dyDescent="0.55000000000000004">
      <c r="B86" s="2"/>
      <c r="G86" s="14"/>
      <c r="H86" s="14"/>
    </row>
    <row r="87" spans="2:8" ht="16.5" customHeight="1" x14ac:dyDescent="0.55000000000000004">
      <c r="B87" s="2"/>
      <c r="C87" s="1"/>
      <c r="G87" s="14"/>
      <c r="H87" s="14"/>
    </row>
    <row r="88" spans="2:8" ht="16.5" customHeight="1" x14ac:dyDescent="0.55000000000000004">
      <c r="B88" s="2"/>
      <c r="G88" s="14"/>
      <c r="H88" s="14"/>
    </row>
    <row r="89" spans="2:8" ht="16.5" customHeight="1" x14ac:dyDescent="0.55000000000000004">
      <c r="B89" s="2"/>
      <c r="G89" s="14"/>
      <c r="H89" s="14"/>
    </row>
    <row r="90" spans="2:8" ht="16.5" customHeight="1" x14ac:dyDescent="0.55000000000000004">
      <c r="B90" s="2"/>
      <c r="G90" s="14"/>
      <c r="H90" s="14"/>
    </row>
    <row r="91" spans="2:8" ht="16.5" customHeight="1" x14ac:dyDescent="0.55000000000000004">
      <c r="B91" s="2"/>
      <c r="G91" s="14"/>
      <c r="H91" s="14"/>
    </row>
    <row r="92" spans="2:8" ht="15.75" customHeight="1" x14ac:dyDescent="0.55000000000000004">
      <c r="B92" s="2"/>
      <c r="C92" s="1"/>
      <c r="G92" s="14"/>
      <c r="H92" s="14"/>
    </row>
    <row r="93" spans="2:8" ht="16.5" customHeight="1" x14ac:dyDescent="0.55000000000000004">
      <c r="B93" s="2"/>
      <c r="G93" s="14"/>
      <c r="H93" s="14"/>
    </row>
    <row r="94" spans="2:8" ht="16.5" customHeight="1" x14ac:dyDescent="0.55000000000000004">
      <c r="B94" s="2"/>
      <c r="G94" s="14"/>
      <c r="H94" s="14"/>
    </row>
    <row r="95" spans="2:8" ht="16.5" customHeight="1" x14ac:dyDescent="0.55000000000000004">
      <c r="B95" s="2"/>
      <c r="G95" s="14"/>
      <c r="H95" s="14"/>
    </row>
    <row r="96" spans="2:8" ht="16.5" customHeight="1" x14ac:dyDescent="0.55000000000000004">
      <c r="B96" s="2"/>
      <c r="G96" s="14"/>
      <c r="H96" s="14"/>
    </row>
    <row r="97" spans="2:8" ht="16.5" customHeight="1" x14ac:dyDescent="0.55000000000000004">
      <c r="B97" s="2"/>
      <c r="G97" s="14"/>
      <c r="H97" s="14"/>
    </row>
    <row r="98" spans="2:8" ht="16.5" customHeight="1" x14ac:dyDescent="0.55000000000000004">
      <c r="B98" s="2"/>
      <c r="G98" s="14"/>
      <c r="H98" s="14"/>
    </row>
    <row r="99" spans="2:8" ht="16.5" customHeight="1" x14ac:dyDescent="0.55000000000000004">
      <c r="B99" s="2"/>
      <c r="G99" s="14"/>
      <c r="H99" s="14"/>
    </row>
    <row r="100" spans="2:8" ht="16.5" customHeight="1" x14ac:dyDescent="0.55000000000000004">
      <c r="B100" s="2"/>
      <c r="G100" s="14"/>
      <c r="H100" s="14"/>
    </row>
    <row r="101" spans="2:8" ht="16.5" customHeight="1" x14ac:dyDescent="0.55000000000000004">
      <c r="B101" s="2"/>
      <c r="G101" s="14"/>
      <c r="H101" s="14"/>
    </row>
    <row r="102" spans="2:8" ht="16.5" customHeight="1" x14ac:dyDescent="0.55000000000000004">
      <c r="B102" s="2"/>
      <c r="G102" s="14"/>
      <c r="H102" s="14"/>
    </row>
    <row r="103" spans="2:8" ht="16.5" customHeight="1" x14ac:dyDescent="0.55000000000000004">
      <c r="B103" s="2"/>
      <c r="G103" s="14"/>
      <c r="H103" s="14"/>
    </row>
    <row r="104" spans="2:8" ht="16.5" customHeight="1" x14ac:dyDescent="0.55000000000000004">
      <c r="B104" s="2"/>
      <c r="G104" s="14"/>
      <c r="H104" s="14"/>
    </row>
    <row r="105" spans="2:8" ht="16.5" customHeight="1" x14ac:dyDescent="0.55000000000000004">
      <c r="B105" s="2"/>
      <c r="G105" s="14"/>
      <c r="H105" s="14"/>
    </row>
    <row r="106" spans="2:8" ht="16.5" customHeight="1" x14ac:dyDescent="0.55000000000000004">
      <c r="B106" s="2"/>
      <c r="G106" s="14"/>
      <c r="H106" s="14"/>
    </row>
    <row r="107" spans="2:8" ht="16.5" customHeight="1" x14ac:dyDescent="0.55000000000000004">
      <c r="B107" s="2"/>
      <c r="F107" s="1"/>
      <c r="G107" s="14"/>
      <c r="H107" s="14"/>
    </row>
    <row r="108" spans="2:8" ht="16.5" customHeight="1" x14ac:dyDescent="0.55000000000000004">
      <c r="B108" s="2"/>
      <c r="G108" s="14"/>
      <c r="H108" s="14"/>
    </row>
    <row r="109" spans="2:8" ht="16.5" customHeight="1" x14ac:dyDescent="0.55000000000000004">
      <c r="B109" s="2"/>
      <c r="G109" s="14"/>
      <c r="H109" s="14"/>
    </row>
    <row r="110" spans="2:8" ht="16.5" customHeight="1" x14ac:dyDescent="0.55000000000000004">
      <c r="B110" s="2"/>
      <c r="G110" s="14"/>
      <c r="H110" s="14"/>
    </row>
    <row r="111" spans="2:8" ht="16.5" customHeight="1" x14ac:dyDescent="0.55000000000000004">
      <c r="B111" s="2"/>
      <c r="G111" s="14"/>
      <c r="H111" s="14"/>
    </row>
    <row r="112" spans="2:8" ht="16.5" customHeight="1" x14ac:dyDescent="0.55000000000000004">
      <c r="B112" s="2"/>
      <c r="G112" s="14"/>
      <c r="H112" s="14"/>
    </row>
    <row r="113" spans="2:8" ht="16.5" customHeight="1" x14ac:dyDescent="0.55000000000000004">
      <c r="B113" s="2"/>
      <c r="G113" s="14"/>
      <c r="H113" s="14"/>
    </row>
    <row r="114" spans="2:8" ht="16.5" customHeight="1" x14ac:dyDescent="0.55000000000000004">
      <c r="B114" s="2"/>
      <c r="F114" s="1"/>
      <c r="G114" s="14"/>
      <c r="H114" s="14"/>
    </row>
    <row r="115" spans="2:8" ht="16.5" customHeight="1" x14ac:dyDescent="0.55000000000000004">
      <c r="B115" s="2"/>
      <c r="G115" s="14"/>
      <c r="H115" s="14"/>
    </row>
    <row r="116" spans="2:8" ht="16.5" customHeight="1" x14ac:dyDescent="0.55000000000000004">
      <c r="B116" s="2"/>
      <c r="G116" s="14"/>
      <c r="H116" s="14"/>
    </row>
    <row r="117" spans="2:8" ht="16.5" customHeight="1" x14ac:dyDescent="0.55000000000000004">
      <c r="B117" s="2"/>
      <c r="F117" s="1"/>
      <c r="G117" s="14"/>
      <c r="H117" s="14"/>
    </row>
    <row r="118" spans="2:8" ht="16.5" customHeight="1" x14ac:dyDescent="0.55000000000000004">
      <c r="B118" s="2"/>
      <c r="G118" s="14"/>
      <c r="H118" s="14"/>
    </row>
    <row r="119" spans="2:8" ht="16.5" customHeight="1" x14ac:dyDescent="0.55000000000000004">
      <c r="B119" s="2"/>
      <c r="G119" s="14"/>
      <c r="H119" s="14"/>
    </row>
    <row r="120" spans="2:8" ht="16.5" customHeight="1" x14ac:dyDescent="0.55000000000000004">
      <c r="B120" s="2"/>
      <c r="F120" s="1"/>
      <c r="G120" s="14"/>
      <c r="H120" s="14"/>
    </row>
    <row r="121" spans="2:8" ht="16.5" customHeight="1" x14ac:dyDescent="0.55000000000000004">
      <c r="B121" s="2"/>
      <c r="G121" s="14"/>
      <c r="H121" s="14"/>
    </row>
    <row r="122" spans="2:8" ht="16.5" customHeight="1" x14ac:dyDescent="0.55000000000000004">
      <c r="B122" s="2"/>
      <c r="G122" s="14"/>
      <c r="H122" s="14"/>
    </row>
    <row r="123" spans="2:8" ht="16.5" customHeight="1" x14ac:dyDescent="0.55000000000000004">
      <c r="B123" s="2"/>
      <c r="G123" s="14"/>
      <c r="H123" s="14"/>
    </row>
    <row r="124" spans="2:8" ht="16.5" customHeight="1" x14ac:dyDescent="0.55000000000000004">
      <c r="B124" s="2"/>
      <c r="F124" s="1"/>
      <c r="G124" s="14"/>
      <c r="H124" s="14"/>
    </row>
    <row r="125" spans="2:8" ht="16.5" customHeight="1" x14ac:dyDescent="0.55000000000000004">
      <c r="B125" s="2"/>
      <c r="F125" s="1"/>
      <c r="G125" s="14"/>
      <c r="H125" s="14"/>
    </row>
    <row r="126" spans="2:8" ht="16.5" customHeight="1" x14ac:dyDescent="0.55000000000000004">
      <c r="B126" s="2"/>
      <c r="F126" s="1"/>
      <c r="G126" s="14"/>
      <c r="H126" s="14"/>
    </row>
    <row r="127" spans="2:8" ht="16.5" customHeight="1" x14ac:dyDescent="0.55000000000000004">
      <c r="B127" s="2"/>
      <c r="F127" s="1"/>
      <c r="G127" s="14"/>
      <c r="H127" s="14"/>
    </row>
    <row r="128" spans="2:8" ht="16.5" customHeight="1" x14ac:dyDescent="0.55000000000000004">
      <c r="B128" s="2"/>
      <c r="G128" s="14"/>
      <c r="H128" s="14"/>
    </row>
    <row r="129" spans="2:8" ht="16.5" customHeight="1" x14ac:dyDescent="0.55000000000000004">
      <c r="B129" s="2"/>
      <c r="F129" s="1"/>
      <c r="G129" s="14"/>
      <c r="H129" s="14"/>
    </row>
    <row r="130" spans="2:8" ht="16.5" customHeight="1" x14ac:dyDescent="0.55000000000000004">
      <c r="B130" s="2"/>
      <c r="F130" s="1"/>
      <c r="G130" s="14"/>
      <c r="H130" s="14"/>
    </row>
    <row r="131" spans="2:8" ht="16.5" customHeight="1" x14ac:dyDescent="0.55000000000000004">
      <c r="B131" s="2"/>
      <c r="F131" s="1"/>
      <c r="G131" s="14"/>
      <c r="H131" s="14"/>
    </row>
    <row r="132" spans="2:8" ht="16.5" customHeight="1" x14ac:dyDescent="0.55000000000000004">
      <c r="B132" s="2"/>
      <c r="F132" s="1"/>
      <c r="G132" s="14"/>
      <c r="H132" s="14"/>
    </row>
    <row r="133" spans="2:8" ht="16.5" customHeight="1" x14ac:dyDescent="0.55000000000000004">
      <c r="B133" s="2"/>
      <c r="G133" s="14"/>
      <c r="H133" s="14"/>
    </row>
    <row r="134" spans="2:8" ht="16.5" customHeight="1" x14ac:dyDescent="0.55000000000000004">
      <c r="B134" s="2"/>
      <c r="G134" s="14"/>
      <c r="H134" s="14"/>
    </row>
    <row r="135" spans="2:8" ht="16.5" customHeight="1" x14ac:dyDescent="0.55000000000000004">
      <c r="B135" s="2"/>
      <c r="F135" s="1"/>
      <c r="G135" s="14"/>
      <c r="H135" s="14"/>
    </row>
    <row r="136" spans="2:8" ht="16.5" customHeight="1" x14ac:dyDescent="0.55000000000000004">
      <c r="B136" s="2"/>
      <c r="G136" s="14"/>
      <c r="H136" s="14"/>
    </row>
    <row r="137" spans="2:8" ht="16.5" customHeight="1" x14ac:dyDescent="0.55000000000000004">
      <c r="B137" s="2"/>
      <c r="G137" s="14"/>
      <c r="H137" s="14"/>
    </row>
    <row r="138" spans="2:8" ht="16.5" customHeight="1" x14ac:dyDescent="0.55000000000000004">
      <c r="B138" s="2"/>
      <c r="G138" s="14"/>
      <c r="H138" s="14"/>
    </row>
    <row r="139" spans="2:8" ht="16.5" customHeight="1" x14ac:dyDescent="0.55000000000000004">
      <c r="B139" s="2"/>
      <c r="G139" s="14"/>
      <c r="H139" s="14"/>
    </row>
    <row r="140" spans="2:8" ht="16.5" customHeight="1" x14ac:dyDescent="0.55000000000000004">
      <c r="B140" s="2"/>
      <c r="G140" s="14"/>
      <c r="H140" s="14"/>
    </row>
    <row r="141" spans="2:8" ht="16.5" customHeight="1" x14ac:dyDescent="0.55000000000000004">
      <c r="B141" s="2"/>
      <c r="G141" s="14"/>
      <c r="H141" s="14"/>
    </row>
    <row r="142" spans="2:8" ht="16.5" customHeight="1" x14ac:dyDescent="0.55000000000000004">
      <c r="B142" s="2"/>
      <c r="G142" s="14"/>
      <c r="H142" s="14"/>
    </row>
    <row r="143" spans="2:8" ht="16.5" customHeight="1" x14ac:dyDescent="0.55000000000000004">
      <c r="B143" s="2"/>
      <c r="G143" s="14"/>
      <c r="H143" s="14"/>
    </row>
    <row r="144" spans="2:8" ht="16.5" customHeight="1" x14ac:dyDescent="0.55000000000000004">
      <c r="B144" s="2"/>
      <c r="G144" s="14"/>
      <c r="H144" s="14"/>
    </row>
    <row r="145" spans="2:8" ht="16.5" customHeight="1" x14ac:dyDescent="0.55000000000000004">
      <c r="B145" s="2"/>
      <c r="G145" s="14"/>
      <c r="H145" s="14"/>
    </row>
    <row r="146" spans="2:8" ht="16.5" customHeight="1" x14ac:dyDescent="0.55000000000000004">
      <c r="B146" s="2"/>
      <c r="G146" s="14"/>
      <c r="H146" s="14"/>
    </row>
    <row r="147" spans="2:8" ht="16.5" customHeight="1" x14ac:dyDescent="0.55000000000000004">
      <c r="B147" s="2"/>
      <c r="G147" s="14"/>
      <c r="H147" s="14"/>
    </row>
    <row r="148" spans="2:8" ht="16.5" customHeight="1" x14ac:dyDescent="0.55000000000000004">
      <c r="B148" s="2"/>
      <c r="G148" s="14"/>
      <c r="H148" s="14"/>
    </row>
    <row r="149" spans="2:8" ht="16.5" customHeight="1" x14ac:dyDescent="0.55000000000000004">
      <c r="B149" s="2"/>
      <c r="F149" s="1"/>
      <c r="G149" s="14"/>
      <c r="H149" s="14"/>
    </row>
    <row r="150" spans="2:8" ht="16.5" customHeight="1" x14ac:dyDescent="0.55000000000000004">
      <c r="B150" s="2"/>
      <c r="F150" s="1"/>
      <c r="G150" s="14"/>
      <c r="H150" s="14"/>
    </row>
    <row r="151" spans="2:8" ht="16.5" customHeight="1" x14ac:dyDescent="0.55000000000000004">
      <c r="B151" s="2"/>
      <c r="F151" s="1"/>
      <c r="G151" s="14"/>
      <c r="H151" s="14"/>
    </row>
    <row r="152" spans="2:8" ht="16.5" customHeight="1" x14ac:dyDescent="0.55000000000000004">
      <c r="B152" s="2"/>
      <c r="C152" s="1"/>
      <c r="F152" s="1"/>
      <c r="G152" s="14"/>
      <c r="H152" s="14"/>
    </row>
    <row r="153" spans="2:8" ht="16.5" customHeight="1" x14ac:dyDescent="0.55000000000000004">
      <c r="B153" s="2"/>
      <c r="C153" s="1"/>
      <c r="F153" s="1"/>
      <c r="G153" s="14"/>
      <c r="H153" s="14"/>
    </row>
    <row r="154" spans="2:8" ht="16.5" customHeight="1" x14ac:dyDescent="0.55000000000000004">
      <c r="B154" s="2"/>
      <c r="C154" s="1"/>
      <c r="F154" s="1"/>
      <c r="G154" s="14"/>
      <c r="H154" s="14"/>
    </row>
    <row r="155" spans="2:8" ht="16.5" customHeight="1" x14ac:dyDescent="0.55000000000000004">
      <c r="B155" s="2"/>
      <c r="F155" s="1"/>
      <c r="G155" s="14"/>
      <c r="H155" s="14"/>
    </row>
    <row r="156" spans="2:8" ht="16.5" customHeight="1" x14ac:dyDescent="0.55000000000000004">
      <c r="B156" s="2"/>
      <c r="F156" s="1"/>
      <c r="G156" s="14"/>
      <c r="H156" s="14"/>
    </row>
    <row r="157" spans="2:8" ht="16.5" customHeight="1" x14ac:dyDescent="0.55000000000000004">
      <c r="B157" s="2"/>
      <c r="F157" s="1"/>
      <c r="G157" s="14"/>
      <c r="H157" s="14"/>
    </row>
    <row r="158" spans="2:8" ht="16.5" customHeight="1" x14ac:dyDescent="0.55000000000000004">
      <c r="B158" s="2"/>
      <c r="F158" s="1"/>
      <c r="G158" s="14"/>
      <c r="H158" s="14"/>
    </row>
    <row r="159" spans="2:8" ht="16.5" customHeight="1" x14ac:dyDescent="0.55000000000000004">
      <c r="B159" s="2"/>
      <c r="F159" s="1"/>
      <c r="G159" s="14"/>
      <c r="H159" s="14"/>
    </row>
    <row r="160" spans="2:8" ht="16.5" customHeight="1" x14ac:dyDescent="0.55000000000000004">
      <c r="B160" s="2"/>
      <c r="G160" s="14"/>
      <c r="H160" s="14"/>
    </row>
    <row r="161" spans="1:8" ht="16.5" customHeight="1" x14ac:dyDescent="0.55000000000000004">
      <c r="B161" s="2"/>
      <c r="G161" s="14"/>
      <c r="H161" s="14"/>
    </row>
    <row r="162" spans="1:8" ht="16.5" customHeight="1" x14ac:dyDescent="0.55000000000000004">
      <c r="B162" s="2"/>
      <c r="G162" s="14"/>
      <c r="H162" s="14"/>
    </row>
    <row r="163" spans="1:8" ht="16.5" customHeight="1" x14ac:dyDescent="0.55000000000000004">
      <c r="B163" s="2"/>
      <c r="G163" s="14"/>
      <c r="H163" s="14"/>
    </row>
    <row r="164" spans="1:8" ht="16.5" customHeight="1" x14ac:dyDescent="0.55000000000000004">
      <c r="B164" s="2"/>
      <c r="F164" s="1"/>
      <c r="G164" s="14"/>
      <c r="H164" s="14"/>
    </row>
    <row r="165" spans="1:8" ht="16.5" customHeight="1" x14ac:dyDescent="0.55000000000000004">
      <c r="B165" s="2"/>
      <c r="G165" s="14"/>
      <c r="H165" s="14"/>
    </row>
    <row r="166" spans="1:8" ht="16.5" customHeight="1" x14ac:dyDescent="0.55000000000000004">
      <c r="B166" s="2"/>
      <c r="G166" s="14"/>
      <c r="H166" s="14"/>
    </row>
    <row r="167" spans="1:8" ht="16.5" customHeight="1" x14ac:dyDescent="0.55000000000000004">
      <c r="A167" s="2"/>
      <c r="B167" s="2"/>
      <c r="G167" s="3"/>
    </row>
    <row r="168" spans="1:8" ht="16.5" customHeight="1" x14ac:dyDescent="0.55000000000000004">
      <c r="A168" s="2"/>
      <c r="B168" s="2"/>
      <c r="G168" s="3"/>
    </row>
    <row r="169" spans="1:8" ht="16.5" customHeight="1" x14ac:dyDescent="0.55000000000000004"/>
    <row r="170" spans="1:8" ht="16.5" customHeight="1" x14ac:dyDescent="0.55000000000000004"/>
    <row r="171" spans="1:8" ht="16.5" customHeight="1" x14ac:dyDescent="0.55000000000000004"/>
    <row r="172" spans="1:8" ht="16.5" customHeight="1" x14ac:dyDescent="0.55000000000000004"/>
    <row r="173" spans="1:8" ht="16.5" customHeight="1" x14ac:dyDescent="0.55000000000000004"/>
    <row r="174" spans="1:8" ht="16.5" customHeight="1" x14ac:dyDescent="0.55000000000000004"/>
    <row r="175" spans="1:8" ht="16.5" customHeight="1" x14ac:dyDescent="0.55000000000000004"/>
    <row r="176" spans="1:8" ht="16.5" customHeight="1" x14ac:dyDescent="0.55000000000000004"/>
    <row r="177" ht="16.5" customHeight="1" x14ac:dyDescent="0.55000000000000004"/>
    <row r="178" ht="16.5" customHeight="1" x14ac:dyDescent="0.55000000000000004"/>
    <row r="179" ht="16.5" customHeight="1" x14ac:dyDescent="0.55000000000000004"/>
    <row r="180" ht="16.5" customHeight="1" x14ac:dyDescent="0.55000000000000004"/>
    <row r="181" ht="16.5" customHeight="1" x14ac:dyDescent="0.55000000000000004"/>
    <row r="182" ht="16.5" customHeight="1" x14ac:dyDescent="0.55000000000000004"/>
    <row r="183" ht="16.5" customHeight="1" x14ac:dyDescent="0.55000000000000004"/>
    <row r="184" ht="16.5" customHeight="1" x14ac:dyDescent="0.55000000000000004"/>
    <row r="185" ht="16.5" customHeight="1" x14ac:dyDescent="0.55000000000000004"/>
    <row r="186" ht="16.5" customHeight="1" x14ac:dyDescent="0.55000000000000004"/>
    <row r="187" ht="16.5" customHeight="1" x14ac:dyDescent="0.55000000000000004"/>
    <row r="188" ht="16.5" customHeight="1" x14ac:dyDescent="0.55000000000000004"/>
    <row r="189" ht="16.5" customHeight="1" x14ac:dyDescent="0.55000000000000004"/>
    <row r="190" ht="16.5" customHeight="1" x14ac:dyDescent="0.55000000000000004"/>
    <row r="191" ht="16.5" customHeight="1" x14ac:dyDescent="0.55000000000000004"/>
    <row r="192" ht="16.5" customHeight="1" x14ac:dyDescent="0.55000000000000004"/>
    <row r="193" ht="16.5" customHeight="1" x14ac:dyDescent="0.55000000000000004"/>
    <row r="194" ht="16.5" customHeight="1" x14ac:dyDescent="0.55000000000000004"/>
    <row r="195" ht="16.5" customHeight="1" x14ac:dyDescent="0.55000000000000004"/>
    <row r="196" ht="16.5" customHeight="1" x14ac:dyDescent="0.55000000000000004"/>
    <row r="197" ht="16.5" customHeight="1" x14ac:dyDescent="0.55000000000000004"/>
    <row r="198" ht="16.5" customHeight="1" x14ac:dyDescent="0.55000000000000004"/>
    <row r="199" ht="16.5" customHeight="1" x14ac:dyDescent="0.55000000000000004"/>
    <row r="200" ht="16.5" customHeight="1" x14ac:dyDescent="0.55000000000000004"/>
    <row r="201" ht="16.5" customHeight="1" x14ac:dyDescent="0.55000000000000004"/>
    <row r="202" ht="16.5" customHeight="1" x14ac:dyDescent="0.55000000000000004"/>
    <row r="203" ht="16.5" customHeight="1" x14ac:dyDescent="0.55000000000000004"/>
    <row r="204" ht="16.5" customHeight="1" x14ac:dyDescent="0.55000000000000004"/>
    <row r="205" ht="16.5" customHeight="1" x14ac:dyDescent="0.55000000000000004"/>
    <row r="206" ht="16.5" customHeight="1" x14ac:dyDescent="0.55000000000000004"/>
    <row r="207" ht="16.5" customHeight="1" x14ac:dyDescent="0.55000000000000004"/>
    <row r="208" ht="16.5" customHeight="1" x14ac:dyDescent="0.55000000000000004"/>
    <row r="209" ht="16.5" customHeight="1" x14ac:dyDescent="0.55000000000000004"/>
    <row r="210" ht="16.5" customHeight="1" x14ac:dyDescent="0.55000000000000004"/>
    <row r="211" ht="16.5" customHeight="1" x14ac:dyDescent="0.55000000000000004"/>
    <row r="212" ht="16.5" customHeight="1" x14ac:dyDescent="0.55000000000000004"/>
    <row r="213" ht="16.5" customHeight="1" x14ac:dyDescent="0.55000000000000004"/>
    <row r="214" ht="16.5" customHeight="1" x14ac:dyDescent="0.55000000000000004"/>
    <row r="215" ht="16.5" customHeight="1" x14ac:dyDescent="0.55000000000000004"/>
    <row r="216" ht="16.5" customHeight="1" x14ac:dyDescent="0.55000000000000004"/>
    <row r="217" ht="16.5" customHeight="1" x14ac:dyDescent="0.55000000000000004"/>
    <row r="218" ht="16.5" customHeight="1" x14ac:dyDescent="0.55000000000000004"/>
    <row r="219" ht="16.5" customHeight="1" x14ac:dyDescent="0.55000000000000004"/>
    <row r="220" ht="16.5" customHeight="1" x14ac:dyDescent="0.55000000000000004"/>
    <row r="221" ht="16.5" customHeight="1" x14ac:dyDescent="0.55000000000000004"/>
  </sheetData>
  <autoFilter ref="A4:H166" xr:uid="{40A4B7A3-F207-4AF4-8579-95FFC9A7072F}"/>
  <mergeCells count="1">
    <mergeCell ref="A1:B1"/>
  </mergeCells>
  <conditionalFormatting sqref="E117:E119 E85:E86">
    <cfRule type="cellIs" dxfId="74" priority="176" operator="equal">
      <formula>"Fulfilled"</formula>
    </cfRule>
    <cfRule type="cellIs" dxfId="73" priority="185" operator="equal">
      <formula>"Not verified"</formula>
    </cfRule>
    <cfRule type="cellIs" dxfId="72" priority="219" operator="equal">
      <formula>"Fullfilled"</formula>
    </cfRule>
    <cfRule type="cellIs" dxfId="71" priority="220" operator="equal">
      <formula>"N/A"</formula>
    </cfRule>
    <cfRule type="cellIs" dxfId="70" priority="221" operator="equal">
      <formula>"Open"</formula>
    </cfRule>
  </conditionalFormatting>
  <conditionalFormatting sqref="F6:F18">
    <cfRule type="cellIs" dxfId="69" priority="166" operator="equal">
      <formula>"Fulfilled"</formula>
    </cfRule>
    <cfRule type="cellIs" dxfId="68" priority="167" operator="equal">
      <formula>"Not verified"</formula>
    </cfRule>
    <cfRule type="cellIs" dxfId="67" priority="168" operator="equal">
      <formula>"Fullfilled"</formula>
    </cfRule>
    <cfRule type="cellIs" dxfId="66" priority="169" operator="equal">
      <formula>"N/A"</formula>
    </cfRule>
    <cfRule type="cellIs" dxfId="65" priority="170" operator="equal">
      <formula>"Open"</formula>
    </cfRule>
  </conditionalFormatting>
  <conditionalFormatting sqref="E82:E84">
    <cfRule type="cellIs" dxfId="64" priority="106" operator="equal">
      <formula>"Fulfilled"</formula>
    </cfRule>
    <cfRule type="cellIs" dxfId="63" priority="107" operator="equal">
      <formula>"Not verified"</formula>
    </cfRule>
    <cfRule type="cellIs" dxfId="62" priority="108" operator="equal">
      <formula>"Fullfilled"</formula>
    </cfRule>
    <cfRule type="cellIs" dxfId="61" priority="109" operator="equal">
      <formula>"N/A"</formula>
    </cfRule>
    <cfRule type="cellIs" dxfId="60" priority="110" operator="equal">
      <formula>"Open"</formula>
    </cfRule>
  </conditionalFormatting>
  <conditionalFormatting sqref="E87:E93">
    <cfRule type="cellIs" dxfId="59" priority="96" operator="equal">
      <formula>"Fulfilled"</formula>
    </cfRule>
    <cfRule type="cellIs" dxfId="58" priority="97" operator="equal">
      <formula>"Not verified"</formula>
    </cfRule>
    <cfRule type="cellIs" dxfId="57" priority="98" operator="equal">
      <formula>"Fullfilled"</formula>
    </cfRule>
    <cfRule type="cellIs" dxfId="56" priority="99" operator="equal">
      <formula>"N/A"</formula>
    </cfRule>
    <cfRule type="cellIs" dxfId="55" priority="100" operator="equal">
      <formula>"Open"</formula>
    </cfRule>
  </conditionalFormatting>
  <conditionalFormatting sqref="E94">
    <cfRule type="cellIs" dxfId="54" priority="81" operator="equal">
      <formula>"Fulfilled"</formula>
    </cfRule>
    <cfRule type="cellIs" dxfId="53" priority="82" operator="equal">
      <formula>"Not verified"</formula>
    </cfRule>
    <cfRule type="cellIs" dxfId="52" priority="83" operator="equal">
      <formula>"Fullfilled"</formula>
    </cfRule>
    <cfRule type="cellIs" dxfId="51" priority="84" operator="equal">
      <formula>"N/A"</formula>
    </cfRule>
    <cfRule type="cellIs" dxfId="50" priority="85" operator="equal">
      <formula>"Open"</formula>
    </cfRule>
  </conditionalFormatting>
  <conditionalFormatting sqref="E95:E102">
    <cfRule type="cellIs" dxfId="49" priority="76" operator="equal">
      <formula>"Fulfilled"</formula>
    </cfRule>
    <cfRule type="cellIs" dxfId="48" priority="77" operator="equal">
      <formula>"Not verified"</formula>
    </cfRule>
    <cfRule type="cellIs" dxfId="47" priority="78" operator="equal">
      <formula>"Fullfilled"</formula>
    </cfRule>
    <cfRule type="cellIs" dxfId="46" priority="79" operator="equal">
      <formula>"N/A"</formula>
    </cfRule>
    <cfRule type="cellIs" dxfId="45" priority="80" operator="equal">
      <formula>"Open"</formula>
    </cfRule>
  </conditionalFormatting>
  <conditionalFormatting sqref="E103:E109">
    <cfRule type="cellIs" dxfId="44" priority="71" operator="equal">
      <formula>"Fulfilled"</formula>
    </cfRule>
    <cfRule type="cellIs" dxfId="43" priority="72" operator="equal">
      <formula>"Not verified"</formula>
    </cfRule>
    <cfRule type="cellIs" dxfId="42" priority="73" operator="equal">
      <formula>"Fullfilled"</formula>
    </cfRule>
    <cfRule type="cellIs" dxfId="41" priority="74" operator="equal">
      <formula>"N/A"</formula>
    </cfRule>
    <cfRule type="cellIs" dxfId="40" priority="75" operator="equal">
      <formula>"Open"</formula>
    </cfRule>
  </conditionalFormatting>
  <conditionalFormatting sqref="E110:E112">
    <cfRule type="cellIs" dxfId="39" priority="66" operator="equal">
      <formula>"Fulfilled"</formula>
    </cfRule>
    <cfRule type="cellIs" dxfId="38" priority="67" operator="equal">
      <formula>"Not verified"</formula>
    </cfRule>
    <cfRule type="cellIs" dxfId="37" priority="68" operator="equal">
      <formula>"Fullfilled"</formula>
    </cfRule>
    <cfRule type="cellIs" dxfId="36" priority="69" operator="equal">
      <formula>"N/A"</formula>
    </cfRule>
    <cfRule type="cellIs" dxfId="35" priority="70" operator="equal">
      <formula>"Open"</formula>
    </cfRule>
  </conditionalFormatting>
  <conditionalFormatting sqref="E113:E116">
    <cfRule type="cellIs" dxfId="34" priority="61" operator="equal">
      <formula>"Fulfilled"</formula>
    </cfRule>
    <cfRule type="cellIs" dxfId="33" priority="62" operator="equal">
      <formula>"Not verified"</formula>
    </cfRule>
    <cfRule type="cellIs" dxfId="32" priority="63" operator="equal">
      <formula>"Fullfilled"</formula>
    </cfRule>
    <cfRule type="cellIs" dxfId="31" priority="64" operator="equal">
      <formula>"N/A"</formula>
    </cfRule>
    <cfRule type="cellIs" dxfId="30" priority="65" operator="equal">
      <formula>"Open"</formula>
    </cfRule>
  </conditionalFormatting>
  <conditionalFormatting sqref="E136:E138">
    <cfRule type="cellIs" dxfId="29" priority="36" operator="equal">
      <formula>"Fulfilled"</formula>
    </cfRule>
    <cfRule type="cellIs" dxfId="28" priority="37" operator="equal">
      <formula>"Not verified"</formula>
    </cfRule>
    <cfRule type="cellIs" dxfId="27" priority="38" operator="equal">
      <formula>"Fullfilled"</formula>
    </cfRule>
    <cfRule type="cellIs" dxfId="26" priority="39" operator="equal">
      <formula>"N/A"</formula>
    </cfRule>
    <cfRule type="cellIs" dxfId="25" priority="40" operator="equal">
      <formula>"Open"</formula>
    </cfRule>
  </conditionalFormatting>
  <conditionalFormatting sqref="E139 E120:E135">
    <cfRule type="cellIs" dxfId="24" priority="31" operator="equal">
      <formula>"Fulfilled"</formula>
    </cfRule>
    <cfRule type="cellIs" dxfId="23" priority="32" operator="equal">
      <formula>"Not verified"</formula>
    </cfRule>
    <cfRule type="cellIs" dxfId="22" priority="33" operator="equal">
      <formula>"Fullfilled"</formula>
    </cfRule>
    <cfRule type="cellIs" dxfId="21" priority="34" operator="equal">
      <formula>"N/A"</formula>
    </cfRule>
    <cfRule type="cellIs" dxfId="20" priority="35" operator="equal">
      <formula>"Open"</formula>
    </cfRule>
  </conditionalFormatting>
  <conditionalFormatting sqref="E140:E148">
    <cfRule type="cellIs" dxfId="19" priority="26" operator="equal">
      <formula>"Fulfilled"</formula>
    </cfRule>
    <cfRule type="cellIs" dxfId="18" priority="27" operator="equal">
      <formula>"Not verified"</formula>
    </cfRule>
    <cfRule type="cellIs" dxfId="17" priority="28" operator="equal">
      <formula>"Fullfilled"</formula>
    </cfRule>
    <cfRule type="cellIs" dxfId="16" priority="29" operator="equal">
      <formula>"N/A"</formula>
    </cfRule>
    <cfRule type="cellIs" dxfId="15" priority="30" operator="equal">
      <formula>"Open"</formula>
    </cfRule>
  </conditionalFormatting>
  <conditionalFormatting sqref="E149:E168">
    <cfRule type="cellIs" dxfId="14" priority="16" operator="equal">
      <formula>"Fulfilled"</formula>
    </cfRule>
    <cfRule type="cellIs" dxfId="13" priority="17" operator="equal">
      <formula>"Not verified"</formula>
    </cfRule>
    <cfRule type="cellIs" dxfId="12" priority="18" operator="equal">
      <formula>"Fullfilled"</formula>
    </cfRule>
    <cfRule type="cellIs" dxfId="11" priority="19" operator="equal">
      <formula>"N/A"</formula>
    </cfRule>
    <cfRule type="cellIs" dxfId="10" priority="20" operator="equal">
      <formula>"Open"</formula>
    </cfRule>
  </conditionalFormatting>
  <conditionalFormatting sqref="E7:E81">
    <cfRule type="cellIs" dxfId="9" priority="6" operator="equal">
      <formula>"Fulfilled"</formula>
    </cfRule>
    <cfRule type="cellIs" dxfId="8" priority="7" operator="equal">
      <formula>"Not verified"</formula>
    </cfRule>
    <cfRule type="cellIs" dxfId="7" priority="8" operator="equal">
      <formula>"Fullfilled"</formula>
    </cfRule>
    <cfRule type="cellIs" dxfId="6" priority="9" operator="equal">
      <formula>"N/A"</formula>
    </cfRule>
    <cfRule type="cellIs" dxfId="5" priority="10" operator="equal">
      <formula>"Open"</formula>
    </cfRule>
  </conditionalFormatting>
  <conditionalFormatting sqref="E5:E6">
    <cfRule type="cellIs" dxfId="4" priority="1" operator="equal">
      <formula>"Fulfilled"</formula>
    </cfRule>
    <cfRule type="cellIs" dxfId="3" priority="2" operator="equal">
      <formula>"Not verified"</formula>
    </cfRule>
    <cfRule type="cellIs" dxfId="2" priority="3" operator="equal">
      <formula>"Fullfilled"</formula>
    </cfRule>
    <cfRule type="cellIs" dxfId="1" priority="4" operator="equal">
      <formula>"N/A"</formula>
    </cfRule>
    <cfRule type="cellIs" dxfId="0" priority="5" operator="equal">
      <formula>"Open"</formula>
    </cfRule>
  </conditionalFormatting>
  <hyperlinks>
    <hyperlink ref="G5" r:id="rId1" tooltip="https://docs.microsoft.com/azure/cloud-adoption-framework/ready/enterprise-scale/business-continuity-and-disaster-recovery" xr:uid="{537E794F-7C75-4B95-A3FD-9854579151F1}"/>
    <hyperlink ref="G6" r:id="rId2" tooltip="https://docs.microsoft.com/azure/cloud-adoption-framework/ready/enterprise-scale/business-continuity-and-disaster-recovery" xr:uid="{289A7D2F-1BF8-42BB-8E88-FF2E253ACADE}"/>
    <hyperlink ref="G7" r:id="rId3" tooltip="https://docs.microsoft.com/azure/aks/operator-best-practices-multi-region" xr:uid="{8B6CBDD3-B13F-47C6-88FF-04F9A014D9FF}"/>
    <hyperlink ref="G8" r:id="rId4" tooltip="https://docs.microsoft.com/azure/aks/availability-zones" xr:uid="{FEAF0C28-8592-408D-95A9-11CB87F767E7}"/>
    <hyperlink ref="G9" r:id="rId5" tooltip="https://docs.microsoft.com/azure/aks/uptime-sla" xr:uid="{39FDE9EE-4535-4D8D-99C8-2D75C83ABF11}"/>
    <hyperlink ref="G10" r:id="rId6" tooltip="https://docs.microsoft.com/azure/aks/operator-best-practices-scheduler" xr:uid="{A0751109-E52F-4D01-BC1A-6FEACE3F9C0C}"/>
    <hyperlink ref="G11" r:id="rId7" tooltip="https://docs.microsoft.com/azure/container-registry/container-registry-geo-replication" xr:uid="{FFD19E95-1EFE-400B-9331-063B21F9FB11}"/>
    <hyperlink ref="G12" r:id="rId8" tooltip="https://docs.microsoft.com/azure/aks/use-managed-identity" xr:uid="{E4A27A1D-40FB-456A-8962-B718A1912C58}"/>
    <hyperlink ref="G13" r:id="rId9" tooltip="https://docs.microsoft.com/azure/aks/managed-aad" xr:uid="{108C0EF6-29DB-4A53-AD69-B1100B03CC61}"/>
    <hyperlink ref="G14" r:id="rId10" tooltip="https://docs.microsoft.com/azure/aks/control-kubeconfig-access" xr:uid="{0A763024-8125-41C4-B267-AD74D6E00430}"/>
    <hyperlink ref="G15" r:id="rId11" tooltip="https://docs.microsoft.com/azure/aks/manage-azure-rbac" xr:uid="{327BA628-0E8D-4560-9CE1-A6C5C6050320}"/>
    <hyperlink ref="G16" r:id="rId12" tooltip="https://docs.microsoft.com/azure/aks/operator-best-practices-identity" xr:uid="{84A41FDB-E649-48F1-93B1-6510110D7D18}"/>
    <hyperlink ref="G17" r:id="rId13" tooltip="https://docs.microsoft.com/azure/aks/operator-best-practices-identity" xr:uid="{3320DE11-7844-44F2-9616-873B9EB6AB90}"/>
    <hyperlink ref="G18" r:id="rId14" tooltip="https://docs.microsoft.com/azure/aks/operator-best-practices-network" xr:uid="{E5853A09-3324-4B24-9D18-557827E768B4}"/>
    <hyperlink ref="G19" r:id="rId15" tooltip="https://docs.microsoft.com/azure/aks/configure-azure-cni" xr:uid="{286CEFB6-D4EC-4B98-B742-1662C7F042F8}"/>
    <hyperlink ref="G20" r:id="rId16" tooltip="https://docs.microsoft.com/azure/aks/configure-azure-cni" xr:uid="{5325A586-7E1D-49C5-BCC8-FA04B8A95E01}"/>
    <hyperlink ref="G21" r:id="rId17" tooltip="https://docs.microsoft.com/azure/aks/internal-lb" xr:uid="{3862AEB6-887B-4401-993F-39CD85C50D62}"/>
    <hyperlink ref="G22" r:id="rId18" tooltip="https://docs.microsoft.com/azure/aks/limit-egress-traffic" xr:uid="{DE3739FC-035F-4EFC-AB12-80E88D70EB98}"/>
    <hyperlink ref="G23" r:id="rId19" tooltip="https://docs.microsoft.com/azure/aks/api-server-authorized-ip-ranges" xr:uid="{3D1AE753-8B44-482A-91E4-04F248074CD6}"/>
    <hyperlink ref="G24" r:id="rId20" tooltip="https://docs.microsoft.com/azure/aks/concepts-network" xr:uid="{952106BD-005B-4D53-A9C4-B1C386DE5995}"/>
    <hyperlink ref="G25" r:id="rId21" tooltip="https://azure.github.io/application-gateway-kubernetes-ingress/setup/install-existing/" xr:uid="{7AA088AD-DD5A-45DE-81B8-8BEA4D170C34}"/>
    <hyperlink ref="G26" r:id="rId22" tooltip="https://docs.microsoft.com/azure/private-link/private-link-overview" xr:uid="{AB675FA0-73A5-41CF-8B73-15934365DC37}"/>
    <hyperlink ref="G27" r:id="rId23" tooltip="https://docs.microsoft.com/azure/aks/private-clusters" xr:uid="{A715BD2B-54E8-4CDB-9466-805FC9EBF870}"/>
    <hyperlink ref="G28" r:id="rId24" tooltip="https://docs.microsoft.com/azure/aks/use-network-policies" xr:uid="{6D367537-E5EC-477C-A2A5-9D0D64C774E2}"/>
    <hyperlink ref="G29" r:id="rId25" tooltip="https://docs.microsoft.com/azure/aks/operator-best-practices-network" xr:uid="{D1148C08-9A68-43FC-B3C8-70632379CE90}"/>
    <hyperlink ref="G30" r:id="rId26" tooltip="https://docs.microsoft.com/azure/aks/operator-best-practices-network" xr:uid="{03FB6B18-2F65-491F-9171-88D163F6C540}"/>
    <hyperlink ref="G31" r:id="rId27" tooltip="https://docs.microsoft.com/azure/virtual-network/ddos-protection-overview" xr:uid="{D4EA9F90-0F94-462A-BAA5-3A07602A8A43}"/>
    <hyperlink ref="G32" r:id="rId28" tooltip="https://docs.microsoft.com/azure/aks/http-application-routing" xr:uid="{08F3E2E9-B23B-489C-B261-DDB52D3AB983}"/>
    <hyperlink ref="G33" r:id="rId29" tooltip="https://docs.microsoft.com/azure/expressroute/designing-for-disaster-recovery-with-expressroute-privatepeering" xr:uid="{70108B4F-9D10-4AD1-BD35-1C8794C04AAA}"/>
    <hyperlink ref="G34" r:id="rId30" tooltip="https://docs.microsoft.com/azure/aks/servicemesh-about" xr:uid="{4AD8610E-94AC-4DD1-B083-F92FFA5F5983}"/>
    <hyperlink ref="G35" r:id="rId31" tooltip="https://github.com/Azure/secrets-store-csi-driver-provider-azure" xr:uid="{26376D37-0489-4A9F-9FB5-34C94A2E2FF1}"/>
    <hyperlink ref="G36" r:id="rId32" tooltip="https://docs.microsoft.com/azure/aks/update-credentials" xr:uid="{940D812A-E41F-4BEB-9389-884FC40A5E95}"/>
    <hyperlink ref="G37" r:id="rId33" tooltip="https://docs.microsoft.com/azure/governance/policy/concepts/policy-for-kubernetes" xr:uid="{664ADFD1-93EF-41B1-A3A8-1775B4A5FE12}"/>
    <hyperlink ref="G38" r:id="rId34" tooltip="https://docs.microsoft.com/azure/aks/use-system-pools" xr:uid="{40CAA59B-028D-4601-AF16-063CE3664DE1}"/>
    <hyperlink ref="G39" r:id="rId35" tooltip="https://docs.microsoft.com/azure/aks/use-multiple-node-pools" xr:uid="{AADE04FF-6947-490F-9C22-51872DAA97A9}"/>
    <hyperlink ref="G40" r:id="rId36" tooltip="https://docs.microsoft.com/azure/container-registry/" xr:uid="{CE29BC16-8685-406C-865C-814AEBB65AC5}"/>
    <hyperlink ref="G41" r:id="rId37" tooltip="https://docs.microsoft.com/azure/security-center/container-security" xr:uid="{EC2324D6-B787-4BEE-A867-0426C8AADB69}"/>
    <hyperlink ref="G42" r:id="rId38" tooltip="https://docs.microsoft.com/azure/security-center/container-security" xr:uid="{48BC56E9-9C40-41EF-99FF-B4D39B1405BC}"/>
    <hyperlink ref="G44" r:id="rId39" tooltip="https://docs.microsoft.com/azure/cloud-adoption-framework/scenarios/aks/eslz-cost-governance-with-kubecost" xr:uid="{69CD9EC0-0376-433D-95BB-2D88D472260A}"/>
    <hyperlink ref="G45" r:id="rId40" tooltip="https://docs.microsoft.com/azure/aks/cluster-configuration" xr:uid="{80CCD48E-8277-47EC-B395-2545804E11DB}"/>
    <hyperlink ref="G46" r:id="rId41" tooltip="https://docs.microsoft.com/azure/virtual-machines/disks-types" xr:uid="{F4A371CC-2CCF-4F5E-98C8-44E064F6BB32}"/>
    <hyperlink ref="G47" r:id="rId42" tooltip="https://docs.microsoft.com/azure/aks/operator-best-practices-multi-region" xr:uid="{846EEA3D-D54D-421C-97A2-E977BCFB1198}"/>
    <hyperlink ref="G48" r:id="rId43" tooltip="https://docs.microsoft.com/azure/aks/operator-best-practices-storage" xr:uid="{2DE24569-A1DE-4C7C-919B-88F0C19DD096}"/>
    <hyperlink ref="G49" r:id="rId44" tooltip="https://docs.microsoft.com/azure/aks/availability-zones" xr:uid="{3898BA7D-7A35-42FC-8F29-077CE2B117E0}"/>
    <hyperlink ref="G50" r:id="rId45" tooltip="https://docs.microsoft.com/azure/advisor/advisor-get-started" xr:uid="{B7E70109-90CE-4395-8D7C-E76980064B02}"/>
    <hyperlink ref="G51" r:id="rId46" tooltip="https://docs.microsoft.com/azure/aks/operator-best-practices-scheduler" xr:uid="{DAE16F0D-B734-4537-988A-EF875B97666A}"/>
    <hyperlink ref="G52" r:id="rId47" tooltip="https://docs.microsoft.com/azure/azure-monitor/insights/container-insights-overview" xr:uid="{D08DC8A8-2C25-4685-B2B9-70465CC4A3C3}"/>
    <hyperlink ref="G53" r:id="rId48" tooltip="https://docs.microsoft.com/azure/azure-monitor/insights/container-insights-overview" xr:uid="{674FE950-6CE8-456F-A172-C94E3981F9E1}"/>
    <hyperlink ref="G54" r:id="rId49" tooltip="https://docs.microsoft.com/azure/azure-monitor/insights/container-insights-metric-alerts" xr:uid="{146CF09B-4961-4A80-A8B4-B6B0963650B2}"/>
    <hyperlink ref="G56" r:id="rId50" tooltip="https://docs.microsoft.com/azure/aks/node-updates-kured" xr:uid="{0175DEF4-5246-4777-AE7F-C6FE4B0265DE}"/>
    <hyperlink ref="G57" r:id="rId51" tooltip="https://docs.microsoft.com/azure/architecture/example-scenario/bedrock/bedrock-automated-deployments" xr:uid="{F993CC82-2699-4D5A-A839-0C2C7CB6AD96}"/>
    <hyperlink ref="G58" r:id="rId52" tooltip="https://docs.microsoft.com/azure/aks/spot-node-pool" xr:uid="{2485B2B4-C2C6-451F-B1E2-909BB978F51A}"/>
    <hyperlink ref="G59" r:id="rId53" tooltip="https://docs.microsoft.com/azure/aks/concepts-scale" xr:uid="{F6CE6053-1DF5-4374-A172-BC58FD647DC2}"/>
    <hyperlink ref="G60" r:id="rId54" tooltip="https://kubecost.com/" xr:uid="{F9BB564E-F764-49E5-A2A7-B0BB98F1674F}"/>
    <hyperlink ref="G61" r:id="rId55" tooltip="https://docs.microsoft.com/azure/aks/faq" xr:uid="{4286C24E-2637-4F70-AAC4-93D2CFDCE98B}"/>
    <hyperlink ref="G62" r:id="rId56" tooltip="https://docs.microsoft.com/azure/aks/cluster-configuration" xr:uid="{8073C007-C0F4-4BD8-9184-222F0585EE08}"/>
    <hyperlink ref="G63" r:id="rId57" tooltip="https://kubernetes.io/docs/setup/release/notes/" xr:uid="{6D5CCD14-51BE-4D39-8E33-384030CE2168}"/>
    <hyperlink ref="G64" r:id="rId58" tooltip="https://docs.microsoft.com/azure-stack/aks-hci/adapt-apps-mixed-os-clusters" xr:uid="{E88DA000-25EA-4D33-97A9-23310A77E104}"/>
    <hyperlink ref="G65" r:id="rId59" tooltip="https://docs.microsoft.com/virtualization/windowscontainers/deploy-containers/version-compatibility?tabs=windows-server-20H2%2Cwindows-10-20H2" xr:uid="{47C7E97A-9FDD-4049-AC09-032114B1F6A8}"/>
    <hyperlink ref="G66" r:id="rId60" tooltip="https://docs.microsoft.com/azure/azure-monitor/containers/container-insights-analyze" xr:uid="{EDA5D3E9-F012-4306-8302-786F3319E1D8}"/>
    <hyperlink ref="G67" r:id="rId61" tooltip="https://docs.microsoft.com/azure/aks/configure-azure-cni" xr:uid="{9D3285F2-AB3B-4ACE-9338-A3B4CF6399FC}"/>
    <hyperlink ref="G68" r:id="rId62" tooltip="https://docs.microsoft.com/azure/virtual-machines/premium-storage-performance" xr:uid="{93845B18-3283-4CA0-A7B0-D73A2826E554}"/>
    <hyperlink ref="G69" r:id="rId63" tooltip="https://docs.microsoft.com/azure/aks/load-balancer-standard" xr:uid="{F551A231-A63A-4564-8095-96C401B03EE9}"/>
    <hyperlink ref="G70" r:id="rId64" tooltip="https://docs.microsoft.com/azure/aks/monitor-aks" xr:uid="{C0BCAF55-9BD5-4D68-8F97-BCD671C4D470}"/>
    <hyperlink ref="G71" r:id="rId65" tooltip="https://docs.microsoft.com/azure/aks/concepts-scale" xr:uid="{D89DA530-C251-4988-B7C0-FF31E3005244}"/>
    <hyperlink ref="G72" r:id="rId66" tooltip="https://docs.microsoft.com/azure/aks/concepts-scale" xr:uid="{1FC25CBD-F176-480E-A94D-1B0277B8B54E}"/>
    <hyperlink ref="G73" r:id="rId67" tooltip="https://blog.cloudtrooper.net/2020/10/23/which-vm-size-should-i-choose-as-aks-node/" xr:uid="{56A6450A-C489-4346-9F04-A462B225869C}"/>
    <hyperlink ref="G74" r:id="rId68" tooltip="https://docs.microsoft.com/azure/aks/operator-best-practices-scheduler" xr:uid="{119A83B1-F948-48B2-8D94-5FA1D030743C}"/>
    <hyperlink ref="G75" r:id="rId69" tooltip="https://docs.microsoft.com/azure/aks/operator-best-practices-scheduler" xr:uid="{875AE2C2-B2D3-4DB5-87B2-868E686241C6}"/>
    <hyperlink ref="G76" r:id="rId70" tooltip="https://docs.microsoft.com/azure/azure-resource-manager/management/azure-subscription-service-limits" xr:uid="{0E2AAFF1-F2C4-422E-9B3E-B1D9127BB2B0}"/>
    <hyperlink ref="G77" r:id="rId71" tooltip="https://docs.microsoft.com/azure/developer/terraform/create-k8s-cluster-with-tf-and-aks" xr:uid="{1F2A6397-03BE-4A85-9852-E7F3DD4C051C}"/>
    <hyperlink ref="G78" r:id="rId72" tooltip="https://docs.microsoft.com/azure/architecture/reference-architectures/containers/aks/secure-baseline-aks" xr:uid="{BA4F3F14-50B7-4E21-B5EA-1F083F948B41}"/>
    <hyperlink ref="G79" r:id="rId73" tooltip="https://docs.microsoft.com/azure/azure-functions/functions-kubernetes-keda" xr:uid="{883FCC88-6862-4653-8E11-D56215C7C904}"/>
    <hyperlink ref="G80" r:id="rId74" tooltip="https://dapr.io/" xr:uid="{017FAA21-2223-446A-8C99-7B70F4658059}"/>
    <hyperlink ref="G43" r:id="rId75" tooltip="https://docs.microsoft.com/azure/aks/operator-best-practices-cluster-isolation" xr:uid="{4E2A9EC6-1578-4C41-AF4B-568E64513AF7}"/>
    <hyperlink ref="G55" r:id="rId76" tooltip="https://docs.microsoft.com/azure/aks/supported-kubernetes-versions" xr:uid="{82EE397C-6114-4472-A0EF-450142422A16}"/>
  </hyperlinks>
  <pageMargins left="0.7" right="0.7" top="0.75" bottom="0.75" header="0.3" footer="0.3"/>
  <pageSetup paperSize="9" orientation="portrait" horizontalDpi="4294967293" r:id="rId77"/>
  <drawing r:id="rId78"/>
  <legacyDrawing r:id="rId79"/>
  <mc:AlternateContent xmlns:mc="http://schemas.openxmlformats.org/markup-compatibility/2006">
    <mc:Choice Requires="x14">
      <controls>
        <mc:AlternateContent xmlns:mc="http://schemas.openxmlformats.org/markup-compatibility/2006">
          <mc:Choice Requires="x14">
            <control shapeId="1025" r:id="rId80" name="Button 1">
              <controlPr defaultSize="0" print="0" autoFill="0" autoPict="0" macro="[0]!Sheet1.export_json">
                <anchor moveWithCells="1" sizeWithCells="1">
                  <from>
                    <xdr:col>2</xdr:col>
                    <xdr:colOff>8458200</xdr:colOff>
                    <xdr:row>0</xdr:row>
                    <xdr:rowOff>800100</xdr:rowOff>
                  </from>
                  <to>
                    <xdr:col>3</xdr:col>
                    <xdr:colOff>201930</xdr:colOff>
                    <xdr:row>0</xdr:row>
                    <xdr:rowOff>1040130</xdr:rowOff>
                  </to>
                </anchor>
              </controlPr>
            </control>
          </mc:Choice>
        </mc:AlternateContent>
        <mc:AlternateContent xmlns:mc="http://schemas.openxmlformats.org/markup-compatibility/2006">
          <mc:Choice Requires="x14">
            <control shapeId="1027" r:id="rId81" name="Button 3">
              <controlPr defaultSize="0" print="0" autoFill="0" autoPict="0" macro="[0]!Sheet1.import_checklist">
                <anchor moveWithCells="1">
                  <from>
                    <xdr:col>2</xdr:col>
                    <xdr:colOff>8458200</xdr:colOff>
                    <xdr:row>0</xdr:row>
                    <xdr:rowOff>400050</xdr:rowOff>
                  </from>
                  <to>
                    <xdr:col>3</xdr:col>
                    <xdr:colOff>190500</xdr:colOff>
                    <xdr:row>0</xdr:row>
                    <xdr:rowOff>678180</xdr:rowOff>
                  </to>
                </anchor>
              </controlPr>
            </control>
          </mc:Choice>
        </mc:AlternateContent>
        <mc:AlternateContent xmlns:mc="http://schemas.openxmlformats.org/markup-compatibility/2006">
          <mc:Choice Requires="x14">
            <control shapeId="1028" r:id="rId82" name="Button 4">
              <controlPr defaultSize="0" print="0" autoFill="0" autoPict="0" macro="[0]!Sheet1.import_checklist_fromurl">
                <anchor moveWithCells="1" sizeWithCells="1">
                  <from>
                    <xdr:col>2</xdr:col>
                    <xdr:colOff>6164580</xdr:colOff>
                    <xdr:row>0</xdr:row>
                    <xdr:rowOff>571500</xdr:rowOff>
                  </from>
                  <to>
                    <xdr:col>2</xdr:col>
                    <xdr:colOff>7829550</xdr:colOff>
                    <xdr:row>0</xdr:row>
                    <xdr:rowOff>830580</xdr:rowOff>
                  </to>
                </anchor>
              </controlPr>
            </control>
          </mc:Choice>
        </mc:AlternateContent>
        <mc:AlternateContent xmlns:mc="http://schemas.openxmlformats.org/markup-compatibility/2006">
          <mc:Choice Requires="x14">
            <control shapeId="1029" r:id="rId83" name="Group Box 5">
              <controlPr defaultSize="0" autoFill="0" autoPict="0">
                <anchor moveWithCells="1">
                  <from>
                    <xdr:col>2</xdr:col>
                    <xdr:colOff>8183880</xdr:colOff>
                    <xdr:row>0</xdr:row>
                    <xdr:rowOff>144780</xdr:rowOff>
                  </from>
                  <to>
                    <xdr:col>3</xdr:col>
                    <xdr:colOff>601980</xdr:colOff>
                    <xdr:row>0</xdr:row>
                    <xdr:rowOff>1276350</xdr:rowOff>
                  </to>
                </anchor>
              </controlPr>
            </control>
          </mc:Choice>
        </mc:AlternateContent>
        <mc:AlternateContent xmlns:mc="http://schemas.openxmlformats.org/markup-compatibility/2006">
          <mc:Choice Requires="x14">
            <control shapeId="1030" r:id="rId84" name="Group Box 6">
              <controlPr defaultSize="0" autoFill="0" autoPict="0">
                <anchor moveWithCells="1">
                  <from>
                    <xdr:col>2</xdr:col>
                    <xdr:colOff>6019800</xdr:colOff>
                    <xdr:row>0</xdr:row>
                    <xdr:rowOff>144780</xdr:rowOff>
                  </from>
                  <to>
                    <xdr:col>2</xdr:col>
                    <xdr:colOff>8001000</xdr:colOff>
                    <xdr:row>0</xdr:row>
                    <xdr:rowOff>1295400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5359F31-9B04-413B-9DCC-5629B6169AE2}">
          <x14:formula1>
            <xm:f>Values!$B$2:$B$5</xm:f>
          </x14:formula1>
          <xm:sqref>E5:E168</xm:sqref>
        </x14:dataValidation>
        <x14:dataValidation type="list" allowBlank="1" showInputMessage="1" showErrorMessage="1" xr:uid="{3B42DE15-645A-4E06-86AA-0E7EE308B74D}">
          <x14:formula1>
            <xm:f>Values!$A$2:$A$4</xm:f>
          </x14:formula1>
          <xm:sqref>D5:D285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2B29A-68B4-4EF5-953B-ED7ED6325293}">
  <sheetPr codeName="Sheet2"/>
  <dimension ref="A1:D8"/>
  <sheetViews>
    <sheetView workbookViewId="0">
      <selection activeCell="C8" sqref="C8"/>
    </sheetView>
  </sheetViews>
  <sheetFormatPr defaultRowHeight="14.4" x14ac:dyDescent="0.55000000000000004"/>
  <cols>
    <col min="2" max="2" width="10" bestFit="1" customWidth="1"/>
  </cols>
  <sheetData>
    <row r="1" spans="1:4" x14ac:dyDescent="0.55000000000000004">
      <c r="A1" t="s">
        <v>4</v>
      </c>
      <c r="B1" t="s">
        <v>5</v>
      </c>
      <c r="C1" t="s">
        <v>17</v>
      </c>
      <c r="D1" t="s">
        <v>21</v>
      </c>
    </row>
    <row r="2" spans="1:4" x14ac:dyDescent="0.55000000000000004">
      <c r="A2" t="s">
        <v>7</v>
      </c>
      <c r="B2" s="13" t="s">
        <v>8</v>
      </c>
      <c r="C2" t="s">
        <v>77</v>
      </c>
      <c r="D2" s="22" t="s">
        <v>23</v>
      </c>
    </row>
    <row r="3" spans="1:4" x14ac:dyDescent="0.55000000000000004">
      <c r="A3" t="s">
        <v>10</v>
      </c>
      <c r="B3" s="10" t="s">
        <v>11</v>
      </c>
      <c r="C3" t="s">
        <v>81</v>
      </c>
    </row>
    <row r="4" spans="1:4" x14ac:dyDescent="0.55000000000000004">
      <c r="A4" t="s">
        <v>9</v>
      </c>
      <c r="B4" s="11" t="s">
        <v>12</v>
      </c>
      <c r="C4" t="s">
        <v>24</v>
      </c>
    </row>
    <row r="5" spans="1:4" x14ac:dyDescent="0.55000000000000004">
      <c r="B5" s="12" t="s">
        <v>13</v>
      </c>
      <c r="C5" t="s">
        <v>48</v>
      </c>
    </row>
    <row r="6" spans="1:4" x14ac:dyDescent="0.55000000000000004">
      <c r="C6" t="s">
        <v>54</v>
      </c>
    </row>
    <row r="7" spans="1:4" x14ac:dyDescent="0.55000000000000004">
      <c r="C7" t="s">
        <v>55</v>
      </c>
    </row>
    <row r="8" spans="1:4" x14ac:dyDescent="0.55000000000000004">
      <c r="C8" t="s">
        <v>125</v>
      </c>
    </row>
  </sheetData>
  <hyperlinks>
    <hyperlink ref="D2" r:id="rId1" xr:uid="{904116B1-67AB-46E8-B676-512C33F1CF6E}"/>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MediaServiceKeyPoints xmlns="d681aa6a-578a-4b4a-96ad-20ed8468a31e" xsi:nil="true"/>
    <lcf76f155ced4ddcb4097134ff3c332f xmlns="d681aa6a-578a-4b4a-96ad-20ed8468a31e">
      <Terms xmlns="http://schemas.microsoft.com/office/infopath/2007/PartnerControls"/>
    </lcf76f155ced4ddcb4097134ff3c332f>
    <TaxCatchAll xmlns="230e9df3-be65-4c73-a93b-d1236ebd677e"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794334CC6606F44A93A487BC970477E" ma:contentTypeVersion="16" ma:contentTypeDescription="Create a new document." ma:contentTypeScope="" ma:versionID="5201e3e9de6145474422a5b0d0b1199e">
  <xsd:schema xmlns:xsd="http://www.w3.org/2001/XMLSchema" xmlns:xs="http://www.w3.org/2001/XMLSchema" xmlns:p="http://schemas.microsoft.com/office/2006/metadata/properties" xmlns:ns1="http://schemas.microsoft.com/sharepoint/v3" xmlns:ns2="d681aa6a-578a-4b4a-96ad-20ed8468a31e" xmlns:ns3="be38a625-1701-4e45-b38e-aec531d5a71a" xmlns:ns4="230e9df3-be65-4c73-a93b-d1236ebd677e" targetNamespace="http://schemas.microsoft.com/office/2006/metadata/properties" ma:root="true" ma:fieldsID="35fb9782c1897be4b0e6934fdec9bd44" ns1:_="" ns2:_="" ns3:_="" ns4:_="">
    <xsd:import namespace="http://schemas.microsoft.com/sharepoint/v3"/>
    <xsd:import namespace="d681aa6a-578a-4b4a-96ad-20ed8468a31e"/>
    <xsd:import namespace="be38a625-1701-4e45-b38e-aec531d5a71a"/>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1:_ip_UnifiedCompliancePolicyProperties" minOccurs="0"/>
                <xsd:element ref="ns1:_ip_UnifiedCompliancePolicyUIAction"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681aa6a-578a-4b4a-96ad-20ed8468a31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e38a625-1701-4e45-b38e-aec531d5a71a"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148b0ff7-8c1e-4dfb-9593-c6f0e24a20e3}" ma:internalName="TaxCatchAll" ma:showField="CatchAllData" ma:web="be38a625-1701-4e45-b38e-aec531d5a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DC1CC33-0C6E-430A-9AEA-B4CF30EFF1F9}">
  <ds:schemaRefs>
    <ds:schemaRef ds:uri="http://schemas.microsoft.com/sharepoint/v3/contenttype/forms"/>
  </ds:schemaRefs>
</ds:datastoreItem>
</file>

<file path=customXml/itemProps2.xml><?xml version="1.0" encoding="utf-8"?>
<ds:datastoreItem xmlns:ds="http://schemas.openxmlformats.org/officeDocument/2006/customXml" ds:itemID="{5A12DF1A-88E4-48A5-BF96-2ED16263F29E}">
  <ds:schemaRefs>
    <ds:schemaRef ds:uri="http://schemas.microsoft.com/office/2006/metadata/properties"/>
    <ds:schemaRef ds:uri="http://schemas.microsoft.com/office/2006/documentManagement/types"/>
    <ds:schemaRef ds:uri="d681aa6a-578a-4b4a-96ad-20ed8468a31e"/>
    <ds:schemaRef ds:uri="http://schemas.openxmlformats.org/package/2006/metadata/core-properties"/>
    <ds:schemaRef ds:uri="http://schemas.microsoft.com/sharepoint/v3"/>
    <ds:schemaRef ds:uri="http://purl.org/dc/terms/"/>
    <ds:schemaRef ds:uri="http://www.w3.org/XML/1998/namespace"/>
    <ds:schemaRef ds:uri="http://purl.org/dc/elements/1.1/"/>
    <ds:schemaRef ds:uri="http://schemas.microsoft.com/office/infopath/2007/PartnerControls"/>
    <ds:schemaRef ds:uri="230e9df3-be65-4c73-a93b-d1236ebd677e"/>
    <ds:schemaRef ds:uri="be38a625-1701-4e45-b38e-aec531d5a71a"/>
    <ds:schemaRef ds:uri="http://purl.org/dc/dcmitype/"/>
  </ds:schemaRefs>
</ds:datastoreItem>
</file>

<file path=customXml/itemProps3.xml><?xml version="1.0" encoding="utf-8"?>
<ds:datastoreItem xmlns:ds="http://schemas.openxmlformats.org/officeDocument/2006/customXml" ds:itemID="{6C2F1436-C540-47CD-B7EB-573A5E1289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681aa6a-578a-4b4a-96ad-20ed8468a31e"/>
    <ds:schemaRef ds:uri="be38a625-1701-4e45-b38e-aec531d5a71a"/>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Checklist</vt:lpstr>
      <vt:lpstr>Values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Anders Bengtsson</dc:creator>
  <cp:keywords/>
  <dc:description/>
  <cp:lastModifiedBy>Jose Moreno</cp:lastModifiedBy>
  <cp:revision/>
  <dcterms:created xsi:type="dcterms:W3CDTF">2021-01-25T16:35:48Z</dcterms:created>
  <dcterms:modified xsi:type="dcterms:W3CDTF">2021-10-13T09:39:56Z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etDate">
    <vt:lpwstr>2021-07-19T14:35:34Z</vt:lpwstr>
  </property>
  <property fmtid="{D5CDD505-2E9C-101B-9397-08002B2CF9AE}" pid="4" name="MSIP_Label_f42aa342-8706-4288-bd11-ebb85995028c_Method">
    <vt:lpwstr>Standard</vt:lpwstr>
  </property>
  <property fmtid="{D5CDD505-2E9C-101B-9397-08002B2CF9AE}" pid="5" name="MSIP_Label_f42aa342-8706-4288-bd11-ebb85995028c_Name">
    <vt:lpwstr>Internal</vt:lpwstr>
  </property>
  <property fmtid="{D5CDD505-2E9C-101B-9397-08002B2CF9AE}" pid="6" name="MSIP_Label_f42aa342-8706-4288-bd11-ebb85995028c_SiteId">
    <vt:lpwstr>72f988bf-86f1-41af-91ab-2d7cd011db47</vt:lpwstr>
  </property>
  <property fmtid="{D5CDD505-2E9C-101B-9397-08002B2CF9AE}" pid="7" name="MSIP_Label_f42aa342-8706-4288-bd11-ebb85995028c_ActionId">
    <vt:lpwstr>2caa78b6-61a8-4e5d-8b7d-e3081b6a26eb</vt:lpwstr>
  </property>
  <property fmtid="{D5CDD505-2E9C-101B-9397-08002B2CF9AE}" pid="8" name="MSIP_Label_f42aa342-8706-4288-bd11-ebb85995028c_ContentBits">
    <vt:lpwstr>0</vt:lpwstr>
  </property>
  <property fmtid="{D5CDD505-2E9C-101B-9397-08002B2CF9AE}" pid="9" name="ContentTypeId">
    <vt:lpwstr>0x010100C794334CC6606F44A93A487BC970477E</vt:lpwstr>
  </property>
</Properties>
</file>