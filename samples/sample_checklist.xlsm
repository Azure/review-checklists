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review-checklists\samples\"/>
    </mc:Choice>
  </mc:AlternateContent>
  <xr:revisionPtr revIDLastSave="0" documentId="13_ncr:1_{86C54EE6-DEEB-4604-90D5-743C3EB97524}"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Checklist!$A$4:$G$168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E8" i="7" a="1"/>
  <c r="E8" i="7" s="1"/>
  <c r="E7" i="7" a="1"/>
  <c r="E7" i="7" s="1"/>
  <c r="E6" i="7" a="1"/>
  <c r="E6" i="7" s="1"/>
  <c r="D8" i="7" a="1"/>
  <c r="D8" i="7" s="1"/>
  <c r="D7" i="7" a="1"/>
  <c r="D7" i="7" s="1"/>
  <c r="D6" i="7" a="1"/>
  <c r="D6" i="7" s="1"/>
  <c r="C8" i="7" a="1"/>
  <c r="C8" i="7" s="1"/>
  <c r="C7" i="7" a="1"/>
  <c r="C7" i="7" s="1"/>
  <c r="C6" i="7" a="1"/>
  <c r="C6" i="7" s="1"/>
  <c r="B8" i="7" a="1"/>
  <c r="B8" i="7" s="1"/>
  <c r="B7" i="7" a="1"/>
  <c r="B7" i="7" s="1"/>
  <c r="B6" i="7" a="1"/>
  <c r="B6" i="7" s="1"/>
  <c r="A7" i="7"/>
  <c r="A8" i="7"/>
  <c r="A6" i="7"/>
  <c r="J12" i="7" l="1"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B9" i="7"/>
  <c r="D9" i="7"/>
  <c r="E9" i="7"/>
  <c r="F7" i="7"/>
  <c r="F8" i="7"/>
  <c r="C9" i="7"/>
  <c r="F6" i="7"/>
  <c r="R23" i="7" l="1"/>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c r="R27" i="7" l="1"/>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<sst xmlns="http://schemas.openxmlformats.org/spreadsheetml/2006/main" count="1003" uniqueCount="204">
  <si>
    <t xml:space="preserve">Please go through each line and change status depending on how your landing zone fulfills the design recommendation. For design recommendation that don’t apply to your landing zone, change status to “N/A”.  Use the Comment column to add a note too. </t>
  </si>
  <si>
    <t>Main Area</t>
  </si>
  <si>
    <t>Sub Area</t>
  </si>
  <si>
    <t>Question</t>
  </si>
  <si>
    <t>Severity</t>
  </si>
  <si>
    <t>Status</t>
  </si>
  <si>
    <t>Comment</t>
  </si>
  <si>
    <t>High</t>
  </si>
  <si>
    <t>Not verified</t>
  </si>
  <si>
    <t>Low</t>
  </si>
  <si>
    <t>Medium</t>
  </si>
  <si>
    <t>Open</t>
  </si>
  <si>
    <t>Fulfilled</t>
  </si>
  <si>
    <t>N/A</t>
  </si>
  <si>
    <t>Identity</t>
  </si>
  <si>
    <t>Monitoring</t>
  </si>
  <si>
    <t>Security</t>
  </si>
  <si>
    <t>Secrets</t>
  </si>
  <si>
    <r>
      <rPr>
        <sz val="28"/>
        <color rgb="FF0078D4"/>
        <rFont val="Segoe UI Semibold"/>
      </rPr>
      <t xml:space="preserve">FastTrack for Azure
</t>
    </r>
    <r>
      <rPr>
        <b/>
        <sz val="14"/>
        <color rgb="FF625E5E"/>
        <rFont val="Segoe UI Semibold"/>
        <family val="2"/>
      </rPr>
      <t>Azure Review Checklist</t>
    </r>
  </si>
  <si>
    <t>More info</t>
  </si>
  <si>
    <t>Review Status</t>
  </si>
  <si>
    <t>Category</t>
  </si>
  <si>
    <t>Total</t>
  </si>
  <si>
    <t>Progress</t>
  </si>
  <si>
    <t>Closed</t>
  </si>
  <si>
    <t>Reference checklist URL</t>
  </si>
  <si>
    <t>https://raw.githubusercontent.com/Azure/review-checklists/main/samples/lz_checklist.json</t>
  </si>
  <si>
    <t>Implement for emergency access or break-glass accounts to prevent tenant-wide account lockout</t>
  </si>
  <si>
    <t>Enforce a RBAC model for management groups, subscriptions, resource groups and resources</t>
  </si>
  <si>
    <t>Enforce Azure AD conditional-access policies for any user with rights to Azure environments</t>
  </si>
  <si>
    <t>Enforce multi-factor authentication for any user with rights to the Azure environments</t>
  </si>
  <si>
    <t>Enforce centralized and delegated responsibilities to manage resources deployed inside the landing zone based on role and security requirements</t>
  </si>
  <si>
    <t xml:space="preserve">Enforce Azure AD Privileged Identity Management (PIM) to establish zero standing access and least privilege </t>
  </si>
  <si>
    <t>Only use the authentication type Work or school account for all account types. Avoid using the Microsoft account</t>
  </si>
  <si>
    <t>Only use groups to assign permissions. Add on-premises groups to the Azure-AD-only group if a group management system is already in place.</t>
  </si>
  <si>
    <t>If the following roles roles are considered, use Azure custom roles: Azure platform owner, network management, security operations, subscription owner, application owner</t>
  </si>
  <si>
    <t>If any data sovereignty requirements exist, custom user policies can be deployed to enforce them</t>
  </si>
  <si>
    <t>If Azure DS in use, deploy ADS within the primary region because this service can only be projected into one subscription</t>
  </si>
  <si>
    <t>If Azure DS in use, evaluate the compatibility of all workloads</t>
  </si>
  <si>
    <t>If AD on Windows server in use, can all required resources access correct domain controller?</t>
  </si>
  <si>
    <t xml:space="preserve">Has Azure AD Application Proxy been considered for remote access to on-premises applications? </t>
  </si>
  <si>
    <t>Subscriptions</t>
  </si>
  <si>
    <t>Enforce reasonably flat management group hierarchy with no more than three to four levels, ideally</t>
  </si>
  <si>
    <t>Enforce or appended resource tags through Azure Policy</t>
  </si>
  <si>
    <t>Enfore a sandbox management group to allow users to immediately experiment with Azure</t>
  </si>
  <si>
    <t>Enforce a platform management group under the root management group to support common platform policy and Azure role assignment</t>
  </si>
  <si>
    <t>Enforce a dedicated connectivity subscription in the Platform management group to host an Azure Virtual WAN hub, private Domain Name System (DNS), ExpressRoute circuit, and other networking resources.</t>
  </si>
  <si>
    <t>Enforce no subscriptions are placed under the root management group</t>
  </si>
  <si>
    <t>Enforce that only privileged users can operate management groups in the tenant by enabling Azure RBAC authorization in the management group hierarchy settings</t>
  </si>
  <si>
    <t>Enforce management groups under the root-level management group to represent the types of workloads, based on their security, compliance, connectivity, and feature needs.</t>
  </si>
  <si>
    <t>Enforce a process to make resource owners aware of their roles and responsibilities, access review, budget review, policy compliance and remediate when necessary.</t>
  </si>
  <si>
    <t>Enforce that all subscription owners and IT core team are aware of subscription support limitations</t>
  </si>
  <si>
    <t>Enforce the use of reserved instances to prioritize reserved capacity in required regions. Then the workload will have the required capacity even when there's a high demand for that resource in a specific region.</t>
  </si>
  <si>
    <t>Enforce a dashboard, workbook or manual process to monitor used capacity levels</t>
  </si>
  <si>
    <t>Ensure required services and features are available within the chosen deployment regions</t>
  </si>
  <si>
    <t>Enforce a process for cost management</t>
  </si>
  <si>
    <t>If AD on Windows Server, establish a dedicated identity subscription in the Platform management group to host Windows Server Active Directory domain controllers</t>
  </si>
  <si>
    <t>Ensure tags are used for billing and cost management</t>
  </si>
  <si>
    <t>Networking</t>
  </si>
  <si>
    <t>IP plan</t>
  </si>
  <si>
    <t>Ensure no overlapping IP address spaces across Azure regions and on-premises locations</t>
  </si>
  <si>
    <t>Ensure to use IP addresses from the address allocation for private internets (RFC 1918).</t>
  </si>
  <si>
    <t xml:space="preserve">Ensure that IP address space isn't wasted, don't create unnecessarily large virtual networks (for example /16) </t>
  </si>
  <si>
    <t>Ensure no public IP address are used inside of VNET</t>
  </si>
  <si>
    <t>Avoid using overlapping IP address ranges for production and DR sites.</t>
  </si>
  <si>
    <t>For environments where name resolution in Azure is all that's required, use Azure Private DNS for resolution. Create a delegated zone for name resolution (such asï¿½azure.contoso.com).</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</si>
  <si>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</si>
  <si>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Special workloads that require and deploy their own DNS (such as Red Hat OpenShift) should use their preferred DNS solution.</t>
  </si>
  <si>
    <t>Enable auto-registration for Azure DNS to automatically manage the lifecycle of the DNS records for the virtual machines deployed within a virtual network.</t>
  </si>
  <si>
    <t>Virtual WAN</t>
  </si>
  <si>
    <t>Ensure, for new large or global network deployments in Azure where you need global transit connectivity across Azure regions and on-premises locations, use virtual WAN</t>
  </si>
  <si>
    <t>Use a Virtual WAN hub per Azure region to connect multiple landing zones together across Azure regions via a common global Azure Virtual WAN.</t>
  </si>
  <si>
    <t>Use Virtual Hub Routing features to further segment traffic between VNets and branches.</t>
  </si>
  <si>
    <t>Connect Virtual WAN hubs to on-premises datacenters by using ExpressRoute</t>
  </si>
  <si>
    <t>Connect branches and remote locations to the nearest Virtual WAN hub via Site-to-Site VPN, or enable branch connectivity to Virtual WAN via an SD-WAN partner solution.</t>
  </si>
  <si>
    <t>Connect users to the Virtual WAN hub via a Point-to-Site VPN.</t>
  </si>
  <si>
    <t xml:space="preserve">Follow the principle </t>
  </si>
  <si>
    <t>For outbound Internet traffic protection and filtering,  deploy Azure Firewall</t>
  </si>
  <si>
    <t>When you're deploying partner networking technologies and NVAs, verify configuration with partner vendor's guidance to ensure there are no conflicting configurations</t>
  </si>
  <si>
    <t>Ensure that  Azure Virtual WAN and Azure Firewall resources are created in the connectivity subscription.</t>
  </si>
  <si>
    <t>Ensure that the network architecture is within theï¿½Azure Virtual WAN limits.</t>
  </si>
  <si>
    <t>Use Azure Monitor Insights for Virtual WAN to monitor the end-to-end topology of the Virtual WAN as well as status and key metrics.</t>
  </si>
  <si>
    <t>Hub and spoke</t>
  </si>
  <si>
    <t>Consider a network design based on the traditional hub-and-spoke network topology for the following scenarios</t>
  </si>
  <si>
    <t>Ensure that shared services, including ExpressRoute gateways, VPN gateways, and Azure Firewall or partner NVAs in the central-hub virtual network. If necessary, also deploy Active Directory domain controllers and DNS servers.</t>
  </si>
  <si>
    <t>When you're deploying partner networking technologies or NVAs, follow the partner vendor's guidance</t>
  </si>
  <si>
    <t>Don't deploy L7 inbound NVAs such as Azure Application Gateway as a shared service in the central-hub virtual network. Instead, deploy them together with the app in their respective landing zones.</t>
  </si>
  <si>
    <t>Ensure no transit in Azure between ExpressRoute and VPN gateways, isn't supported.</t>
  </si>
  <si>
    <t xml:space="preserve">For network architectures with multiple hub-and-spoke topologies across Azure regions, use global virtual network peering to connect landing-zone virtual networks when a small number of landing zones need to communicate across regions. </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</si>
  <si>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</si>
  <si>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Use Azure Monitor for Networks to monitor the end-to-end state of the networks on Azure.</t>
  </si>
  <si>
    <t>When connecting spoke virtual networks to the central hub virtual network, consider VNet peering limits and the maximum number of prefixes that can be advertised via ExpressRoute</t>
  </si>
  <si>
    <t>Hybrid</t>
  </si>
  <si>
    <t>Ensure that you have investigated the possibility to use ExpressRoute as primary connection to Azure.</t>
  </si>
  <si>
    <t>When you use multiple ExpressRoute circuits,ï¿½optimize ExpressRoute routing via BGP local preference and AS PATH prepending.</t>
  </si>
  <si>
    <t>Ensure that you're using the right SKU for the ExpressRoute/VPN gateways based on bandwidth and performance requirements.</t>
  </si>
  <si>
    <t>Deploy a zone-redundant ExpressRoute gateway in the supported Azure regions.</t>
  </si>
  <si>
    <t>For scenarios that require bandwidth higher than 10 Gbps or dedicated 10/100-Gbps ports, use ExpressRoute Direct.</t>
  </si>
  <si>
    <t>When low latency is required, or throughput from on-premises to Azure must be greater than 10 Gbps, enable FastPath to bypass the ExpressRoute gateway from the data path.</t>
  </si>
  <si>
    <t>Use VPN gateways to connect branches or remote locations to Azure. For higher resilience, deploy zone-redundant gateways (where available).</t>
  </si>
  <si>
    <t>Use ExpressRoute Global Reach to connect large offices, regional headquarters, or datacenters connected to Azure via ExpressRoute.</t>
  </si>
  <si>
    <t>When traffic isolation or dedicated bandwidth is required, such as for separating production and nonproduction environments, use different ExpressRoute circuits. It will help you ensure isolated routing domains and alleviate noisy-neighbor risks.</t>
  </si>
  <si>
    <t>Proactively monitor ExpressRoute circuits by using Network Performance Monitor.</t>
  </si>
  <si>
    <t>Don't explicitly use ExpressRoute circuits from a single peering location. This creates a single point of failure and makes the organization susceptible to peering location outages.</t>
  </si>
  <si>
    <t>PaaS</t>
  </si>
  <si>
    <t>Use virtual network injection for supported Azure services to make them available from within the virtual network.</t>
  </si>
  <si>
    <t>Azure PaaS services that have been injected into a virtual network still perform management plane operations by using public IP addresses. Ensure that this communication is locked down within the virtual network by using UDRs and NSGs.</t>
  </si>
  <si>
    <t>Use Private Link, where available, for shared Azure PaaS services.</t>
  </si>
  <si>
    <t>Access Azure PaaS services from on-premises via ExpressRoute private peering. This method avoids transiting over the public internet.</t>
  </si>
  <si>
    <t>Use virtual network service endpoints when Private Link isn't available</t>
  </si>
  <si>
    <t>Don't enable virtual network service endpoints by default on all subnets.</t>
  </si>
  <si>
    <t>Don't use virtual network service endpoints when there are data exfiltration concerns, unless you use NVA filtering.</t>
  </si>
  <si>
    <t>Dont implement forced tunneling to enable communication from Azure to Azure resources.</t>
  </si>
  <si>
    <t>Internet</t>
  </si>
  <si>
    <t>Use Azure Firewall to govern Azure outbound traffic to the internet, non-HTTP/S inbound connections and East/West traffic filtering (if the organization requires it)</t>
  </si>
  <si>
    <t>Use Firewall Manager with Virtual WAN to deploy and manage Azure firewalls across Virtual WAN hubs or in hub virtual networks. Firewall Manager is now in general availability for both Virtual WAN and regular virtual networks.</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</si>
  <si>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</si>
  <si>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Configure supported partner SaaS security providers within Firewall Manager if the organization wants to use such solutions to help protect outbound connections.</t>
  </si>
  <si>
    <t>Use WAF within a landing-zone virtual network for protecting inbound HTTP/S traffic from the internet.</t>
  </si>
  <si>
    <t>Use Azure Front Door and WAF policies to provide global protection across Azure regions for inbound HTTP/S connections to a landing zone.</t>
  </si>
  <si>
    <t>When you're using Azure Front Door and Azure Application Gateway to help protect HTTP/S apps, use WAF policies in Azure Front Door. Lock down Azure Application Gateway to receive traffic only from Azure Front Door.</t>
  </si>
  <si>
    <t>If partner NVAs are required for inbound HTTP/S connections, deploy them within a landing-zone virtual network and together with the apps that they're protecting and exposing to the internet.</t>
  </si>
  <si>
    <t>Use Azure DDoS Protection Standard protection plans to help protect all public endpoints hosted within the virtual networks.</t>
  </si>
  <si>
    <t>App delivery</t>
  </si>
  <si>
    <t>Perform app delivery within landing zones for both internal-facing and external-facing apps.</t>
  </si>
  <si>
    <t>For secure delivery of HTTP/S apps, use Application Gateway v2 and ensure that WAF protection and policies are enabled.</t>
  </si>
  <si>
    <t>Use a partner NVA if you can't use Application Gateway v2 for the security of HTTP/S apps.</t>
  </si>
  <si>
    <t>Deploy Azure Application Gateway v2 or partner NVAs used for inbound HTTP/S connections within the landing-zone virtual network and with the apps that they're securing.</t>
  </si>
  <si>
    <t>Use a DDoS standard protection plan for all public IP addresses in a landing zone.</t>
  </si>
  <si>
    <t>Use Azure Front Door with WAF policies to deliver and help protect global HTTP/S apps that span Azure regions.</t>
  </si>
  <si>
    <t>When you're using Front Door and Application Gateway to help protect HTTP/S apps, use WAF policies in Front Door. Lock down Application Gateway to receive traffic only from Front Door.</t>
  </si>
  <si>
    <t>Use Traffic Manager to deliver global apps that span protocols other than HTTP/S.</t>
  </si>
  <si>
    <t>Segmentation</t>
  </si>
  <si>
    <t xml:space="preserve">Delegate subnet creation to the landing zone owner. </t>
  </si>
  <si>
    <t>Use NSGs to help protect traffic across subnets, as well as east/west traffic across the platform (traffic between landing zones).</t>
  </si>
  <si>
    <t>The application team should use application security groups at the subnet-level NSGs to help protect multitier VMs within the landing zone.</t>
  </si>
  <si>
    <t>Use NSGs and application security groups to micro-segment traffic within the landing zone and avoid using a central NVA to filter traffic flows.</t>
  </si>
  <si>
    <t>Enable NSG flow logs and feed them into Traffic Analytics to gain insights into internal and external traffic flows.</t>
  </si>
  <si>
    <t>Use NSGs to selectively allow connectivity between landing zones.</t>
  </si>
  <si>
    <t>For Virtual WAN topologies, route traffic across landing zones via Azure Firewall if the organization requires filtering and logging capabilities for traffic flowing across landing zones.</t>
  </si>
  <si>
    <t>Encryption</t>
  </si>
  <si>
    <t>When you're using ExpressRoute Direct, configure MACsec in order to encrypt traffic at the layer-two level between the organization's routers and MSEE. The diagram shows this encryption in flow.</t>
  </si>
  <si>
    <t>If traffic between Azure regions must be encrypted, use global VNet peering to connect virtual networks across regions.</t>
  </si>
  <si>
    <t xml:space="preserve">For Virtual WAN scenarios where MACsec isn't an option (for example, not using ExpressRoute Direct), use a Virtual WAN VPN gateway to establishï¿½IPsec tunnels over ExpressRoute private peering. </t>
  </si>
  <si>
    <t>Inspection</t>
  </si>
  <si>
    <t>Use Network Watcher packets to capture despite the limited capture window.</t>
  </si>
  <si>
    <t>Evaluate whether the latest version of NSG flow logs provides the level of detail that you need.</t>
  </si>
  <si>
    <t>Use partner solutions for scenarios that require deep packet inspection.</t>
  </si>
  <si>
    <t>Don't develop a custom solution to mirror traffic. Although this approach might be acceptable for small-scale scenarios, we don't encourage it at scale because of complexity and the supportability issues that might arise.</t>
  </si>
  <si>
    <t>Management</t>
  </si>
  <si>
    <t>Use a single monitor logs workspace to manage platforms centrally except where Azure role-based access control (Azure RBAC)</t>
  </si>
  <si>
    <t>Data sovereignty requirements and data retention policies mandate separate workspaces</t>
  </si>
  <si>
    <t>Is the landing zone documented?</t>
  </si>
  <si>
    <t>Export logs to Azure Storage if log retention requirements exceed two years. Use immutable storage with a write-once, read-many policy to make data non-erasable and non-modifiable for a user-specified interval.</t>
  </si>
  <si>
    <t xml:space="preserve">Use Azure Policy for access control and compliance reporting. Azure Policy provides the ability to enforce organization-wide settings to ensure consistent policy adherence and fast violation detection. </t>
  </si>
  <si>
    <t>Monitor in-guest virtual machine (VM) configuration drift using Azure Policy. Enablingï¿½guest configurationï¿½audit capabilities through policy helps application team workloads to immediately consume feature capabilities with little effort.</t>
  </si>
  <si>
    <t xml:space="preserve">Useï¿½Update Management in Azure Automationï¿½as a long-term patching mechanism for both Windows and Linux VMs. </t>
  </si>
  <si>
    <t>Use Network Watcher to proactively monitor traffic flows</t>
  </si>
  <si>
    <t>Use resource locks to prevent accidental deletion of critical shared services.</t>
  </si>
  <si>
    <t>Useï¿½deny policiesï¿½to supplement Azure role assignments. The combination of deny policies and Azure role assignments ensures the appropriate guardrails are in place to enforceï¿½whoï¿½can deploy and configure resources andï¿½whatï¿½resources they can deploy and configure.</t>
  </si>
  <si>
    <t>Include service and resource health events as part of the overall platform monitoring solution. Tracking service and resource health from the platform perspective is an important component of resource management in Azure.</t>
  </si>
  <si>
    <t>Don't send raw log entries back to on-premises monitoring systems. Instead, adopt a principle thatï¿½data born in Azure stays in Azure. If on-premises SIEM integration is required, thenï¿½send critical alertsï¿½instead of logs.</t>
  </si>
  <si>
    <t>Use a centralized Azure Monitor Log Analytics workspace to collect logs and metrics from IaaS and PaaS application resources andï¿½control log access with Azure RBAC.</t>
  </si>
  <si>
    <t>Useï¿½Azure Monitor Logsï¿½for insights and reporting.</t>
  </si>
  <si>
    <t>When necessary, use shared storage accounts within the landing zone for Azure diagnostic extension log storage.</t>
  </si>
  <si>
    <t>Useï¿½Azure Monitor alertsï¿½for the generation of operational alerts.</t>
  </si>
  <si>
    <t>Employ Azure Site Recovery for Azure-to-Azure Virtual Machines disaster recovery scenarios. This enables you to replicate workloads across regions.</t>
  </si>
  <si>
    <t>Ensure to use and test native PaaS service disaster recovery capabilities.</t>
  </si>
  <si>
    <t>Use Azure-native backup capabilities. Verify that partner/customer is aware of Azure Backup and all new capabilities which greatly can simplify backup management</t>
  </si>
  <si>
    <t>Azure Key Vault</t>
  </si>
  <si>
    <t>Use a federated Azure Key Vault model to avoid transaction scale limits.</t>
  </si>
  <si>
    <t>Provision Azure Key Vault with the soft delete and purge policies enabled to allow retention protection for deleted objects.</t>
  </si>
  <si>
    <t>Follow a least privilege model by limiting authorization to permanently delete keys, secrets, and certificates to specialized custom Azure Active Directory (Azure AD) roles.</t>
  </si>
  <si>
    <t>Automate the certificate management and renewal process with public certificate authorities to ease administration.</t>
  </si>
  <si>
    <t>Establish an automated process for key and certificate rotation.</t>
  </si>
  <si>
    <t>Enable firewall and virtual network service endpoint on the vault to control access to the key vault.</t>
  </si>
  <si>
    <t>Use the platform-central Azure Monitor Log Analytics workspace to audit key, certificate, and secret usage within each instance of Key Vault.</t>
  </si>
  <si>
    <t>Delegate Key Vault instantiation and privileged access and use Azure Policy to enforce a consistent compliant configuration.</t>
  </si>
  <si>
    <t>Default to Microsoft-managed keys for principal encryption functionality and use customer-managed keys when required.</t>
  </si>
  <si>
    <t>Don't share Key Vault instances between applications to avoid secret sharing across environments.</t>
  </si>
  <si>
    <t>Don't use centralized instances of Key Vault for application keys or secrets.</t>
  </si>
  <si>
    <t>If you want to bring your own keys, this might not be supported across all considered services. Implement relevant mitigation so that inconsistencies don't hinder desired outcomes. Choose appropriate region pairs and disaster recovery regions that minimize latency.</t>
  </si>
  <si>
    <t>Governance</t>
  </si>
  <si>
    <t>Leverage Azure Policy</t>
  </si>
  <si>
    <t>Identify required Azure tags and use the append policy mode to enforce usage.</t>
  </si>
  <si>
    <t>Map regulatory and compliance requirements to Azure Policy definitions and Azure role assignments.</t>
  </si>
  <si>
    <t>Establish Azure Policy definitions at the top-level root management group so that they can be assigned at inherited scopes</t>
  </si>
  <si>
    <t>Manage policy assignments at the highest appropriate level with exclusions at bottom levels, if required</t>
  </si>
  <si>
    <t>Use Azure Policy to control resource provider registrations at the subscription and/or management group levels</t>
  </si>
  <si>
    <t>Use built-in policies where possible to minimize operational overhead.</t>
  </si>
  <si>
    <t>Assign the built-in Policy Contributor role at a particular scope to enable application-level governance.</t>
  </si>
  <si>
    <t>Limit the number of Azure Policy assignments made at the root management group scope to avoid managing through exclusions at inherited scopes.</t>
  </si>
  <si>
    <t>Use Azure policies to automatically deploy software configurations through VM extensions and enforce a compliant baseline VM configuration.</t>
  </si>
  <si>
    <t>Monitor VM security configuration drift via Azure Policy.</t>
  </si>
  <si>
    <t>Use Azure AD reporting capabilities to generate access control audit reports.</t>
  </si>
  <si>
    <t>Export Azure activity logs to Azure Monitor Logs for long-term data retention. Export to Azure Storage for long-term storage beyond two years, if necessary.</t>
  </si>
  <si>
    <t>Enable Security Center Standard for all subscriptions.</t>
  </si>
  <si>
    <t>Monitor base operating system patching drift via Azure Monitor Logs and Azure Security Center.</t>
  </si>
  <si>
    <t>Connect default resource configurations to a centralized Azure Monitor Log Analytics workspace.</t>
  </si>
  <si>
    <t>Determine the incident response plan for Azure services before allowing it into production.</t>
  </si>
  <si>
    <t>Implement a zero-trust approach for access to the Azure platform, where appropriate.</t>
  </si>
  <si>
    <t>Plan how new azure services will be implemented</t>
  </si>
  <si>
    <t>Plan how service request will be fullfilled for Azure services</t>
  </si>
  <si>
    <t>Network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</si>
</sst>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xf numFmtId="0" fontId="1" fillId="0" borderId="0" xfId="1"/>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10</c:v>
                </c:pt>
                <c:pt idx="1">
                  <c:v>151</c:v>
                </c:pt>
                <c:pt idx="2">
                  <c:v>1</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162</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151</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cat>
            <c:strRef>
              <c:f>Dashboard!$H$6:$H$12</c:f>
              <c:strCache>
                <c:ptCount val="5"/>
                <c:pt idx="0">
                  <c:v>Identity</c:v>
                </c:pt>
                <c:pt idx="1">
                  <c:v>Network</c:v>
                </c:pt>
                <c:pt idx="2">
                  <c:v>Security</c:v>
                </c:pt>
                <c:pt idx="3">
                  <c:v>Management</c:v>
                </c:pt>
                <c:pt idx="4">
                  <c:v>Subscriptions</c:v>
                </c:pt>
              </c:strCache>
            </c:strRef>
          </c:cat>
          <c:val>
            <c:numRef>
              <c:f>Dashboard!$M$6:$M$12</c:f>
              <c:numCache>
                <c:formatCode>General</c:formatCode>
                <c:ptCount val="7"/>
                <c:pt idx="0">
                  <c:v>14</c:v>
                </c:pt>
                <c:pt idx="1">
                  <c:v>0</c:v>
                </c:pt>
                <c:pt idx="2">
                  <c:v>33</c:v>
                </c:pt>
                <c:pt idx="3">
                  <c:v>19</c:v>
                </c:pt>
                <c:pt idx="4">
                  <c:v>16</c:v>
                </c:pt>
                <c:pt idx="5">
                  <c:v>0</c:v>
                </c:pt>
                <c:pt idx="6">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Dashboard!$I$6:$I$12</c:f>
              <c:numCache>
                <c:formatCode>General</c:formatCode>
                <c:ptCount val="7"/>
                <c:pt idx="0">
                  <c:v>14</c:v>
                </c:pt>
                <c:pt idx="1">
                  <c:v>0</c:v>
                </c:pt>
                <c:pt idx="2">
                  <c:v>33</c:v>
                </c:pt>
                <c:pt idx="3">
                  <c:v>19</c:v>
                </c:pt>
                <c:pt idx="4">
                  <c:v>16</c:v>
                </c:pt>
                <c:pt idx="5">
                  <c:v>0</c:v>
                </c:pt>
                <c:pt idx="6">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2</xdr:col>
      <xdr:colOff>544726</xdr:colOff>
      <xdr:row>1</xdr:row>
      <xdr:rowOff>96378</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051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8458200</xdr:colOff>
          <xdr:row>0</xdr:row>
          <xdr:rowOff>609600</xdr:rowOff>
        </xdr:from>
        <xdr:to>
          <xdr:col>3</xdr:col>
          <xdr:colOff>200025</xdr:colOff>
          <xdr:row>0</xdr:row>
          <xdr:rowOff>847725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8467725</xdr:colOff>
          <xdr:row>0</xdr:row>
          <xdr:rowOff>971550</xdr:rowOff>
        </xdr:from>
        <xdr:to>
          <xdr:col>3</xdr:col>
          <xdr:colOff>200025</xdr:colOff>
          <xdr:row>0</xdr:row>
          <xdr:rowOff>1247775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8458200</xdr:colOff>
          <xdr:row>0</xdr:row>
          <xdr:rowOff>228600</xdr:rowOff>
        </xdr:from>
        <xdr:to>
          <xdr:col>3</xdr:col>
          <xdr:colOff>200025</xdr:colOff>
          <xdr:row>0</xdr:row>
          <xdr:rowOff>485775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latest reference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azure/azure-resource-manager/management/lock-resources?tabs=json" TargetMode="External"/><Relationship Id="rId21" Type="http://schemas.openxmlformats.org/officeDocument/2006/relationships/hyperlink" Target="https://docs.microsoft.com/azure/virtual-network/virtual-networks-name-resolution-for-vms-and-role-instances" TargetMode="External"/><Relationship Id="rId42" Type="http://schemas.openxmlformats.org/officeDocument/2006/relationships/hyperlink" Target="https://docs.microsoft.com/azure/networking/" TargetMode="External"/><Relationship Id="rId63" Type="http://schemas.openxmlformats.org/officeDocument/2006/relationships/hyperlink" Target="https://docs.microsoft.com/azure/virtual-network/virtual-networks-name-resolution-for-vms-and-role-instances" TargetMode="External"/><Relationship Id="rId84" Type="http://schemas.openxmlformats.org/officeDocument/2006/relationships/hyperlink" Target="https://docs.microsoft.com/azure/web-application-firewall/ag/ag-overview" TargetMode="External"/><Relationship Id="rId138" Type="http://schemas.openxmlformats.org/officeDocument/2006/relationships/hyperlink" Target="https://docs.microsoft.com/azure/key-vault/general/best-practices" TargetMode="External"/><Relationship Id="rId159" Type="http://schemas.openxmlformats.org/officeDocument/2006/relationships/vmlDrawing" Target="../drawings/vmlDrawing1.vml"/><Relationship Id="rId107" Type="http://schemas.openxmlformats.org/officeDocument/2006/relationships/hyperlink" Target="https://docs.microsoft.com/azure/network-watcher/network-watcher-monitoring-overview" TargetMode="External"/><Relationship Id="rId11" Type="http://schemas.openxmlformats.org/officeDocument/2006/relationships/hyperlink" Target="https://docs.microsoft.com/azure/architecture/framework/scalability/design-capacity" TargetMode="External"/><Relationship Id="rId32" Type="http://schemas.openxmlformats.org/officeDocument/2006/relationships/hyperlink" Target="https://docs.microsoft.com/azure/cloud-adoption-framework/ready/enterprise-scale/network-topology-and-connectivity" TargetMode="External"/><Relationship Id="rId53" Type="http://schemas.openxmlformats.org/officeDocument/2006/relationships/hyperlink" Target="https://docs.microsoft.com/azure/networking/" TargetMode="External"/><Relationship Id="rId74" Type="http://schemas.openxmlformats.org/officeDocument/2006/relationships/hyperlink" Target="https://docs.microsoft.com/azure/expressroute/expressroute-routing" TargetMode="External"/><Relationship Id="rId128" Type="http://schemas.openxmlformats.org/officeDocument/2006/relationships/hyperlink" Target="https://docs.microsoft.com/azure/key-vault/general/best-practices" TargetMode="External"/><Relationship Id="rId149" Type="http://schemas.openxmlformats.org/officeDocument/2006/relationships/hyperlink" Target="https://docs.microsoft.com/azure/governance/policy/overview" TargetMode="External"/><Relationship Id="rId5" Type="http://schemas.openxmlformats.org/officeDocument/2006/relationships/hyperlink" Target="https://docs.microsoft.com/azure/active-directory-b2c/user-overview" TargetMode="External"/><Relationship Id="rId95" Type="http://schemas.openxmlformats.org/officeDocument/2006/relationships/hyperlink" Target="https://docs.microsoft.com/azure/web-application-firewall/ag/ag-overview" TargetMode="External"/><Relationship Id="rId160" Type="http://schemas.openxmlformats.org/officeDocument/2006/relationships/ctrlProp" Target="../ctrlProps/ctrlProp1.xml"/><Relationship Id="rId22" Type="http://schemas.openxmlformats.org/officeDocument/2006/relationships/hyperlink" Target="https://docs.microsoft.com/azure/virtual-network/virtual-networks-name-resolution-for-vms-and-role-instances" TargetMode="External"/><Relationship Id="rId43" Type="http://schemas.openxmlformats.org/officeDocument/2006/relationships/hyperlink" Target="https://azure.microsoft.com/solutions/network-appliances/" TargetMode="External"/><Relationship Id="rId64" Type="http://schemas.openxmlformats.org/officeDocument/2006/relationships/hyperlink" Target="https://docs.microsoft.com/azure/virtual-wan/virtual-wan-about" TargetMode="External"/><Relationship Id="rId118" Type="http://schemas.openxmlformats.org/officeDocument/2006/relationships/hyperlink" Target="https://docs.microsoft.com/azure/governance/policy/overview" TargetMode="External"/><Relationship Id="rId139" Type="http://schemas.openxmlformats.org/officeDocument/2006/relationships/hyperlink" Target="https://docs.microsoft.com/azure/governance/policy/overview" TargetMode="External"/><Relationship Id="rId85" Type="http://schemas.openxmlformats.org/officeDocument/2006/relationships/hyperlink" Target="https://docs.microsoft.com/azure/web-application-firewall/ag/ag-overview" TargetMode="External"/><Relationship Id="rId150" Type="http://schemas.openxmlformats.org/officeDocument/2006/relationships/hyperlink" Target="https://docs.microsoft.com/azure/active-directory/reports-monitoring/overview-reports" TargetMode="External"/><Relationship Id="rId12" Type="http://schemas.openxmlformats.org/officeDocument/2006/relationships/hyperlink" Target="https://docs.microsoft.com/azure/cost-management-billing/reservations/save-compute-costs-reservations" TargetMode="External"/><Relationship Id="rId17" Type="http://schemas.openxmlformats.org/officeDocument/2006/relationships/hyperlink" Target="https://docs.microsoft.com/azure/governance/management-groups/overview" TargetMode="External"/><Relationship Id="rId33" Type="http://schemas.openxmlformats.org/officeDocument/2006/relationships/hyperlink" Target="https://docs.microsoft.com/azure/governance/management-groups/overview" TargetMode="External"/><Relationship Id="rId38" Type="http://schemas.openxmlformats.org/officeDocument/2006/relationships/hyperlink" Target="https://docs.microsoft.com/azure/app-service/networking-features" TargetMode="External"/><Relationship Id="rId59" Type="http://schemas.openxmlformats.org/officeDocument/2006/relationships/hyperlink" Target="https://docs.microsoft.com/azure/virtual-wan/virtual-wan-about" TargetMode="External"/><Relationship Id="rId103" Type="http://schemas.openxmlformats.org/officeDocument/2006/relationships/hyperlink" Target="https://docs.microsoft.com/azure/firewall/" TargetMode="External"/><Relationship Id="rId108" Type="http://schemas.openxmlformats.org/officeDocument/2006/relationships/hyperlink" Target="https://docs.microsoft.com/azure/virtual-network/network-security-group-how-it-works" TargetMode="External"/><Relationship Id="rId124" Type="http://schemas.openxmlformats.org/officeDocument/2006/relationships/hyperlink" Target="https://docs.microsoft.com/azure/azure-monitor/alerts/alerts-overview" TargetMode="External"/><Relationship Id="rId129" Type="http://schemas.openxmlformats.org/officeDocument/2006/relationships/hyperlink" Target="https://docs.microsoft.com/azure/key-vault/general/best-practices" TargetMode="External"/><Relationship Id="rId54" Type="http://schemas.openxmlformats.org/officeDocument/2006/relationships/hyperlink" Target="https://docs.microsoft.com/azure/virtual-wan/virtual-wan-about" TargetMode="External"/><Relationship Id="rId70" Type="http://schemas.openxmlformats.org/officeDocument/2006/relationships/hyperlink" Target="https://docs.microsoft.com/azure/expressroute/expressroute-routing" TargetMode="External"/><Relationship Id="rId75" Type="http://schemas.openxmlformats.org/officeDocument/2006/relationships/hyperlink" Target="https://docs.microsoft.com/azure/architecture/reference-architectures/hybrid-networking/hub-spoke?tabs=cli" TargetMode="External"/><Relationship Id="rId91" Type="http://schemas.openxmlformats.org/officeDocument/2006/relationships/hyperlink" Target="https://docs.microsoft.com/azure/web-application-firewall/ag/ag-overview" TargetMode="External"/><Relationship Id="rId96" Type="http://schemas.openxmlformats.org/officeDocument/2006/relationships/hyperlink" Target="https://docs.microsoft.com/azure/web-application-firewall/ag/ag-overview" TargetMode="External"/><Relationship Id="rId140" Type="http://schemas.openxmlformats.org/officeDocument/2006/relationships/hyperlink" Target="https://docs.microsoft.com/azure/cloud-adoption-framework/decision-guides/resource-tagging/?toc=/azure/azure-resource-manager/management/toc.json" TargetMode="External"/><Relationship Id="rId145" Type="http://schemas.openxmlformats.org/officeDocument/2006/relationships/hyperlink" Target="https://docs.microsoft.com/azure/governance/policy/overview" TargetMode="External"/><Relationship Id="rId161" Type="http://schemas.openxmlformats.org/officeDocument/2006/relationships/ctrlProp" Target="../ctrlProps/ctrlProp2.xml"/><Relationship Id="rId1" Type="http://schemas.openxmlformats.org/officeDocument/2006/relationships/hyperlink" Target="https://docs.microsoft.com/azure/governance/management-groups/overview" TargetMode="External"/><Relationship Id="rId6" Type="http://schemas.openxmlformats.org/officeDocument/2006/relationships/hyperlink" Target="https://docs.microsoft.com/azure/governance/management-groups/overview" TargetMode="External"/><Relationship Id="rId23" Type="http://schemas.openxmlformats.org/officeDocument/2006/relationships/hyperlink" Target="https://docs.microsoft.com/azure/virtual-wan/virtual-wan-about" TargetMode="External"/><Relationship Id="rId28" Type="http://schemas.openxmlformats.org/officeDocument/2006/relationships/hyperlink" Target="https://docs.microsoft.com/azure/cloud-adoption-framework/ready/azure-best-practices/plan-for-ip-addressing" TargetMode="External"/><Relationship Id="rId49" Type="http://schemas.openxmlformats.org/officeDocument/2006/relationships/hyperlink" Target="https://azure.microsoft.com/resources/achieving-compliant-data-residency-and-security-with-azure/" TargetMode="External"/><Relationship Id="rId114" Type="http://schemas.openxmlformats.org/officeDocument/2006/relationships/hyperlink" Target="https://docs.microsoft.com/azure/governance/policy/how-to/guest-configuration-create" TargetMode="External"/><Relationship Id="rId119" Type="http://schemas.openxmlformats.org/officeDocument/2006/relationships/hyperlink" Target="https://docs.microsoft.com/azure/?product=featured" TargetMode="External"/><Relationship Id="rId44" Type="http://schemas.openxmlformats.org/officeDocument/2006/relationships/hyperlink" Target="https://azure.microsoft.com/solutions/network-appliances/" TargetMode="External"/><Relationship Id="rId60" Type="http://schemas.openxmlformats.org/officeDocument/2006/relationships/hyperlink" Target="https://docs.microsoft.com/azure/cloud-adoption-framework/decision-guides/resource-tagging/?toc=/azure/azure-resource-manager/management/toc.json" TargetMode="External"/><Relationship Id="rId65" Type="http://schemas.openxmlformats.org/officeDocument/2006/relationships/hyperlink" Target="https://docs.microsoft.com/azure/active-directory/fundamentals/active-directory-groups-create-azure-portal" TargetMode="External"/><Relationship Id="rId81" Type="http://schemas.openxmlformats.org/officeDocument/2006/relationships/hyperlink" Target="https://docs.microsoft.com/azure/firewall/" TargetMode="External"/><Relationship Id="rId86" Type="http://schemas.openxmlformats.org/officeDocument/2006/relationships/hyperlink" Target="https://azure.microsoft.com/solutions/network-appliances/" TargetMode="External"/><Relationship Id="rId130" Type="http://schemas.openxmlformats.org/officeDocument/2006/relationships/hyperlink" Target="https://docs.microsoft.com/azure/key-vault/general/best-practices" TargetMode="External"/><Relationship Id="rId135" Type="http://schemas.openxmlformats.org/officeDocument/2006/relationships/hyperlink" Target="https://docs.microsoft.com/azure/key-vault/general/best-practices" TargetMode="External"/><Relationship Id="rId151" Type="http://schemas.openxmlformats.org/officeDocument/2006/relationships/hyperlink" Target="https://docs.microsoft.com/azure/azure-monitor/logs/logs-data-export?tabs=portal" TargetMode="External"/><Relationship Id="rId156" Type="http://schemas.openxmlformats.org/officeDocument/2006/relationships/hyperlink" Target="https://www.microsoft.com/itshowcase/implementing-a-zero-trust-security-model-at-microsoft" TargetMode="External"/><Relationship Id="rId13" Type="http://schemas.openxmlformats.org/officeDocument/2006/relationships/hyperlink" Target="https://docs.microsoft.com/azure/azure-resource-manager/management/azure-subscription-service-limits" TargetMode="External"/><Relationship Id="rId18" Type="http://schemas.openxmlformats.org/officeDocument/2006/relationships/hyperlink" Target="https://docs.microsoft.com/azure/virtual-wan/virtual-wan-about" TargetMode="External"/><Relationship Id="rId39" Type="http://schemas.openxmlformats.org/officeDocument/2006/relationships/hyperlink" Target="https://docs.microsoft.com/azure/networking/" TargetMode="External"/><Relationship Id="rId109" Type="http://schemas.openxmlformats.org/officeDocument/2006/relationships/hyperlink" Target="https://docs.microsoft.com/azure/private-link/inspect-traffic-with-azure-firewall" TargetMode="External"/><Relationship Id="rId34" Type="http://schemas.openxmlformats.org/officeDocument/2006/relationships/hyperlink" Target="https://docs.microsoft.com/azure/active-directory/app-proxy/application-proxy" TargetMode="External"/><Relationship Id="rId50" Type="http://schemas.openxmlformats.org/officeDocument/2006/relationships/hyperlink" Target="https://docs.microsoft.com/azure/architecture/reference-architectures/identity/adds-extend-domain" TargetMode="External"/><Relationship Id="rId55" Type="http://schemas.openxmlformats.org/officeDocument/2006/relationships/hyperlink" Target="https://docs.microsoft.com/azure/azure-monitor/insights/network-insights-overview" TargetMode="External"/><Relationship Id="rId76" Type="http://schemas.openxmlformats.org/officeDocument/2006/relationships/hyperlink" Target="https://docs.microsoft.com/azure/app-service/networking-features" TargetMode="External"/><Relationship Id="rId97" Type="http://schemas.openxmlformats.org/officeDocument/2006/relationships/hyperlink" Target="https://docs.microsoft.com/azure/cloud-adoption-framework/ready/azure-setup-guide/organize-resources?tabs=AzureManagementGroupsAndHierarchy" TargetMode="External"/><Relationship Id="rId104" Type="http://schemas.openxmlformats.org/officeDocument/2006/relationships/hyperlink" Target="https://docs.microsoft.com/azure/expressroute/expressroute-erdirect-about" TargetMode="External"/><Relationship Id="rId120" Type="http://schemas.openxmlformats.org/officeDocument/2006/relationships/hyperlink" Target="https://docs.microsoft.com/azure/sentinel/quickstart-onboard" TargetMode="External"/><Relationship Id="rId125" Type="http://schemas.openxmlformats.org/officeDocument/2006/relationships/hyperlink" Target="https://docs.microsoft.com/azure/backup/backup-center-overview" TargetMode="External"/><Relationship Id="rId141" Type="http://schemas.openxmlformats.org/officeDocument/2006/relationships/hyperlink" Target="https://docs.microsoft.com/azure/governance/policy/overview" TargetMode="External"/><Relationship Id="rId146" Type="http://schemas.openxmlformats.org/officeDocument/2006/relationships/hyperlink" Target="https://docs.microsoft.com/azure/governance/policy/overview" TargetMode="External"/><Relationship Id="rId7" Type="http://schemas.openxmlformats.org/officeDocument/2006/relationships/hyperlink" Target="https://docs.microsoft.com/azure/expressroute/expressroute-routing" TargetMode="External"/><Relationship Id="rId71" Type="http://schemas.openxmlformats.org/officeDocument/2006/relationships/hyperlink" Target="https://docs.microsoft.com/azure/networking/" TargetMode="External"/><Relationship Id="rId92" Type="http://schemas.openxmlformats.org/officeDocument/2006/relationships/hyperlink" Target="https://docs.microsoft.com/azure/web-application-firewall/ag/ag-overview" TargetMode="External"/><Relationship Id="rId162" Type="http://schemas.openxmlformats.org/officeDocument/2006/relationships/ctrlProp" Target="../ctrlProps/ctrlProp3.xml"/><Relationship Id="rId2" Type="http://schemas.openxmlformats.org/officeDocument/2006/relationships/hyperlink" Target="https://docs.microsoft.com/azure/active-directory/privileged-identity-management/pim-configure" TargetMode="External"/><Relationship Id="rId29" Type="http://schemas.openxmlformats.org/officeDocument/2006/relationships/hyperlink" Target="https://docs.microsoft.com/azure/virtual-wan/virtual-wan-about" TargetMode="External"/><Relationship Id="rId24" Type="http://schemas.openxmlformats.org/officeDocument/2006/relationships/hyperlink" Target="https://docs.microsoft.com/azure/virtual-wan/virtual-wan-about" TargetMode="External"/><Relationship Id="rId40" Type="http://schemas.openxmlformats.org/officeDocument/2006/relationships/hyperlink" Target="https://docs.microsoft.com/azure/networking/" TargetMode="External"/><Relationship Id="rId45" Type="http://schemas.openxmlformats.org/officeDocument/2006/relationships/hyperlink" Target="https://docs.microsoft.com/azure/expressroute/expressroute-faqs" TargetMode="External"/><Relationship Id="rId66" Type="http://schemas.openxmlformats.org/officeDocument/2006/relationships/hyperlink" Target="https://docs.microsoft.com/azure/governance/management-groups/overview" TargetMode="External"/><Relationship Id="rId87" Type="http://schemas.openxmlformats.org/officeDocument/2006/relationships/hyperlink" Target="https://azure.microsoft.com/solutions/network-appliances/" TargetMode="External"/><Relationship Id="rId110" Type="http://schemas.openxmlformats.org/officeDocument/2006/relationships/hyperlink" Target="https://docs.microsoft.com/azure/azure-monitor/logs/design-logs-deployment" TargetMode="External"/><Relationship Id="rId115" Type="http://schemas.openxmlformats.org/officeDocument/2006/relationships/hyperlink" Target="https://docs.microsoft.com/azure/automation/update-management/overview" TargetMode="External"/><Relationship Id="rId131" Type="http://schemas.openxmlformats.org/officeDocument/2006/relationships/hyperlink" Target="https://docs.microsoft.com/azure/key-vault/general/best-practices" TargetMode="External"/><Relationship Id="rId136" Type="http://schemas.openxmlformats.org/officeDocument/2006/relationships/hyperlink" Target="https://docs.microsoft.com/azure/key-vault/general/best-practices" TargetMode="External"/><Relationship Id="rId157" Type="http://schemas.openxmlformats.org/officeDocument/2006/relationships/printerSettings" Target="../printerSettings/printerSettings1.bin"/><Relationship Id="rId61" Type="http://schemas.openxmlformats.org/officeDocument/2006/relationships/hyperlink" Target="https://docs.microsoft.com/azure/active-directory/conditional-access/overview" TargetMode="External"/><Relationship Id="rId82" Type="http://schemas.openxmlformats.org/officeDocument/2006/relationships/hyperlink" Target="https://docs.microsoft.com/azure/firewall/" TargetMode="External"/><Relationship Id="rId152" Type="http://schemas.openxmlformats.org/officeDocument/2006/relationships/hyperlink" Target="https://docs.microsoft.com/azure/security-center/" TargetMode="External"/><Relationship Id="rId19" Type="http://schemas.openxmlformats.org/officeDocument/2006/relationships/hyperlink" Target="https://docs.microsoft.com/azure/cloud-adoption-framework/ready/azure-best-practices/plan-for-ip-addressing" TargetMode="External"/><Relationship Id="rId14" Type="http://schemas.openxmlformats.org/officeDocument/2006/relationships/hyperlink" Target="https://docs.microsoft.com/azure/governance/management-groups/overview" TargetMode="External"/><Relationship Id="rId30" Type="http://schemas.openxmlformats.org/officeDocument/2006/relationships/hyperlink" Target="https://docs.microsoft.com/azure/cloud-adoption-framework/ready/enterprise-scale/network-topology-and-connectivity" TargetMode="External"/><Relationship Id="rId35" Type="http://schemas.openxmlformats.org/officeDocument/2006/relationships/hyperlink" Target="https://docs.microsoft.com/azure/app-service/networking-features" TargetMode="External"/><Relationship Id="rId56" Type="http://schemas.openxmlformats.org/officeDocument/2006/relationships/hyperlink" Target="https://docs.microsoft.com/azure/cloud-adoption-framework/ready/azure-best-practices/plan-for-ip-addressing" TargetMode="External"/><Relationship Id="rId77" Type="http://schemas.openxmlformats.org/officeDocument/2006/relationships/hyperlink" Target="https://docs.microsoft.com/azure/app-service/networking-features" TargetMode="External"/><Relationship Id="rId100" Type="http://schemas.openxmlformats.org/officeDocument/2006/relationships/hyperlink" Target="https://docs.microsoft.com/azure/virtual-network/network-security-group-how-it-works" TargetMode="External"/><Relationship Id="rId105" Type="http://schemas.openxmlformats.org/officeDocument/2006/relationships/hyperlink" Target="https://docs.microsoft.com/azure/virtual-network/virtual-network-peering-overview" TargetMode="External"/><Relationship Id="rId126" Type="http://schemas.openxmlformats.org/officeDocument/2006/relationships/hyperlink" Target="https://docs.microsoft.com/azure/backup/backup-center-overview" TargetMode="External"/><Relationship Id="rId147" Type="http://schemas.openxmlformats.org/officeDocument/2006/relationships/hyperlink" Target="https://docs.microsoft.com/azure/governance/policy/overview" TargetMode="External"/><Relationship Id="rId8" Type="http://schemas.openxmlformats.org/officeDocument/2006/relationships/hyperlink" Target="https://docs.microsoft.com/azure/governance/management-groups/overview" TargetMode="External"/><Relationship Id="rId51" Type="http://schemas.openxmlformats.org/officeDocument/2006/relationships/hyperlink" Target="https://docs.microsoft.com/azure/active-directory-domain-services/overview" TargetMode="External"/><Relationship Id="rId72" Type="http://schemas.openxmlformats.org/officeDocument/2006/relationships/hyperlink" Target="https://docs.microsoft.com/azure/expressroute/expressroute-about-virtual-network-gateways" TargetMode="External"/><Relationship Id="rId93" Type="http://schemas.openxmlformats.org/officeDocument/2006/relationships/hyperlink" Target="https://docs.microsoft.com/azure/ddos-protection/ddos-protection-overview" TargetMode="External"/><Relationship Id="rId98" Type="http://schemas.openxmlformats.org/officeDocument/2006/relationships/hyperlink" Target="https://docs.microsoft.com/azure/virtual-network/network-security-group-how-it-works" TargetMode="External"/><Relationship Id="rId121" Type="http://schemas.openxmlformats.org/officeDocument/2006/relationships/hyperlink" Target="https://docs.microsoft.com/azure/azure-monitor/logs/design-logs-deployment" TargetMode="External"/><Relationship Id="rId142" Type="http://schemas.openxmlformats.org/officeDocument/2006/relationships/hyperlink" Target="https://docs.microsoft.com/azure/governance/policy/overview" TargetMode="External"/><Relationship Id="rId3" Type="http://schemas.openxmlformats.org/officeDocument/2006/relationships/hyperlink" Target="https://docs.microsoft.com/azure/active-directory/authentication/concept-mfa-howitworks" TargetMode="External"/><Relationship Id="rId25" Type="http://schemas.openxmlformats.org/officeDocument/2006/relationships/hyperlink" Target="https://docs.microsoft.com/azure/virtual-wan/virtual-wan-about" TargetMode="External"/><Relationship Id="rId46" Type="http://schemas.openxmlformats.org/officeDocument/2006/relationships/hyperlink" Target="https://docs.microsoft.com/azure/expressroute/expressroute-faqs" TargetMode="External"/><Relationship Id="rId67" Type="http://schemas.openxmlformats.org/officeDocument/2006/relationships/hyperlink" Target="https://docs.microsoft.com/azure/active-directory/roles/security-emergency-access" TargetMode="External"/><Relationship Id="rId116" Type="http://schemas.openxmlformats.org/officeDocument/2006/relationships/hyperlink" Target="https://docs.microsoft.com/azure/network-watcher/network-watcher-monitoring-overview" TargetMode="External"/><Relationship Id="rId137" Type="http://schemas.openxmlformats.org/officeDocument/2006/relationships/hyperlink" Target="https://docs.microsoft.com/azure/key-vault/general/best-practices" TargetMode="External"/><Relationship Id="rId158" Type="http://schemas.openxmlformats.org/officeDocument/2006/relationships/drawing" Target="../drawings/drawing2.xml"/><Relationship Id="rId20" Type="http://schemas.openxmlformats.org/officeDocument/2006/relationships/hyperlink" Target="https://docs.microsoft.com/azure/virtual-network/virtual-networks-name-resolution-for-vms-and-role-instances" TargetMode="External"/><Relationship Id="rId41" Type="http://schemas.openxmlformats.org/officeDocument/2006/relationships/hyperlink" Target="https://docs.microsoft.com/azure/networking/" TargetMode="External"/><Relationship Id="rId62" Type="http://schemas.openxmlformats.org/officeDocument/2006/relationships/hyperlink" Target="https://docs.microsoft.com/azure/virtual-wan/virtual-wan-about" TargetMode="External"/><Relationship Id="rId83" Type="http://schemas.openxmlformats.org/officeDocument/2006/relationships/hyperlink" Target="https://docs.microsoft.com/azure/web-application-firewall/ag/ag-overview" TargetMode="External"/><Relationship Id="rId88" Type="http://schemas.openxmlformats.org/officeDocument/2006/relationships/hyperlink" Target="https://docs.microsoft.com/azure/ddos-protection/ddos-protection-overview" TargetMode="External"/><Relationship Id="rId111" Type="http://schemas.openxmlformats.org/officeDocument/2006/relationships/hyperlink" Target="https://docs.microsoft.com/azure/azure-monitor/logs/design-logs-deployment" TargetMode="External"/><Relationship Id="rId132" Type="http://schemas.openxmlformats.org/officeDocument/2006/relationships/hyperlink" Target="https://docs.microsoft.com/azure/key-vault/general/best-practices" TargetMode="External"/><Relationship Id="rId153" Type="http://schemas.openxmlformats.org/officeDocument/2006/relationships/hyperlink" Target="https://docs.microsoft.com/azure/security-center/" TargetMode="External"/><Relationship Id="rId15" Type="http://schemas.openxmlformats.org/officeDocument/2006/relationships/hyperlink" Target="https://azure.microsoft.com/global-infrastructure/services/" TargetMode="External"/><Relationship Id="rId36" Type="http://schemas.openxmlformats.org/officeDocument/2006/relationships/hyperlink" Target="https://docs.microsoft.com/azure/app-service/networking-features" TargetMode="External"/><Relationship Id="rId57" Type="http://schemas.openxmlformats.org/officeDocument/2006/relationships/hyperlink" Target="https://docs.microsoft.com/azure/virtual-wan/virtual-wan-about" TargetMode="External"/><Relationship Id="rId106" Type="http://schemas.openxmlformats.org/officeDocument/2006/relationships/hyperlink" Target="https://docs.microsoft.com/azure/virtual-wan/virtual-wan-about" TargetMode="External"/><Relationship Id="rId127" Type="http://schemas.openxmlformats.org/officeDocument/2006/relationships/hyperlink" Target="https://docs.microsoft.com/azure/key-vault/general/best-practices" TargetMode="External"/><Relationship Id="rId10" Type="http://schemas.openxmlformats.org/officeDocument/2006/relationships/hyperlink" Target="https://docs.microsoft.com/azure/governance/management-groups/overview" TargetMode="External"/><Relationship Id="rId31" Type="http://schemas.openxmlformats.org/officeDocument/2006/relationships/hyperlink" Target="https://docs.microsoft.com/azure/architecture/reference-architectures/hybrid-networking/expressroute" TargetMode="External"/><Relationship Id="rId52" Type="http://schemas.openxmlformats.org/officeDocument/2006/relationships/hyperlink" Target="https://docs.microsoft.com/azure/expressroute/expressroute-faqs" TargetMode="External"/><Relationship Id="rId73" Type="http://schemas.openxmlformats.org/officeDocument/2006/relationships/hyperlink" Target="https://docs.microsoft.com/azure/expressroute/expressroute-routing" TargetMode="External"/><Relationship Id="rId78" Type="http://schemas.openxmlformats.org/officeDocument/2006/relationships/hyperlink" Target="https://docs.microsoft.com/azure/app-service/networking-features" TargetMode="External"/><Relationship Id="rId94" Type="http://schemas.openxmlformats.org/officeDocument/2006/relationships/hyperlink" Target="https://docs.microsoft.com/azure/web-application-firewall/ag/ag-overview" TargetMode="External"/><Relationship Id="rId99" Type="http://schemas.openxmlformats.org/officeDocument/2006/relationships/hyperlink" Target="https://docs.microsoft.com/azure/virtual-network/network-security-group-how-it-works" TargetMode="External"/><Relationship Id="rId101" Type="http://schemas.openxmlformats.org/officeDocument/2006/relationships/hyperlink" Target="https://docs.microsoft.com/azure/virtual-network/network-security-group-how-it-works" TargetMode="External"/><Relationship Id="rId122" Type="http://schemas.openxmlformats.org/officeDocument/2006/relationships/hyperlink" Target="https://docs.microsoft.com/azure/cloud-adoption-framework/ready/azure-setup-guide/monitoring-reporting?tabs=AzureMonitor" TargetMode="External"/><Relationship Id="rId143" Type="http://schemas.openxmlformats.org/officeDocument/2006/relationships/hyperlink" Target="https://docs.microsoft.com/azure/governance/policy/overview" TargetMode="External"/><Relationship Id="rId148" Type="http://schemas.openxmlformats.org/officeDocument/2006/relationships/hyperlink" Target="https://docs.microsoft.com/azure/governance/policy/overview" TargetMode="External"/><Relationship Id="rId4" Type="http://schemas.openxmlformats.org/officeDocument/2006/relationships/hyperlink" Target="https://docs.microsoft.com/azure/role-based-access-control/overview" TargetMode="External"/><Relationship Id="rId9" Type="http://schemas.openxmlformats.org/officeDocument/2006/relationships/hyperlink" Target="https://docs.microsoft.com/azure/governance/management-groups/overview" TargetMode="External"/><Relationship Id="rId26" Type="http://schemas.openxmlformats.org/officeDocument/2006/relationships/hyperlink" Target="https://docs.microsoft.com/azure/virtual-wan/virtual-wan-about" TargetMode="External"/><Relationship Id="rId47" Type="http://schemas.openxmlformats.org/officeDocument/2006/relationships/hyperlink" Target="https://docs.microsoft.com/azure/role-based-access-control/custom-roles" TargetMode="External"/><Relationship Id="rId68" Type="http://schemas.openxmlformats.org/officeDocument/2006/relationships/hyperlink" Target="https://docs.microsoft.com/azure/role-based-access-control/overview" TargetMode="External"/><Relationship Id="rId89" Type="http://schemas.openxmlformats.org/officeDocument/2006/relationships/hyperlink" Target="https://docs.microsoft.com/azure/cloud-adoption-framework/ready/azure-setup-guide/organize-resources?tabs=AzureManagementGroupsAndHierarchy" TargetMode="External"/><Relationship Id="rId112" Type="http://schemas.openxmlformats.org/officeDocument/2006/relationships/hyperlink" Target="https://docs.microsoft.com/azure/azure-monitor/logs/design-logs-deployment" TargetMode="External"/><Relationship Id="rId133" Type="http://schemas.openxmlformats.org/officeDocument/2006/relationships/hyperlink" Target="https://docs.microsoft.com/azure/key-vault/general/best-practices" TargetMode="External"/><Relationship Id="rId154" Type="http://schemas.openxmlformats.org/officeDocument/2006/relationships/hyperlink" Target="https://docs.microsoft.com/azure/azure-monitor/logs/design-logs-deployment" TargetMode="External"/><Relationship Id="rId16" Type="http://schemas.openxmlformats.org/officeDocument/2006/relationships/hyperlink" Target="https://docs.microsoft.com/azure/cost-management-billing/cost-management-billing-overview" TargetMode="External"/><Relationship Id="rId37" Type="http://schemas.openxmlformats.org/officeDocument/2006/relationships/hyperlink" Target="https://docs.microsoft.com/azure/app-service/networking-features" TargetMode="External"/><Relationship Id="rId58" Type="http://schemas.openxmlformats.org/officeDocument/2006/relationships/hyperlink" Target="https://docs.microsoft.com/azure/cloud-adoption-framework/decision-guides/resource-tagging/?toc=/azure/azure-resource-manager/management/toc.json" TargetMode="External"/><Relationship Id="rId79" Type="http://schemas.openxmlformats.org/officeDocument/2006/relationships/hyperlink" Target="https://docs.microsoft.com/azure/firewall/" TargetMode="External"/><Relationship Id="rId102" Type="http://schemas.openxmlformats.org/officeDocument/2006/relationships/hyperlink" Target="https://docs.microsoft.com/azure/virtual-network/network-security-group-how-it-works" TargetMode="External"/><Relationship Id="rId123" Type="http://schemas.openxmlformats.org/officeDocument/2006/relationships/hyperlink" Target="https://docs.microsoft.com/azure/azure-monitor/agents/diagnostics-extension-overview" TargetMode="External"/><Relationship Id="rId144" Type="http://schemas.openxmlformats.org/officeDocument/2006/relationships/hyperlink" Target="https://docs.microsoft.com/azure/governance/policy/overview" TargetMode="External"/><Relationship Id="rId90" Type="http://schemas.openxmlformats.org/officeDocument/2006/relationships/hyperlink" Target="https://docs.microsoft.com/azure/web-application-firewall/ag/ag-overview" TargetMode="External"/><Relationship Id="rId27" Type="http://schemas.openxmlformats.org/officeDocument/2006/relationships/hyperlink" Target="https://docs.microsoft.com/azure/cloud-adoption-framework/ready/azure-best-practices/plan-for-ip-addressing" TargetMode="External"/><Relationship Id="rId48" Type="http://schemas.openxmlformats.org/officeDocument/2006/relationships/hyperlink" Target="https://docs.microsoft.com/azure/active-directory-domain-services/overview" TargetMode="External"/><Relationship Id="rId69" Type="http://schemas.openxmlformats.org/officeDocument/2006/relationships/hyperlink" Target="https://docs.microsoft.com/azure/app-service/networking-features" TargetMode="External"/><Relationship Id="rId113" Type="http://schemas.openxmlformats.org/officeDocument/2006/relationships/hyperlink" Target="https://docs.microsoft.com/azure/azure-monitor/logs/design-logs-deployment" TargetMode="External"/><Relationship Id="rId134" Type="http://schemas.openxmlformats.org/officeDocument/2006/relationships/hyperlink" Target="https://docs.microsoft.com/azure/key-vault/general/best-practices" TargetMode="External"/><Relationship Id="rId80" Type="http://schemas.openxmlformats.org/officeDocument/2006/relationships/hyperlink" Target="https://docs.microsoft.com/azure/firewall/" TargetMode="External"/><Relationship Id="rId155" Type="http://schemas.openxmlformats.org/officeDocument/2006/relationships/hyperlink" Target="https://docs.microsoft.com/security/benchmark/azure/security-control-incident-response"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raw.githubusercontent.com/Azure/review-checklists/main/samples/lz_checklist.js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workbookViewId="0">
      <selection activeCell="F10" sqref="F10"/>
    </sheetView>
  </sheetViews>
  <sheetFormatPr defaultRowHeight="15" x14ac:dyDescent="0.25"/>
  <cols>
    <col min="1" max="1" width="28.28515625" customWidth="1"/>
  </cols>
  <sheetData>
    <row r="2" spans="1:13" ht="31.5" x14ac:dyDescent="0.5">
      <c r="A2" s="17" t="s">
        <v>20</v>
      </c>
      <c r="D2" s="20">
        <f>S27</f>
        <v>0</v>
      </c>
    </row>
    <row r="5" spans="1:13" x14ac:dyDescent="0.25">
      <c r="B5" s="16" t="str">
        <f>Values!$B$2</f>
        <v>Not verified</v>
      </c>
      <c r="C5" s="16" t="str">
        <f>Values!$B$3</f>
        <v>Open</v>
      </c>
      <c r="D5" s="16" t="str">
        <f>Values!$B$4</f>
        <v>Fulfilled</v>
      </c>
      <c r="E5" s="16" t="str">
        <f>Values!$B$5</f>
        <v>N/A</v>
      </c>
      <c r="I5" s="16" t="str">
        <f>Values!$B$2</f>
        <v>Not verified</v>
      </c>
      <c r="J5" s="16" t="str">
        <f>Values!$B$3</f>
        <v>Open</v>
      </c>
      <c r="K5" s="16" t="str">
        <f>Values!$B$4</f>
        <v>Fulfilled</v>
      </c>
      <c r="L5" s="16" t="str">
        <f>Values!$B$5</f>
        <v>N/A</v>
      </c>
      <c r="M5" s="16" t="s">
        <v>22</v>
      </c>
    </row>
    <row r="6" spans="1:13" x14ac:dyDescent="0.25">
      <c r="A6" s="16" t="str">
        <f>Values!A2</f>
        <v>High</v>
      </c>
      <c r="B6" cm="1">
        <f t="array" ref="B6">SUMPRODUCT(--(Checklist!$D$5:$G$500=$A6)*--(Checklist!$E$5:$E$500=B$5))</f>
        <v>10</v>
      </c>
      <c r="C6" cm="1">
        <f t="array" ref="C6">SUMPRODUCT(--(Checklist!$D$5:$G$500=$A6)*--(Checklist!$E$5:$E$500=C$5))</f>
        <v>0</v>
      </c>
      <c r="D6" cm="1">
        <f t="array" ref="D6">SUMPRODUCT(--(Checklist!$D$5:$G$500=$A6)*--(Checklist!$E$5:$E$500=D$5))</f>
        <v>0</v>
      </c>
      <c r="E6" cm="1">
        <f t="array" ref="E6">SUMPRODUCT(--(Checklist!$D$5:$G$500=$A6)*--(Checklist!$E$5:$E$500=E$5))</f>
        <v>0</v>
      </c>
      <c r="F6">
        <f>SUM(B6:E6)</f>
        <v>10</v>
      </c>
      <c r="H6" s="16" t="str">
        <f>IF(Values!$C2="","",Values!$C2)</f>
        <v>Identity</v>
      </c>
      <c r="I6" cm="1">
        <f t="array" ref="I6">IF($H6="","",SUMPRODUCT(--(Checklist!$A$5:$A$500=$H6)*--(Checklist!$E$5:$E$500=I$5)))</f>
        <v>14</v>
      </c>
      <c r="J6" cm="1">
        <f t="array" ref="J6">IF($H6="","",SUMPRODUCT(--(Checklist!$A$5:$A$500=$H6)*--(Checklist!$E$5:$E$500=J$5)))</f>
        <v>0</v>
      </c>
      <c r="K6" cm="1">
        <f t="array" ref="K6">IF($H6="","",SUMPRODUCT(--(Checklist!$A$5:$A$500=$H6)*--(Checklist!$E$5:$E$500=K$5)))</f>
        <v>0</v>
      </c>
      <c r="L6" cm="1">
        <f t="array" ref="L6">IF($H6="","",SUMPRODUCT(--(Checklist!$A$5:$A$500=$H6)*--(Checklist!$E$5:$E$500=L$5)))</f>
        <v>0</v>
      </c>
      <c r="M6">
        <f>IF($H6="","",SUM(I6:L6))</f>
        <v>14</v>
      </c>
    </row>
    <row r="7" spans="1:13" x14ac:dyDescent="0.25">
      <c r="A7" s="16" t="str">
        <f>Values!A3</f>
        <v>Medium</v>
      </c>
      <c r="B7" cm="1">
        <f t="array" ref="B7">SUMPRODUCT(--(Checklist!$D$5:$G$500=$A7)*--(Checklist!$E$5:$E$500=B$5))</f>
        <v>151</v>
      </c>
      <c r="C7" cm="1">
        <f t="array" ref="C7">SUMPRODUCT(--(Checklist!$D$5:$G$500=$A7)*--(Checklist!$E$5:$E$500=C$5))</f>
        <v>0</v>
      </c>
      <c r="D7" cm="1">
        <f t="array" ref="D7">SUMPRODUCT(--(Checklist!$D$5:$G$500=$A7)*--(Checklist!$E$5:$E$500=D$5))</f>
        <v>0</v>
      </c>
      <c r="E7" cm="1">
        <f t="array" ref="E7">SUMPRODUCT(--(Checklist!$D$5:$G$500=$A7)*--(Checklist!$E$5:$E$500=E$5))</f>
        <v>0</v>
      </c>
      <c r="F7">
        <f t="shared" ref="F7:F8" si="0">SUM(B7:E7)</f>
        <v>151</v>
      </c>
      <c r="H7" s="16" t="str">
        <f>IF(Values!$C3="","",Values!$C3)</f>
        <v>Network</v>
      </c>
      <c r="I7" cm="1">
        <f t="array" ref="I7">IF($H7="","",SUMPRODUCT(--(Checklist!$A$5:$A$500=$H7)*--(Checklist!$E$5:$E$500=I$5)))</f>
        <v>0</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0</v>
      </c>
    </row>
    <row r="8" spans="1:13" x14ac:dyDescent="0.25">
      <c r="A8" s="16" t="str">
        <f>Values!A4</f>
        <v>Low</v>
      </c>
      <c r="B8" cm="1">
        <f t="array" ref="B8">SUMPRODUCT(--(Checklist!$D$5:$G$500=$A8)*--(Checklist!$E$5:$E$500=B$5))</f>
        <v>1</v>
      </c>
      <c r="C8" cm="1">
        <f t="array" ref="C8">SUMPRODUCT(--(Checklist!$D$5:$G$500=$A8)*--(Checklist!$E$5:$E$500=C$5))</f>
        <v>0</v>
      </c>
      <c r="D8" cm="1">
        <f t="array" ref="D8">SUMPRODUCT(--(Checklist!$D$5:$G$500=$A8)*--(Checklist!$E$5:$E$500=D$5))</f>
        <v>0</v>
      </c>
      <c r="E8" cm="1">
        <f t="array" ref="E8">SUMPRODUCT(--(Checklist!$D$5:$G$500=$A8)*--(Checklist!$E$5:$E$500=E$5))</f>
        <v>0</v>
      </c>
      <c r="F8">
        <f t="shared" si="0"/>
        <v>1</v>
      </c>
      <c r="H8" s="16" t="str">
        <f>IF(Values!$C4="","",Values!$C4)</f>
        <v>Security</v>
      </c>
      <c r="I8" cm="1">
        <f t="array" ref="I8">IF($H8="","",SUMPRODUCT(--(Checklist!$A$5:$A$500=$H8)*--(Checklist!$E$5:$E$500=I$5)))</f>
        <v>33</v>
      </c>
      <c r="J8" cm="1">
        <f t="array" ref="J8">IF($H8="","",SUMPRODUCT(--(Checklist!$A$5:$A$500=$H8)*--(Checklist!$E$5:$E$500=J$5)))</f>
        <v>0</v>
      </c>
      <c r="K8" cm="1">
        <f t="array" ref="K8">IF($H8="","",SUMPRODUCT(--(Checklist!$A$5:$A$500=$H8)*--(Checklist!$E$5:$E$500=K$5)))</f>
        <v>0</v>
      </c>
      <c r="L8" cm="1">
        <f t="array" ref="L8">IF($H8="","",SUMPRODUCT(--(Checklist!$A$5:$A$500=$H8)*--(Checklist!$E$5:$E$500=L$5)))</f>
        <v>0</v>
      </c>
      <c r="M8">
        <f t="shared" si="1"/>
        <v>33</v>
      </c>
    </row>
    <row r="9" spans="1:13" x14ac:dyDescent="0.25">
      <c r="B9">
        <f>SUM(B6:B8)</f>
        <v>162</v>
      </c>
      <c r="C9">
        <f t="shared" ref="C9:E9" si="2">SUM(C6:C8)</f>
        <v>0</v>
      </c>
      <c r="D9">
        <f t="shared" si="2"/>
        <v>0</v>
      </c>
      <c r="E9">
        <f t="shared" si="2"/>
        <v>0</v>
      </c>
      <c r="F9" s="16">
        <f>SUM(F6:F8)</f>
        <v>162</v>
      </c>
      <c r="H9" s="16" t="str">
        <f>IF(Values!$C5="","",Values!$C5)</f>
        <v>Management</v>
      </c>
      <c r="I9" cm="1">
        <f t="array" ref="I9">IF($H9="","",SUMPRODUCT(--(Checklist!$A$5:$A$500=$H9)*--(Checklist!$E$5:$E$500=I$5)))</f>
        <v>19</v>
      </c>
      <c r="J9" cm="1">
        <f t="array" ref="J9">IF($H9="","",SUMPRODUCT(--(Checklist!$A$5:$A$500=$H9)*--(Checklist!$E$5:$E$500=J$5)))</f>
        <v>0</v>
      </c>
      <c r="K9" cm="1">
        <f t="array" ref="K9">IF($H9="","",SUMPRODUCT(--(Checklist!$A$5:$A$500=$H9)*--(Checklist!$E$5:$E$500=K$5)))</f>
        <v>0</v>
      </c>
      <c r="L9" cm="1">
        <f t="array" ref="L9">IF($H9="","",SUMPRODUCT(--(Checklist!$A$5:$A$500=$H9)*--(Checklist!$E$5:$E$500=L$5)))</f>
        <v>0</v>
      </c>
      <c r="M9">
        <f t="shared" si="1"/>
        <v>19</v>
      </c>
    </row>
    <row r="10" spans="1:13" x14ac:dyDescent="0.25">
      <c r="H10" s="16" t="str">
        <f>IF(Values!$C6="","",Values!$C6)</f>
        <v>Subscriptions</v>
      </c>
      <c r="I10" cm="1">
        <f t="array" ref="I10">IF($H10="","",SUMPRODUCT(--(Checklist!$A$5:$A$500=$H10)*--(Checklist!$E$5:$E$500=I$5)))</f>
        <v>16</v>
      </c>
      <c r="J10" cm="1">
        <f t="array" ref="J10">IF($H10="","",SUMPRODUCT(--(Checklist!$A$5:$A$500=$H10)*--(Checklist!$E$5:$E$500=J$5)))</f>
        <v>0</v>
      </c>
      <c r="K10" cm="1">
        <f t="array" ref="K10">IF($H10="","",SUMPRODUCT(--(Checklist!$A$5:$A$500=$H10)*--(Checklist!$E$5:$E$500=K$5)))</f>
        <v>0</v>
      </c>
      <c r="L10" cm="1">
        <f t="array" ref="L10">IF($H10="","",SUMPRODUCT(--(Checklist!$A$5:$A$500=$H10)*--(Checklist!$E$5:$E$500=L$5)))</f>
        <v>0</v>
      </c>
      <c r="M10">
        <f t="shared" si="1"/>
        <v>16</v>
      </c>
    </row>
    <row r="11" spans="1:13" x14ac:dyDescent="0.25">
      <c r="H11" s="16" t="str">
        <f>IF(Values!$C7="","",Values!$C7)</f>
        <v/>
      </c>
      <c r="I11" t="str" cm="1">
        <f t="array" ref="I11">IF($H11="","",SUMPRODUCT(--(Checklist!$A$5:$A$500=$H11)*--(Checklist!$E$5:$E$500=I$5)))</f>
        <v/>
      </c>
      <c r="J11" t="str" cm="1">
        <f t="array" ref="J11">IF($H11="","",SUMPRODUCT(--(Checklist!$A$5:$A$500=$H11)*--(Checklist!$E$5:$E$500=J$5)))</f>
        <v/>
      </c>
      <c r="K11" t="str" cm="1">
        <f t="array" ref="K11">IF($H11="","",SUMPRODUCT(--(Checklist!$A$5:$A$500=$H11)*--(Checklist!$E$5:$E$500=K$5)))</f>
        <v/>
      </c>
      <c r="L11" t="str" cm="1">
        <f t="array" ref="L11">IF($H11="","",SUMPRODUCT(--(Checklist!$A$5:$A$500=$H11)*--(Checklist!$E$5:$E$500=L$5)))</f>
        <v/>
      </c>
      <c r="M11" t="str">
        <f t="shared" si="1"/>
        <v/>
      </c>
    </row>
    <row r="12" spans="1:13" x14ac:dyDescent="0.25">
      <c r="H12" s="16" t="str">
        <f>IF(Values!$C8="","",Values!$C8)</f>
        <v/>
      </c>
      <c r="I12" t="str" cm="1">
        <f t="array" ref="I12">IF($H12="","",SUMPRODUCT(--(Checklist!$A$5:$A$500=$H12)*--(Checklist!$E$5:$E$500=I$5)))</f>
        <v/>
      </c>
      <c r="J12" t="str" cm="1">
        <f t="array" ref="J12">IF($H12="","",SUMPRODUCT(--(Checklist!$A$5:$A$500=$H12)*--(Checklist!$E$5:$E$500=J$5)))</f>
        <v/>
      </c>
      <c r="K12" t="str" cm="1">
        <f t="array" ref="K12">IF($H12="","",SUMPRODUCT(--(Checklist!$A$5:$A$500=$H12)*--(Checklist!$E$5:$E$500=K$5)))</f>
        <v/>
      </c>
      <c r="L12" t="str" cm="1">
        <f t="array" ref="L12">IF($H12="","",SUMPRODUCT(--(Checklist!$A$5:$A$500=$H12)*--(Checklist!$E$5:$E$500=L$5)))</f>
        <v/>
      </c>
      <c r="M12" t="str">
        <f t="shared" si="1"/>
        <v/>
      </c>
    </row>
    <row r="13" spans="1:13" x14ac:dyDescent="0.25">
      <c r="I13">
        <f>SUM(I6:I12)</f>
        <v>82</v>
      </c>
      <c r="J13">
        <f t="shared" ref="J13:M13" si="3">SUM(J6:J12)</f>
        <v>0</v>
      </c>
      <c r="K13">
        <f t="shared" si="3"/>
        <v>0</v>
      </c>
      <c r="L13">
        <f t="shared" si="3"/>
        <v>0</v>
      </c>
      <c r="M13" s="16">
        <f t="shared" si="3"/>
        <v>82</v>
      </c>
    </row>
    <row r="19" spans="14:19" x14ac:dyDescent="0.25">
      <c r="O19" s="16" t="str">
        <f>Values!$B$2</f>
        <v>Not verified</v>
      </c>
      <c r="P19" s="16" t="str">
        <f>Values!$B$3</f>
        <v>Open</v>
      </c>
      <c r="Q19" s="16" t="s">
        <v>24</v>
      </c>
      <c r="R19" s="16" t="s">
        <v>22</v>
      </c>
      <c r="S19" s="16" t="s">
        <v>23</v>
      </c>
    </row>
    <row r="20" spans="14:19" x14ac:dyDescent="0.25">
      <c r="N20" s="16" t="str">
        <f>IF(Values!$C2="","",Values!$C2)</f>
        <v>Identity</v>
      </c>
      <c r="O20" cm="1">
        <f t="array" ref="O20">IF($N20="","",SUMPRODUCT(--(Checklist!$A$5:$A$500=$N20)*--(Checklist!$E$5:$E$500=O$19)))</f>
        <v>14</v>
      </c>
      <c r="P20" cm="1">
        <f t="array" ref="P20">IF($N20="","",SUMPRODUCT(--(Checklist!$A$5:$A$500=$N20)*--(Checklist!$E$5:$E$500=P$19)))</f>
        <v>0</v>
      </c>
      <c r="Q20" cm="1">
        <f t="array" ref="Q20">IF($N20="","",SUMPRODUCT(--(Checklist!$A$5:$A$500=$N20)*(--(Checklist!$E$5:$E$500=Values!$B$4)+--(Checklist!$E$5:$E$500=Values!$B$5))))</f>
        <v>0</v>
      </c>
      <c r="R20">
        <f>IF($N20="","",SUM(O20:Q20))</f>
        <v>14</v>
      </c>
      <c r="S20" s="18">
        <f>IF($N20="","",Q20/R20)</f>
        <v>0</v>
      </c>
    </row>
    <row r="21" spans="14:19" x14ac:dyDescent="0.25">
      <c r="N21" s="16" t="str">
        <f>IF(Values!$C3="","",Values!$C3)</f>
        <v>Network</v>
      </c>
      <c r="O21" cm="1">
        <f t="array" ref="O21">IF($N21="","",SUMPRODUCT(--(Checklist!$A$5:$A$500=$N21)*--(Checklist!$E$5:$E$500=O$19)))</f>
        <v>0</v>
      </c>
      <c r="P21" cm="1">
        <f t="array" ref="P21">IF($N21="","",SUMPRODUCT(--(Checklist!$A$5:$A$500=$N21)*--(Checklist!$E$5:$E$500=P$19)))</f>
        <v>0</v>
      </c>
      <c r="Q21" cm="1">
        <f t="array" ref="Q21">IF($N21="","",SUMPRODUCT(--(Checklist!$A$5:$A$500=$N21)*(--(Checklist!$E$5:$E$500=Values!$B$4)+--(Checklist!$E$5:$E$500=Values!$B$5))))</f>
        <v>0</v>
      </c>
      <c r="R21">
        <f t="shared" ref="R21:R26" si="4">IF($N21="","",SUM(O21:Q21))</f>
        <v>0</v>
      </c>
      <c r="S21" s="18" t="e">
        <f t="shared" ref="S21:S26" si="5">IF($N21="","",Q21/R21)</f>
        <v>#DIV/0!</v>
      </c>
    </row>
    <row r="22" spans="14:19" x14ac:dyDescent="0.25">
      <c r="N22" s="16" t="str">
        <f>IF(Values!$C4="","",Values!$C4)</f>
        <v>Security</v>
      </c>
      <c r="O22" cm="1">
        <f t="array" ref="O22">IF($N22="","",SUMPRODUCT(--(Checklist!$A$5:$A$500=$N22)*--(Checklist!$E$5:$E$500=O$19)))</f>
        <v>33</v>
      </c>
      <c r="P22" cm="1">
        <f t="array" ref="P22">IF($N22="","",SUMPRODUCT(--(Checklist!$A$5:$A$500=$N22)*--(Checklist!$E$5:$E$500=P$19)))</f>
        <v>0</v>
      </c>
      <c r="Q22" cm="1">
        <f t="array" ref="Q22">IF($N22="","",SUMPRODUCT(--(Checklist!$A$5:$A$500=$N22)*(--(Checklist!$E$5:$E$500=Values!$B$4)+--(Checklist!$E$5:$E$500=Values!$B$5))))</f>
        <v>0</v>
      </c>
      <c r="R22">
        <f t="shared" si="4"/>
        <v>33</v>
      </c>
      <c r="S22" s="18">
        <f t="shared" si="5"/>
        <v>0</v>
      </c>
    </row>
    <row r="23" spans="14:19" x14ac:dyDescent="0.25">
      <c r="N23" s="16" t="str">
        <f>IF(Values!$C5="","",Values!$C5)</f>
        <v>Management</v>
      </c>
      <c r="O23" cm="1">
        <f t="array" ref="O23">IF($N23="","",SUMPRODUCT(--(Checklist!$A$5:$A$500=$N23)*--(Checklist!$E$5:$E$500=O$19)))</f>
        <v>19</v>
      </c>
      <c r="P23" cm="1">
        <f t="array" ref="P23">IF($N23="","",SUMPRODUCT(--(Checklist!$A$5:$A$500=$N23)*--(Checklist!$E$5:$E$500=P$19)))</f>
        <v>0</v>
      </c>
      <c r="Q23" cm="1">
        <f t="array" ref="Q23">IF($N23="","",SUMPRODUCT(--(Checklist!$A$5:$A$500=$N23)*(--(Checklist!$E$5:$E$500=Values!$B$4)+--(Checklist!$E$5:$E$500=Values!$B$5))))</f>
        <v>0</v>
      </c>
      <c r="R23">
        <f t="shared" si="4"/>
        <v>19</v>
      </c>
      <c r="S23" s="18">
        <f t="shared" si="5"/>
        <v>0</v>
      </c>
    </row>
    <row r="24" spans="14:19" x14ac:dyDescent="0.25">
      <c r="N24" s="16" t="str">
        <f>IF(Values!$C6="","",Values!$C6)</f>
        <v>Subscriptions</v>
      </c>
      <c r="O24" cm="1">
        <f t="array" ref="O24">IF($N24="","",SUMPRODUCT(--(Checklist!$A$5:$A$500=$N24)*--(Checklist!$E$5:$E$500=O$19)))</f>
        <v>16</v>
      </c>
      <c r="P24" cm="1">
        <f t="array" ref="P24">IF($N24="","",SUMPRODUCT(--(Checklist!$A$5:$A$500=$N24)*--(Checklist!$E$5:$E$500=P$19)))</f>
        <v>0</v>
      </c>
      <c r="Q24" cm="1">
        <f t="array" ref="Q24">IF($N24="","",SUMPRODUCT(--(Checklist!$A$5:$A$500=$N24)*(--(Checklist!$E$5:$E$500=Values!$B$4)+--(Checklist!$E$5:$E$500=Values!$B$5))))</f>
        <v>0</v>
      </c>
      <c r="R24">
        <f t="shared" si="4"/>
        <v>16</v>
      </c>
      <c r="S24" s="18">
        <f t="shared" si="5"/>
        <v>0</v>
      </c>
    </row>
    <row r="25" spans="14:19" x14ac:dyDescent="0.25">
      <c r="N25" s="16" t="str">
        <f>IF(Values!$C7="","",Values!$C7)</f>
        <v/>
      </c>
      <c r="O25" t="str" cm="1">
        <f t="array" ref="O25">IF($N25="","",SUMPRODUCT(--(Checklist!$A$5:$A$500=$N25)*--(Checklist!$E$5:$E$500=O$19)))</f>
        <v/>
      </c>
      <c r="P25" t="str" cm="1">
        <f t="array" ref="P25">IF($N25="","",SUMPRODUCT(--(Checklist!$A$5:$A$500=$N25)*--(Checklist!$E$5:$E$500=P$19)))</f>
        <v/>
      </c>
      <c r="Q25" t="str" cm="1">
        <f t="array" ref="Q25">IF($N25="","",SUMPRODUCT(--(Checklist!$A$5:$A$500=$N25)*(--(Checklist!$E$5:$E$500=Values!$B$4)+--(Checklist!$E$5:$E$500=Values!$B$5))))</f>
        <v/>
      </c>
      <c r="R25" t="str">
        <f t="shared" si="4"/>
        <v/>
      </c>
      <c r="S25" s="18" t="str">
        <f t="shared" si="5"/>
        <v/>
      </c>
    </row>
    <row r="26" spans="14:19" x14ac:dyDescent="0.25">
      <c r="N26" s="16" t="str">
        <f>IF(Values!$C8="","",Values!$C8)</f>
        <v/>
      </c>
      <c r="O26" t="str" cm="1">
        <f t="array" ref="O26">IF($N26="","",SUMPRODUCT(--(Checklist!$A$5:$A$500=$N26)*--(Checklist!$E$5:$E$500=O$19)))</f>
        <v/>
      </c>
      <c r="P26" t="str" cm="1">
        <f t="array" ref="P26">IF($N26="","",SUMPRODUCT(--(Checklist!$A$5:$A$500=$N26)*--(Checklist!$E$5:$E$500=P$19)))</f>
        <v/>
      </c>
      <c r="Q26" t="str" cm="1">
        <f t="array" ref="Q26">IF($N26="","",SUMPRODUCT(--(Checklist!$A$5:$A$500=$N26)*(--(Checklist!$E$5:$E$500=Values!$B$4)+--(Checklist!$E$5:$E$500=Values!$B$5))))</f>
        <v/>
      </c>
      <c r="R26" t="str">
        <f t="shared" si="4"/>
        <v/>
      </c>
      <c r="S26" s="18" t="str">
        <f t="shared" si="5"/>
        <v/>
      </c>
    </row>
    <row r="27" spans="14:19" x14ac:dyDescent="0.25">
      <c r="O27">
        <f>SUM(O20:O26)</f>
        <v>82</v>
      </c>
      <c r="P27">
        <f>SUM(P20:P26)</f>
        <v>0</v>
      </c>
      <c r="Q27">
        <f>SUM(Q20:Q26)</f>
        <v>0</v>
      </c>
      <c r="R27" s="16">
        <f>SUM(R20:R26)</f>
        <v>82</v>
      </c>
      <c r="S27" s="19">
        <f t="shared" ref="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G221"/>
  <sheetViews>
    <sheetView showGridLines="0" tabSelected="1" zoomScale="80" zoomScaleNormal="80" workbookViewId="0">
      <selection activeCell="C5" sqref="C5"/>
    </sheetView>
  </sheetViews>
  <sheetFormatPr defaultColWidth="9" defaultRowHeight="16.5" x14ac:dyDescent="0.25"/>
  <cols>
    <col min="1" max="1" width="19" style="1" customWidth="1"/>
    <col min="2" max="2" width="16.85546875" style="1" customWidth="1"/>
    <col min="3" max="3" width="148.85546875" style="2" customWidth="1"/>
    <col min="4" max="4" width="16.140625" style="2" customWidth="1"/>
    <col min="5" max="5" width="15.140625" style="2" customWidth="1"/>
    <col min="6" max="6" width="64.5703125" style="2" customWidth="1"/>
    <col min="7" max="7" width="18.42578125" style="2" customWidth="1"/>
    <col min="8" max="16384" width="9" style="2"/>
  </cols>
  <sheetData>
    <row r="1" spans="1:7" ht="121.9" customHeight="1" x14ac:dyDescent="0.3">
      <c r="A1" s="23"/>
      <c r="B1" s="23"/>
      <c r="C1" s="15" t="s">
        <v>18</v>
      </c>
    </row>
    <row r="2" spans="1:7" s="7" customFormat="1" x14ac:dyDescent="0.25">
      <c r="A2" s="5" t="s">
        <v>0</v>
      </c>
      <c r="B2" s="6"/>
      <c r="C2" s="5"/>
      <c r="D2" s="6"/>
      <c r="E2" s="6"/>
      <c r="F2" s="6"/>
      <c r="G2" s="6"/>
    </row>
    <row r="3" spans="1:7" x14ac:dyDescent="0.25">
      <c r="A3" s="4"/>
      <c r="B3" s="4"/>
      <c r="C3" s="9"/>
      <c r="D3" s="4"/>
      <c r="E3" s="4"/>
      <c r="F3" s="4"/>
      <c r="G3" s="4"/>
    </row>
    <row r="4" spans="1:7" s="8" customFormat="1" ht="25.5" x14ac:dyDescent="0.25">
      <c r="A4" s="8" t="s">
        <v>1</v>
      </c>
      <c r="B4" s="8" t="s">
        <v>2</v>
      </c>
      <c r="C4" s="8" t="s">
        <v>3</v>
      </c>
      <c r="D4" s="8" t="s">
        <v>4</v>
      </c>
      <c r="E4" s="8" t="s">
        <v>5</v>
      </c>
      <c r="F4" s="8" t="s">
        <v>6</v>
      </c>
      <c r="G4" s="8" t="s">
        <v>19</v>
      </c>
    </row>
    <row r="5" spans="1:7" ht="16.5" customHeight="1" x14ac:dyDescent="0.25">
      <c r="A5" s="2" t="s">
        <v>14</v>
      </c>
      <c r="B5" s="2" t="s">
        <v>14</v>
      </c>
      <c r="C5" s="2" t="s">
        <v>27</v>
      </c>
      <c r="D5" s="2" t="s">
        <v>7</v>
      </c>
      <c r="E5" s="2" t="s">
        <v>8</v>
      </c>
      <c r="G5" s="21" t="s">
        <v>19</v>
      </c>
    </row>
    <row r="6" spans="1:7" ht="16.5" customHeight="1" x14ac:dyDescent="0.25">
      <c r="A6" s="2" t="s">
        <v>14</v>
      </c>
      <c r="B6" s="2" t="s">
        <v>14</v>
      </c>
      <c r="C6" s="2" t="s">
        <v>28</v>
      </c>
      <c r="D6" s="2" t="s">
        <v>7</v>
      </c>
      <c r="E6" s="2" t="s">
        <v>8</v>
      </c>
      <c r="G6" s="21" t="s">
        <v>19</v>
      </c>
    </row>
    <row r="7" spans="1:7" ht="16.5" customHeight="1" x14ac:dyDescent="0.25">
      <c r="A7" s="2" t="s">
        <v>14</v>
      </c>
      <c r="B7" s="2" t="s">
        <v>14</v>
      </c>
      <c r="C7" s="2" t="s">
        <v>29</v>
      </c>
      <c r="D7" s="2" t="s">
        <v>9</v>
      </c>
      <c r="E7" s="2" t="s">
        <v>8</v>
      </c>
      <c r="G7" s="21" t="s">
        <v>19</v>
      </c>
    </row>
    <row r="8" spans="1:7" ht="16.5" customHeight="1" x14ac:dyDescent="0.25">
      <c r="A8" s="2" t="s">
        <v>14</v>
      </c>
      <c r="B8" s="2" t="s">
        <v>14</v>
      </c>
      <c r="C8" s="2" t="s">
        <v>30</v>
      </c>
      <c r="D8" s="2" t="s">
        <v>7</v>
      </c>
      <c r="E8" s="2" t="s">
        <v>8</v>
      </c>
      <c r="F8" s="1"/>
      <c r="G8" s="21" t="s">
        <v>19</v>
      </c>
    </row>
    <row r="9" spans="1:7" ht="16.5" customHeight="1" x14ac:dyDescent="0.25">
      <c r="A9" s="2" t="s">
        <v>14</v>
      </c>
      <c r="B9" s="2" t="s">
        <v>14</v>
      </c>
      <c r="C9" s="2" t="s">
        <v>31</v>
      </c>
      <c r="D9" s="2" t="s">
        <v>10</v>
      </c>
      <c r="E9" s="2" t="s">
        <v>8</v>
      </c>
      <c r="G9" s="21" t="s">
        <v>19</v>
      </c>
    </row>
    <row r="10" spans="1:7" ht="16.5" customHeight="1" x14ac:dyDescent="0.25">
      <c r="A10" s="2" t="s">
        <v>14</v>
      </c>
      <c r="B10" s="2" t="s">
        <v>14</v>
      </c>
      <c r="C10" s="2" t="s">
        <v>32</v>
      </c>
      <c r="D10" s="2" t="s">
        <v>10</v>
      </c>
      <c r="E10" s="2" t="s">
        <v>8</v>
      </c>
      <c r="F10" s="1"/>
      <c r="G10" s="21" t="s">
        <v>19</v>
      </c>
    </row>
    <row r="11" spans="1:7" ht="16.5" customHeight="1" x14ac:dyDescent="0.25">
      <c r="A11" s="2" t="s">
        <v>14</v>
      </c>
      <c r="B11" s="2" t="s">
        <v>14</v>
      </c>
      <c r="C11" s="2" t="s">
        <v>33</v>
      </c>
      <c r="D11" s="2" t="s">
        <v>7</v>
      </c>
      <c r="E11" s="2" t="s">
        <v>8</v>
      </c>
      <c r="G11" s="21" t="s">
        <v>19</v>
      </c>
    </row>
    <row r="12" spans="1:7" ht="16.5" customHeight="1" x14ac:dyDescent="0.25">
      <c r="A12" s="2" t="s">
        <v>14</v>
      </c>
      <c r="B12" s="2" t="s">
        <v>14</v>
      </c>
      <c r="C12" s="2" t="s">
        <v>34</v>
      </c>
      <c r="D12" s="2" t="s">
        <v>10</v>
      </c>
      <c r="E12" s="2" t="s">
        <v>8</v>
      </c>
      <c r="G12" s="21" t="s">
        <v>19</v>
      </c>
    </row>
    <row r="13" spans="1:7" ht="16.5" customHeight="1" x14ac:dyDescent="0.25">
      <c r="A13" s="2" t="s">
        <v>14</v>
      </c>
      <c r="B13" s="2" t="s">
        <v>14</v>
      </c>
      <c r="C13" s="1" t="s">
        <v>35</v>
      </c>
      <c r="D13" s="2" t="s">
        <v>10</v>
      </c>
      <c r="E13" s="2" t="s">
        <v>8</v>
      </c>
      <c r="G13" s="21" t="s">
        <v>19</v>
      </c>
    </row>
    <row r="14" spans="1:7" ht="16.5" customHeight="1" x14ac:dyDescent="0.25">
      <c r="A14" s="2" t="s">
        <v>14</v>
      </c>
      <c r="B14" s="2" t="s">
        <v>14</v>
      </c>
      <c r="C14" s="2" t="s">
        <v>36</v>
      </c>
      <c r="D14" s="2" t="s">
        <v>10</v>
      </c>
      <c r="E14" s="2" t="s">
        <v>8</v>
      </c>
      <c r="G14" s="21" t="s">
        <v>19</v>
      </c>
    </row>
    <row r="15" spans="1:7" ht="16.5" customHeight="1" x14ac:dyDescent="0.25">
      <c r="A15" s="2" t="s">
        <v>14</v>
      </c>
      <c r="B15" s="2" t="s">
        <v>14</v>
      </c>
      <c r="C15" s="2" t="s">
        <v>37</v>
      </c>
      <c r="D15" s="2" t="s">
        <v>10</v>
      </c>
      <c r="E15" s="2" t="s">
        <v>8</v>
      </c>
      <c r="G15" s="21" t="s">
        <v>19</v>
      </c>
    </row>
    <row r="16" spans="1:7" ht="16.5" customHeight="1" x14ac:dyDescent="0.25">
      <c r="A16" s="2" t="s">
        <v>14</v>
      </c>
      <c r="B16" s="2" t="s">
        <v>14</v>
      </c>
      <c r="C16" s="2" t="s">
        <v>38</v>
      </c>
      <c r="D16" s="2" t="s">
        <v>10</v>
      </c>
      <c r="E16" s="2" t="s">
        <v>8</v>
      </c>
      <c r="G16" s="21" t="s">
        <v>19</v>
      </c>
    </row>
    <row r="17" spans="1:7" ht="16.5" customHeight="1" x14ac:dyDescent="0.25">
      <c r="A17" s="2" t="s">
        <v>14</v>
      </c>
      <c r="B17" s="2" t="s">
        <v>14</v>
      </c>
      <c r="C17" s="2" t="s">
        <v>39</v>
      </c>
      <c r="D17" s="2" t="s">
        <v>10</v>
      </c>
      <c r="E17" s="2" t="s">
        <v>8</v>
      </c>
      <c r="G17" s="21" t="s">
        <v>19</v>
      </c>
    </row>
    <row r="18" spans="1:7" ht="16.5" customHeight="1" x14ac:dyDescent="0.25">
      <c r="A18" s="2" t="s">
        <v>14</v>
      </c>
      <c r="B18" s="2" t="s">
        <v>14</v>
      </c>
      <c r="C18" s="2" t="s">
        <v>40</v>
      </c>
      <c r="D18" s="2" t="s">
        <v>10</v>
      </c>
      <c r="E18" s="2" t="s">
        <v>8</v>
      </c>
      <c r="G18" s="21" t="s">
        <v>19</v>
      </c>
    </row>
    <row r="19" spans="1:7" ht="16.5" customHeight="1" x14ac:dyDescent="0.25">
      <c r="A19" s="2" t="s">
        <v>41</v>
      </c>
      <c r="B19" s="2" t="s">
        <v>41</v>
      </c>
      <c r="C19" s="2" t="s">
        <v>42</v>
      </c>
      <c r="D19" s="2" t="s">
        <v>10</v>
      </c>
      <c r="E19" s="2" t="s">
        <v>8</v>
      </c>
      <c r="G19" s="21" t="s">
        <v>19</v>
      </c>
    </row>
    <row r="20" spans="1:7" ht="16.5" customHeight="1" x14ac:dyDescent="0.25">
      <c r="A20" s="2" t="s">
        <v>41</v>
      </c>
      <c r="B20" s="2" t="s">
        <v>41</v>
      </c>
      <c r="C20" s="2" t="s">
        <v>43</v>
      </c>
      <c r="D20" s="2" t="s">
        <v>10</v>
      </c>
      <c r="E20" s="2" t="s">
        <v>8</v>
      </c>
      <c r="F20" s="1"/>
      <c r="G20" s="21" t="s">
        <v>19</v>
      </c>
    </row>
    <row r="21" spans="1:7" ht="16.5" customHeight="1" x14ac:dyDescent="0.25">
      <c r="A21" s="2" t="s">
        <v>41</v>
      </c>
      <c r="B21" s="2" t="s">
        <v>41</v>
      </c>
      <c r="C21" s="2" t="s">
        <v>44</v>
      </c>
      <c r="D21" s="2" t="s">
        <v>10</v>
      </c>
      <c r="E21" s="2" t="s">
        <v>8</v>
      </c>
      <c r="G21" s="21" t="s">
        <v>19</v>
      </c>
    </row>
    <row r="22" spans="1:7" ht="16.5" customHeight="1" x14ac:dyDescent="0.25">
      <c r="A22" s="2" t="s">
        <v>41</v>
      </c>
      <c r="B22" s="2" t="s">
        <v>41</v>
      </c>
      <c r="C22" s="2" t="s">
        <v>45</v>
      </c>
      <c r="D22" s="2" t="s">
        <v>10</v>
      </c>
      <c r="E22" s="2" t="s">
        <v>8</v>
      </c>
      <c r="G22" s="21" t="s">
        <v>19</v>
      </c>
    </row>
    <row r="23" spans="1:7" ht="16.5" customHeight="1" x14ac:dyDescent="0.25">
      <c r="A23" s="2" t="s">
        <v>41</v>
      </c>
      <c r="B23" s="2" t="s">
        <v>41</v>
      </c>
      <c r="C23" s="2" t="s">
        <v>46</v>
      </c>
      <c r="D23" s="2" t="s">
        <v>10</v>
      </c>
      <c r="E23" s="2" t="s">
        <v>8</v>
      </c>
      <c r="G23" s="21" t="s">
        <v>19</v>
      </c>
    </row>
    <row r="24" spans="1:7" ht="16.5" customHeight="1" x14ac:dyDescent="0.25">
      <c r="A24" s="2" t="s">
        <v>41</v>
      </c>
      <c r="B24" s="2" t="s">
        <v>41</v>
      </c>
      <c r="C24" s="2" t="s">
        <v>47</v>
      </c>
      <c r="D24" s="2" t="s">
        <v>10</v>
      </c>
      <c r="E24" s="2" t="s">
        <v>8</v>
      </c>
      <c r="G24" s="21" t="s">
        <v>19</v>
      </c>
    </row>
    <row r="25" spans="1:7" ht="16.5" customHeight="1" x14ac:dyDescent="0.25">
      <c r="A25" s="2" t="s">
        <v>41</v>
      </c>
      <c r="B25" s="2" t="s">
        <v>41</v>
      </c>
      <c r="C25" s="2" t="s">
        <v>48</v>
      </c>
      <c r="D25" s="2" t="s">
        <v>10</v>
      </c>
      <c r="E25" s="2" t="s">
        <v>8</v>
      </c>
      <c r="G25" s="21" t="s">
        <v>19</v>
      </c>
    </row>
    <row r="26" spans="1:7" ht="16.5" customHeight="1" x14ac:dyDescent="0.25">
      <c r="A26" s="2" t="s">
        <v>41</v>
      </c>
      <c r="B26" s="2" t="s">
        <v>41</v>
      </c>
      <c r="C26" s="2" t="s">
        <v>49</v>
      </c>
      <c r="D26" s="2" t="s">
        <v>10</v>
      </c>
      <c r="E26" s="2" t="s">
        <v>8</v>
      </c>
      <c r="G26" s="21" t="s">
        <v>19</v>
      </c>
    </row>
    <row r="27" spans="1:7" ht="16.5" customHeight="1" x14ac:dyDescent="0.25">
      <c r="A27" s="2" t="s">
        <v>41</v>
      </c>
      <c r="B27" s="2" t="s">
        <v>41</v>
      </c>
      <c r="C27" s="2" t="s">
        <v>50</v>
      </c>
      <c r="D27" s="2" t="s">
        <v>7</v>
      </c>
      <c r="E27" s="2" t="s">
        <v>8</v>
      </c>
      <c r="G27" s="21" t="s">
        <v>19</v>
      </c>
    </row>
    <row r="28" spans="1:7" ht="16.5" customHeight="1" x14ac:dyDescent="0.25">
      <c r="A28" s="2" t="s">
        <v>41</v>
      </c>
      <c r="B28" s="2" t="s">
        <v>41</v>
      </c>
      <c r="C28" s="2" t="s">
        <v>51</v>
      </c>
      <c r="D28" s="2" t="s">
        <v>10</v>
      </c>
      <c r="E28" s="2" t="s">
        <v>8</v>
      </c>
      <c r="G28" s="21" t="s">
        <v>19</v>
      </c>
    </row>
    <row r="29" spans="1:7" ht="16.5" customHeight="1" x14ac:dyDescent="0.25">
      <c r="A29" s="2" t="s">
        <v>41</v>
      </c>
      <c r="B29" s="2" t="s">
        <v>41</v>
      </c>
      <c r="C29" s="2" t="s">
        <v>52</v>
      </c>
      <c r="D29" s="2" t="s">
        <v>7</v>
      </c>
      <c r="E29" s="2" t="s">
        <v>8</v>
      </c>
      <c r="G29" s="21" t="s">
        <v>19</v>
      </c>
    </row>
    <row r="30" spans="1:7" ht="16.5" customHeight="1" x14ac:dyDescent="0.25">
      <c r="A30" s="2" t="s">
        <v>41</v>
      </c>
      <c r="B30" s="2" t="s">
        <v>41</v>
      </c>
      <c r="C30" s="2" t="s">
        <v>53</v>
      </c>
      <c r="D30" s="2" t="s">
        <v>7</v>
      </c>
      <c r="E30" s="2" t="s">
        <v>8</v>
      </c>
      <c r="F30" s="1"/>
      <c r="G30" s="21" t="s">
        <v>19</v>
      </c>
    </row>
    <row r="31" spans="1:7" ht="16.5" customHeight="1" x14ac:dyDescent="0.25">
      <c r="A31" s="2" t="s">
        <v>41</v>
      </c>
      <c r="B31" s="2" t="s">
        <v>41</v>
      </c>
      <c r="C31" s="2" t="s">
        <v>54</v>
      </c>
      <c r="D31" s="2" t="s">
        <v>10</v>
      </c>
      <c r="E31" s="2" t="s">
        <v>8</v>
      </c>
      <c r="G31" s="21" t="s">
        <v>19</v>
      </c>
    </row>
    <row r="32" spans="1:7" ht="16.5" customHeight="1" x14ac:dyDescent="0.25">
      <c r="A32" s="2" t="s">
        <v>41</v>
      </c>
      <c r="B32" s="2" t="s">
        <v>41</v>
      </c>
      <c r="C32" s="2" t="s">
        <v>55</v>
      </c>
      <c r="D32" s="2" t="s">
        <v>7</v>
      </c>
      <c r="E32" s="2" t="s">
        <v>8</v>
      </c>
      <c r="G32" s="21" t="s">
        <v>19</v>
      </c>
    </row>
    <row r="33" spans="1:7" ht="16.5" customHeight="1" x14ac:dyDescent="0.25">
      <c r="A33" s="2" t="s">
        <v>41</v>
      </c>
      <c r="B33" s="2" t="s">
        <v>41</v>
      </c>
      <c r="C33" s="2" t="s">
        <v>56</v>
      </c>
      <c r="D33" s="2" t="s">
        <v>10</v>
      </c>
      <c r="E33" s="2" t="s">
        <v>8</v>
      </c>
      <c r="G33" s="21" t="s">
        <v>19</v>
      </c>
    </row>
    <row r="34" spans="1:7" ht="16.5" customHeight="1" x14ac:dyDescent="0.25">
      <c r="A34" s="2" t="s">
        <v>41</v>
      </c>
      <c r="B34" s="2" t="s">
        <v>41</v>
      </c>
      <c r="C34" s="2" t="s">
        <v>57</v>
      </c>
      <c r="D34" s="2" t="s">
        <v>10</v>
      </c>
      <c r="E34" s="2" t="s">
        <v>8</v>
      </c>
      <c r="F34" s="1"/>
      <c r="G34" s="21" t="s">
        <v>19</v>
      </c>
    </row>
    <row r="35" spans="1:7" ht="16.5" customHeight="1" x14ac:dyDescent="0.25">
      <c r="A35" s="1" t="s">
        <v>58</v>
      </c>
      <c r="B35" s="2" t="s">
        <v>59</v>
      </c>
      <c r="C35" s="2" t="s">
        <v>60</v>
      </c>
      <c r="D35" s="2" t="s">
        <v>10</v>
      </c>
      <c r="E35" s="2" t="s">
        <v>8</v>
      </c>
      <c r="G35" s="21" t="s">
        <v>19</v>
      </c>
    </row>
    <row r="36" spans="1:7" ht="16.5" customHeight="1" x14ac:dyDescent="0.25">
      <c r="A36" s="1" t="s">
        <v>58</v>
      </c>
      <c r="B36" s="2" t="s">
        <v>59</v>
      </c>
      <c r="C36" s="2" t="s">
        <v>61</v>
      </c>
      <c r="D36" s="2" t="s">
        <v>10</v>
      </c>
      <c r="E36" s="2" t="s">
        <v>8</v>
      </c>
      <c r="G36" s="21" t="s">
        <v>19</v>
      </c>
    </row>
    <row r="37" spans="1:7" ht="16.5" customHeight="1" x14ac:dyDescent="0.25">
      <c r="A37" s="1" t="s">
        <v>58</v>
      </c>
      <c r="B37" s="2" t="s">
        <v>59</v>
      </c>
      <c r="C37" s="2" t="s">
        <v>62</v>
      </c>
      <c r="D37" s="2" t="s">
        <v>10</v>
      </c>
      <c r="E37" s="2" t="s">
        <v>8</v>
      </c>
      <c r="G37" s="21" t="s">
        <v>19</v>
      </c>
    </row>
    <row r="38" spans="1:7" ht="16.5" customHeight="1" x14ac:dyDescent="0.25">
      <c r="A38" s="1" t="s">
        <v>58</v>
      </c>
      <c r="B38" s="2" t="s">
        <v>59</v>
      </c>
      <c r="C38" s="2" t="s">
        <v>63</v>
      </c>
      <c r="D38" s="2" t="s">
        <v>10</v>
      </c>
      <c r="E38" s="2" t="s">
        <v>8</v>
      </c>
      <c r="G38" s="21" t="s">
        <v>19</v>
      </c>
    </row>
    <row r="39" spans="1:7" ht="16.5" customHeight="1" x14ac:dyDescent="0.25">
      <c r="A39" s="1" t="s">
        <v>58</v>
      </c>
      <c r="B39" s="2" t="s">
        <v>59</v>
      </c>
      <c r="C39" s="2" t="s">
        <v>64</v>
      </c>
      <c r="D39" s="2" t="s">
        <v>10</v>
      </c>
      <c r="E39" s="2" t="s">
        <v>8</v>
      </c>
      <c r="G39" s="21" t="s">
        <v>19</v>
      </c>
    </row>
    <row r="40" spans="1:7" ht="16.5" customHeight="1" x14ac:dyDescent="0.25">
      <c r="A40" s="1" t="s">
        <v>58</v>
      </c>
      <c r="B40" s="2" t="s">
        <v>59</v>
      </c>
      <c r="C40" s="2" t="s">
        <v>65</v>
      </c>
      <c r="D40" s="2" t="s">
        <v>10</v>
      </c>
      <c r="E40" s="2" t="s">
        <v>8</v>
      </c>
      <c r="G40" s="21" t="s">
        <v>19</v>
      </c>
    </row>
    <row r="41" spans="1:7" ht="16.5" customHeight="1" x14ac:dyDescent="0.25">
      <c r="A41" s="1" t="s">
        <v>58</v>
      </c>
      <c r="B41" s="2" t="s">
        <v>59</v>
      </c>
      <c r="C41" s="1" t="s">
        <v>66</v>
      </c>
      <c r="D41" s="2" t="s">
        <v>10</v>
      </c>
      <c r="E41" s="2" t="s">
        <v>8</v>
      </c>
      <c r="G41" s="21" t="s">
        <v>19</v>
      </c>
    </row>
    <row r="42" spans="1:7" ht="16.5" customHeight="1" x14ac:dyDescent="0.25">
      <c r="A42" s="1" t="s">
        <v>58</v>
      </c>
      <c r="B42" s="2" t="s">
        <v>59</v>
      </c>
      <c r="C42" s="2" t="s">
        <v>67</v>
      </c>
      <c r="D42" s="2" t="s">
        <v>10</v>
      </c>
      <c r="E42" s="2" t="s">
        <v>8</v>
      </c>
      <c r="G42" s="21" t="s">
        <v>19</v>
      </c>
    </row>
    <row r="43" spans="1:7" ht="16.5" customHeight="1" x14ac:dyDescent="0.25">
      <c r="A43" s="1" t="s">
        <v>58</v>
      </c>
      <c r="B43" s="2" t="s">
        <v>59</v>
      </c>
      <c r="C43" s="2" t="s">
        <v>68</v>
      </c>
      <c r="D43" s="2" t="s">
        <v>10</v>
      </c>
      <c r="E43" s="2" t="s">
        <v>8</v>
      </c>
      <c r="G43" s="21" t="s">
        <v>19</v>
      </c>
    </row>
    <row r="44" spans="1:7" ht="16.5" customHeight="1" x14ac:dyDescent="0.25">
      <c r="A44" s="1" t="s">
        <v>58</v>
      </c>
      <c r="B44" s="2" t="s">
        <v>69</v>
      </c>
      <c r="C44" s="2" t="s">
        <v>70</v>
      </c>
      <c r="D44" s="2" t="s">
        <v>10</v>
      </c>
      <c r="E44" s="2" t="s">
        <v>8</v>
      </c>
      <c r="G44" s="21" t="s">
        <v>19</v>
      </c>
    </row>
    <row r="45" spans="1:7" ht="16.5" customHeight="1" x14ac:dyDescent="0.25">
      <c r="A45" s="1" t="s">
        <v>58</v>
      </c>
      <c r="B45" s="2" t="s">
        <v>69</v>
      </c>
      <c r="C45" s="2" t="s">
        <v>71</v>
      </c>
      <c r="D45" s="2" t="s">
        <v>10</v>
      </c>
      <c r="E45" s="2" t="s">
        <v>8</v>
      </c>
      <c r="G45" s="21" t="s">
        <v>19</v>
      </c>
    </row>
    <row r="46" spans="1:7" ht="16.5" customHeight="1" x14ac:dyDescent="0.25">
      <c r="A46" s="1" t="s">
        <v>58</v>
      </c>
      <c r="B46" s="2" t="s">
        <v>69</v>
      </c>
      <c r="C46" s="2" t="s">
        <v>72</v>
      </c>
      <c r="D46" s="2" t="s">
        <v>10</v>
      </c>
      <c r="E46" s="2" t="s">
        <v>8</v>
      </c>
      <c r="G46" s="21" t="s">
        <v>19</v>
      </c>
    </row>
    <row r="47" spans="1:7" ht="16.5" customHeight="1" x14ac:dyDescent="0.25">
      <c r="A47" s="1" t="s">
        <v>58</v>
      </c>
      <c r="B47" s="2" t="s">
        <v>69</v>
      </c>
      <c r="C47" s="2" t="s">
        <v>73</v>
      </c>
      <c r="D47" s="2" t="s">
        <v>10</v>
      </c>
      <c r="E47" s="2" t="s">
        <v>8</v>
      </c>
      <c r="G47" s="21" t="s">
        <v>19</v>
      </c>
    </row>
    <row r="48" spans="1:7" ht="16.5" customHeight="1" x14ac:dyDescent="0.25">
      <c r="A48" s="1" t="s">
        <v>58</v>
      </c>
      <c r="B48" s="2" t="s">
        <v>69</v>
      </c>
      <c r="C48" s="2" t="s">
        <v>74</v>
      </c>
      <c r="D48" s="2" t="s">
        <v>10</v>
      </c>
      <c r="E48" s="2" t="s">
        <v>8</v>
      </c>
      <c r="G48" s="21" t="s">
        <v>19</v>
      </c>
    </row>
    <row r="49" spans="1:7" ht="16.5" customHeight="1" x14ac:dyDescent="0.25">
      <c r="A49" s="1" t="s">
        <v>58</v>
      </c>
      <c r="B49" s="2" t="s">
        <v>69</v>
      </c>
      <c r="C49" s="2" t="s">
        <v>75</v>
      </c>
      <c r="D49" s="2" t="s">
        <v>10</v>
      </c>
      <c r="E49" s="2" t="s">
        <v>8</v>
      </c>
      <c r="G49" s="21" t="s">
        <v>19</v>
      </c>
    </row>
    <row r="50" spans="1:7" ht="16.5" customHeight="1" x14ac:dyDescent="0.25">
      <c r="A50" s="1" t="s">
        <v>58</v>
      </c>
      <c r="B50" s="2" t="s">
        <v>69</v>
      </c>
      <c r="C50" s="2" t="s">
        <v>76</v>
      </c>
      <c r="D50" s="2" t="s">
        <v>10</v>
      </c>
      <c r="E50" s="2" t="s">
        <v>8</v>
      </c>
      <c r="G50" s="21" t="s">
        <v>19</v>
      </c>
    </row>
    <row r="51" spans="1:7" ht="16.5" customHeight="1" x14ac:dyDescent="0.25">
      <c r="A51" s="1" t="s">
        <v>58</v>
      </c>
      <c r="B51" s="2" t="s">
        <v>69</v>
      </c>
      <c r="C51" s="2" t="s">
        <v>77</v>
      </c>
      <c r="D51" s="2" t="s">
        <v>10</v>
      </c>
      <c r="E51" s="2" t="s">
        <v>8</v>
      </c>
      <c r="G51" s="21" t="s">
        <v>19</v>
      </c>
    </row>
    <row r="52" spans="1:7" ht="16.5" customHeight="1" x14ac:dyDescent="0.25">
      <c r="A52" s="1" t="s">
        <v>58</v>
      </c>
      <c r="B52" s="2" t="s">
        <v>69</v>
      </c>
      <c r="C52" s="2" t="s">
        <v>78</v>
      </c>
      <c r="D52" s="2" t="s">
        <v>10</v>
      </c>
      <c r="E52" s="2" t="s">
        <v>8</v>
      </c>
      <c r="G52" s="21" t="s">
        <v>19</v>
      </c>
    </row>
    <row r="53" spans="1:7" ht="16.5" customHeight="1" x14ac:dyDescent="0.25">
      <c r="A53" s="1" t="s">
        <v>58</v>
      </c>
      <c r="B53" s="2" t="s">
        <v>69</v>
      </c>
      <c r="C53" s="2" t="s">
        <v>79</v>
      </c>
      <c r="D53" s="2" t="s">
        <v>10</v>
      </c>
      <c r="E53" s="2" t="s">
        <v>8</v>
      </c>
      <c r="G53" s="21" t="s">
        <v>19</v>
      </c>
    </row>
    <row r="54" spans="1:7" ht="16.5" customHeight="1" x14ac:dyDescent="0.25">
      <c r="A54" s="1" t="s">
        <v>58</v>
      </c>
      <c r="B54" s="2" t="s">
        <v>69</v>
      </c>
      <c r="C54" s="2" t="s">
        <v>80</v>
      </c>
      <c r="D54" s="2" t="s">
        <v>10</v>
      </c>
      <c r="E54" s="2" t="s">
        <v>8</v>
      </c>
      <c r="G54" s="21" t="s">
        <v>19</v>
      </c>
    </row>
    <row r="55" spans="1:7" ht="16.5" customHeight="1" x14ac:dyDescent="0.25">
      <c r="A55" s="1" t="s">
        <v>58</v>
      </c>
      <c r="B55" s="2" t="s">
        <v>69</v>
      </c>
      <c r="C55" s="2" t="s">
        <v>81</v>
      </c>
      <c r="D55" s="2" t="s">
        <v>10</v>
      </c>
      <c r="E55" s="2" t="s">
        <v>8</v>
      </c>
      <c r="G55" s="21" t="s">
        <v>19</v>
      </c>
    </row>
    <row r="56" spans="1:7" ht="16.5" customHeight="1" x14ac:dyDescent="0.25">
      <c r="A56" s="1" t="s">
        <v>58</v>
      </c>
      <c r="B56" s="2" t="s">
        <v>82</v>
      </c>
      <c r="C56" s="1" t="s">
        <v>83</v>
      </c>
      <c r="D56" s="2" t="s">
        <v>10</v>
      </c>
      <c r="E56" s="2" t="s">
        <v>8</v>
      </c>
      <c r="G56" s="21" t="s">
        <v>19</v>
      </c>
    </row>
    <row r="57" spans="1:7" ht="16.5" customHeight="1" x14ac:dyDescent="0.25">
      <c r="A57" s="1" t="s">
        <v>58</v>
      </c>
      <c r="B57" s="2" t="s">
        <v>82</v>
      </c>
      <c r="C57" s="1" t="s">
        <v>84</v>
      </c>
      <c r="D57" s="2" t="s">
        <v>10</v>
      </c>
      <c r="E57" s="2" t="s">
        <v>8</v>
      </c>
      <c r="G57" s="21" t="s">
        <v>19</v>
      </c>
    </row>
    <row r="58" spans="1:7" ht="16.5" customHeight="1" x14ac:dyDescent="0.25">
      <c r="A58" s="1" t="s">
        <v>58</v>
      </c>
      <c r="B58" s="2" t="s">
        <v>82</v>
      </c>
      <c r="C58" s="2" t="s">
        <v>85</v>
      </c>
      <c r="D58" s="2" t="s">
        <v>10</v>
      </c>
      <c r="E58" s="2" t="s">
        <v>8</v>
      </c>
      <c r="G58" s="21" t="s">
        <v>19</v>
      </c>
    </row>
    <row r="59" spans="1:7" ht="16.5" customHeight="1" x14ac:dyDescent="0.25">
      <c r="A59" s="1" t="s">
        <v>58</v>
      </c>
      <c r="B59" s="2" t="s">
        <v>82</v>
      </c>
      <c r="C59" s="1" t="s">
        <v>86</v>
      </c>
      <c r="D59" s="2" t="s">
        <v>10</v>
      </c>
      <c r="E59" s="2" t="s">
        <v>8</v>
      </c>
      <c r="G59" s="21" t="s">
        <v>19</v>
      </c>
    </row>
    <row r="60" spans="1:7" ht="16.5" customHeight="1" x14ac:dyDescent="0.25">
      <c r="A60" s="1" t="s">
        <v>58</v>
      </c>
      <c r="B60" s="2" t="s">
        <v>82</v>
      </c>
      <c r="C60" s="2" t="s">
        <v>87</v>
      </c>
      <c r="D60" s="2" t="s">
        <v>10</v>
      </c>
      <c r="E60" s="2" t="s">
        <v>8</v>
      </c>
      <c r="G60" s="21" t="s">
        <v>19</v>
      </c>
    </row>
    <row r="61" spans="1:7" ht="16.5" customHeight="1" x14ac:dyDescent="0.25">
      <c r="A61" s="1" t="s">
        <v>58</v>
      </c>
      <c r="B61" s="2" t="s">
        <v>82</v>
      </c>
      <c r="C61" s="2" t="s">
        <v>88</v>
      </c>
      <c r="D61" s="2" t="s">
        <v>10</v>
      </c>
      <c r="E61" s="2" t="s">
        <v>8</v>
      </c>
      <c r="G61" s="21" t="s">
        <v>19</v>
      </c>
    </row>
    <row r="62" spans="1:7" ht="16.5" customHeight="1" x14ac:dyDescent="0.25">
      <c r="A62" s="1" t="s">
        <v>58</v>
      </c>
      <c r="B62" s="2" t="s">
        <v>82</v>
      </c>
      <c r="C62" s="2" t="s">
        <v>89</v>
      </c>
      <c r="D62" s="2" t="s">
        <v>10</v>
      </c>
      <c r="E62" s="2" t="s">
        <v>8</v>
      </c>
      <c r="G62" s="21" t="s">
        <v>19</v>
      </c>
    </row>
    <row r="63" spans="1:7" ht="16.5" customHeight="1" x14ac:dyDescent="0.25">
      <c r="A63" s="1" t="s">
        <v>58</v>
      </c>
      <c r="B63" s="2" t="s">
        <v>82</v>
      </c>
      <c r="C63" s="2" t="s">
        <v>90</v>
      </c>
      <c r="D63" s="2" t="s">
        <v>10</v>
      </c>
      <c r="E63" s="2" t="s">
        <v>8</v>
      </c>
      <c r="G63" s="21" t="s">
        <v>19</v>
      </c>
    </row>
    <row r="64" spans="1:7" ht="16.5" customHeight="1" x14ac:dyDescent="0.25">
      <c r="A64" s="1" t="s">
        <v>58</v>
      </c>
      <c r="B64" s="2" t="s">
        <v>82</v>
      </c>
      <c r="C64" s="2" t="s">
        <v>91</v>
      </c>
      <c r="D64" s="2" t="s">
        <v>10</v>
      </c>
      <c r="E64" s="2" t="s">
        <v>8</v>
      </c>
      <c r="F64" s="1"/>
      <c r="G64" s="21" t="s">
        <v>19</v>
      </c>
    </row>
    <row r="65" spans="1:7" ht="16.5" customHeight="1" x14ac:dyDescent="0.25">
      <c r="A65" s="1" t="s">
        <v>58</v>
      </c>
      <c r="B65" s="2" t="s">
        <v>92</v>
      </c>
      <c r="C65" s="1" t="s">
        <v>93</v>
      </c>
      <c r="D65" s="2" t="s">
        <v>10</v>
      </c>
      <c r="E65" s="2" t="s">
        <v>8</v>
      </c>
      <c r="G65" s="21" t="s">
        <v>19</v>
      </c>
    </row>
    <row r="66" spans="1:7" ht="16.5" customHeight="1" x14ac:dyDescent="0.25">
      <c r="A66" s="1" t="s">
        <v>58</v>
      </c>
      <c r="B66" s="2" t="s">
        <v>92</v>
      </c>
      <c r="C66" s="2" t="s">
        <v>94</v>
      </c>
      <c r="D66" s="2" t="s">
        <v>10</v>
      </c>
      <c r="E66" s="2" t="s">
        <v>8</v>
      </c>
      <c r="G66" s="21" t="s">
        <v>19</v>
      </c>
    </row>
    <row r="67" spans="1:7" ht="16.5" customHeight="1" x14ac:dyDescent="0.25">
      <c r="A67" s="1" t="s">
        <v>58</v>
      </c>
      <c r="B67" s="2" t="s">
        <v>92</v>
      </c>
      <c r="C67" s="2" t="s">
        <v>95</v>
      </c>
      <c r="D67" s="2" t="s">
        <v>10</v>
      </c>
      <c r="E67" s="2" t="s">
        <v>8</v>
      </c>
      <c r="G67" s="21" t="s">
        <v>19</v>
      </c>
    </row>
    <row r="68" spans="1:7" ht="16.5" customHeight="1" x14ac:dyDescent="0.25">
      <c r="A68" s="1" t="s">
        <v>58</v>
      </c>
      <c r="B68" s="2" t="s">
        <v>92</v>
      </c>
      <c r="C68" s="2" t="s">
        <v>96</v>
      </c>
      <c r="D68" s="2" t="s">
        <v>10</v>
      </c>
      <c r="E68" s="2" t="s">
        <v>8</v>
      </c>
      <c r="G68" s="21" t="s">
        <v>19</v>
      </c>
    </row>
    <row r="69" spans="1:7" ht="16.5" customHeight="1" x14ac:dyDescent="0.25">
      <c r="A69" s="1" t="s">
        <v>58</v>
      </c>
      <c r="B69" s="2" t="s">
        <v>92</v>
      </c>
      <c r="C69" s="2" t="s">
        <v>97</v>
      </c>
      <c r="D69" s="2" t="s">
        <v>10</v>
      </c>
      <c r="E69" s="2" t="s">
        <v>8</v>
      </c>
      <c r="G69" s="21" t="s">
        <v>19</v>
      </c>
    </row>
    <row r="70" spans="1:7" ht="16.5" customHeight="1" x14ac:dyDescent="0.25">
      <c r="A70" s="1" t="s">
        <v>58</v>
      </c>
      <c r="B70" s="2" t="s">
        <v>92</v>
      </c>
      <c r="C70" s="2" t="s">
        <v>98</v>
      </c>
      <c r="D70" s="2" t="s">
        <v>10</v>
      </c>
      <c r="E70" s="2" t="s">
        <v>8</v>
      </c>
      <c r="G70" s="21" t="s">
        <v>19</v>
      </c>
    </row>
    <row r="71" spans="1:7" ht="16.5" customHeight="1" x14ac:dyDescent="0.25">
      <c r="A71" s="1" t="s">
        <v>58</v>
      </c>
      <c r="B71" s="2" t="s">
        <v>92</v>
      </c>
      <c r="C71" s="2" t="s">
        <v>99</v>
      </c>
      <c r="D71" s="2" t="s">
        <v>10</v>
      </c>
      <c r="E71" s="2" t="s">
        <v>8</v>
      </c>
      <c r="G71" s="21" t="s">
        <v>19</v>
      </c>
    </row>
    <row r="72" spans="1:7" ht="16.5" customHeight="1" x14ac:dyDescent="0.25">
      <c r="A72" s="1" t="s">
        <v>58</v>
      </c>
      <c r="B72" s="2" t="s">
        <v>92</v>
      </c>
      <c r="C72" s="2" t="s">
        <v>100</v>
      </c>
      <c r="D72" s="2" t="s">
        <v>10</v>
      </c>
      <c r="E72" s="2" t="s">
        <v>8</v>
      </c>
      <c r="G72" s="21" t="s">
        <v>19</v>
      </c>
    </row>
    <row r="73" spans="1:7" ht="16.5" customHeight="1" x14ac:dyDescent="0.25">
      <c r="A73" s="1" t="s">
        <v>58</v>
      </c>
      <c r="B73" s="2" t="s">
        <v>92</v>
      </c>
      <c r="C73" s="2" t="s">
        <v>101</v>
      </c>
      <c r="D73" s="2" t="s">
        <v>10</v>
      </c>
      <c r="E73" s="2" t="s">
        <v>8</v>
      </c>
      <c r="G73" s="21" t="s">
        <v>19</v>
      </c>
    </row>
    <row r="74" spans="1:7" ht="16.5" customHeight="1" x14ac:dyDescent="0.25">
      <c r="A74" s="1" t="s">
        <v>58</v>
      </c>
      <c r="B74" s="2" t="s">
        <v>92</v>
      </c>
      <c r="C74" s="2" t="s">
        <v>102</v>
      </c>
      <c r="D74" s="2" t="s">
        <v>10</v>
      </c>
      <c r="E74" s="2" t="s">
        <v>8</v>
      </c>
      <c r="G74" s="21" t="s">
        <v>19</v>
      </c>
    </row>
    <row r="75" spans="1:7" ht="16.5" customHeight="1" x14ac:dyDescent="0.25">
      <c r="A75" s="1" t="s">
        <v>58</v>
      </c>
      <c r="B75" s="2" t="s">
        <v>92</v>
      </c>
      <c r="C75" s="2" t="s">
        <v>103</v>
      </c>
      <c r="D75" s="2" t="s">
        <v>10</v>
      </c>
      <c r="E75" s="2" t="s">
        <v>8</v>
      </c>
      <c r="F75" s="1"/>
      <c r="G75" s="21" t="s">
        <v>19</v>
      </c>
    </row>
    <row r="76" spans="1:7" ht="16.5" customHeight="1" x14ac:dyDescent="0.25">
      <c r="A76" s="1" t="s">
        <v>58</v>
      </c>
      <c r="B76" s="2" t="s">
        <v>104</v>
      </c>
      <c r="C76" s="2" t="s">
        <v>105</v>
      </c>
      <c r="D76" s="2" t="s">
        <v>10</v>
      </c>
      <c r="E76" s="2" t="s">
        <v>8</v>
      </c>
      <c r="G76" s="21" t="s">
        <v>19</v>
      </c>
    </row>
    <row r="77" spans="1:7" ht="16.5" customHeight="1" x14ac:dyDescent="0.25">
      <c r="A77" s="1" t="s">
        <v>58</v>
      </c>
      <c r="B77" s="2" t="s">
        <v>104</v>
      </c>
      <c r="C77" s="2" t="s">
        <v>106</v>
      </c>
      <c r="D77" s="2" t="s">
        <v>10</v>
      </c>
      <c r="E77" s="2" t="s">
        <v>8</v>
      </c>
      <c r="G77" s="21" t="s">
        <v>19</v>
      </c>
    </row>
    <row r="78" spans="1:7" ht="16.5" customHeight="1" x14ac:dyDescent="0.25">
      <c r="A78" s="1" t="s">
        <v>58</v>
      </c>
      <c r="B78" s="2" t="s">
        <v>104</v>
      </c>
      <c r="C78" s="2" t="s">
        <v>107</v>
      </c>
      <c r="D78" s="2" t="s">
        <v>10</v>
      </c>
      <c r="E78" s="2" t="s">
        <v>8</v>
      </c>
      <c r="G78" s="21" t="s">
        <v>19</v>
      </c>
    </row>
    <row r="79" spans="1:7" ht="16.5" customHeight="1" x14ac:dyDescent="0.25">
      <c r="A79" s="1" t="s">
        <v>58</v>
      </c>
      <c r="B79" s="2" t="s">
        <v>104</v>
      </c>
      <c r="C79" s="2" t="s">
        <v>108</v>
      </c>
      <c r="D79" s="2" t="s">
        <v>10</v>
      </c>
      <c r="E79" s="2" t="s">
        <v>8</v>
      </c>
      <c r="G79" s="21" t="s">
        <v>19</v>
      </c>
    </row>
    <row r="80" spans="1:7" ht="16.5" customHeight="1" x14ac:dyDescent="0.25">
      <c r="A80" s="1" t="s">
        <v>58</v>
      </c>
      <c r="B80" s="2" t="s">
        <v>104</v>
      </c>
      <c r="C80" s="2" t="s">
        <v>109</v>
      </c>
      <c r="D80" s="2" t="s">
        <v>10</v>
      </c>
      <c r="E80" s="2" t="s">
        <v>8</v>
      </c>
      <c r="G80" s="21" t="s">
        <v>19</v>
      </c>
    </row>
    <row r="81" spans="1:7" ht="16.5" customHeight="1" x14ac:dyDescent="0.25">
      <c r="A81" s="1" t="s">
        <v>58</v>
      </c>
      <c r="B81" s="2" t="s">
        <v>104</v>
      </c>
      <c r="C81" s="1" t="s">
        <v>110</v>
      </c>
      <c r="D81" s="2" t="s">
        <v>10</v>
      </c>
      <c r="E81" s="2" t="s">
        <v>8</v>
      </c>
      <c r="G81" s="21" t="s">
        <v>19</v>
      </c>
    </row>
    <row r="82" spans="1:7" ht="16.5" customHeight="1" x14ac:dyDescent="0.25">
      <c r="A82" s="1" t="s">
        <v>58</v>
      </c>
      <c r="B82" s="2" t="s">
        <v>104</v>
      </c>
      <c r="C82" s="2" t="s">
        <v>111</v>
      </c>
      <c r="D82" s="2" t="s">
        <v>10</v>
      </c>
      <c r="E82" s="2" t="s">
        <v>8</v>
      </c>
      <c r="G82" s="14" t="s">
        <v>19</v>
      </c>
    </row>
    <row r="83" spans="1:7" ht="16.5" customHeight="1" x14ac:dyDescent="0.25">
      <c r="A83" s="1" t="s">
        <v>58</v>
      </c>
      <c r="B83" s="2" t="s">
        <v>104</v>
      </c>
      <c r="C83" s="2" t="s">
        <v>112</v>
      </c>
      <c r="D83" s="2" t="s">
        <v>10</v>
      </c>
      <c r="E83" s="2" t="s">
        <v>8</v>
      </c>
      <c r="G83" s="14" t="s">
        <v>19</v>
      </c>
    </row>
    <row r="84" spans="1:7" ht="16.5" customHeight="1" x14ac:dyDescent="0.25">
      <c r="A84" s="1" t="s">
        <v>58</v>
      </c>
      <c r="B84" s="2" t="s">
        <v>113</v>
      </c>
      <c r="C84" s="2" t="s">
        <v>114</v>
      </c>
      <c r="D84" s="2" t="s">
        <v>10</v>
      </c>
      <c r="E84" s="2" t="s">
        <v>8</v>
      </c>
      <c r="G84" s="14" t="s">
        <v>19</v>
      </c>
    </row>
    <row r="85" spans="1:7" ht="16.5" customHeight="1" x14ac:dyDescent="0.25">
      <c r="A85" s="1" t="s">
        <v>58</v>
      </c>
      <c r="B85" s="2" t="s">
        <v>113</v>
      </c>
      <c r="C85" s="1" t="s">
        <v>115</v>
      </c>
      <c r="D85" s="2" t="s">
        <v>10</v>
      </c>
      <c r="E85" s="2" t="s">
        <v>8</v>
      </c>
      <c r="G85" s="14" t="s">
        <v>19</v>
      </c>
    </row>
    <row r="86" spans="1:7" ht="16.5" customHeight="1" x14ac:dyDescent="0.25">
      <c r="A86" s="1" t="s">
        <v>58</v>
      </c>
      <c r="B86" s="2" t="s">
        <v>113</v>
      </c>
      <c r="C86" s="2" t="s">
        <v>116</v>
      </c>
      <c r="D86" s="2" t="s">
        <v>10</v>
      </c>
      <c r="E86" s="2" t="s">
        <v>8</v>
      </c>
      <c r="G86" s="14" t="s">
        <v>19</v>
      </c>
    </row>
    <row r="87" spans="1:7" ht="16.5" customHeight="1" x14ac:dyDescent="0.25">
      <c r="A87" s="1" t="s">
        <v>58</v>
      </c>
      <c r="B87" s="2" t="s">
        <v>113</v>
      </c>
      <c r="C87" s="1" t="s">
        <v>117</v>
      </c>
      <c r="D87" s="2" t="s">
        <v>10</v>
      </c>
      <c r="E87" s="2" t="s">
        <v>8</v>
      </c>
      <c r="G87" s="14" t="s">
        <v>19</v>
      </c>
    </row>
    <row r="88" spans="1:7" ht="16.5" customHeight="1" x14ac:dyDescent="0.25">
      <c r="A88" s="1" t="s">
        <v>58</v>
      </c>
      <c r="B88" s="2" t="s">
        <v>113</v>
      </c>
      <c r="C88" s="2" t="s">
        <v>118</v>
      </c>
      <c r="D88" s="2" t="s">
        <v>10</v>
      </c>
      <c r="E88" s="2" t="s">
        <v>8</v>
      </c>
      <c r="G88" s="14" t="s">
        <v>19</v>
      </c>
    </row>
    <row r="89" spans="1:7" ht="16.5" customHeight="1" x14ac:dyDescent="0.25">
      <c r="A89" s="1" t="s">
        <v>58</v>
      </c>
      <c r="B89" s="2" t="s">
        <v>113</v>
      </c>
      <c r="C89" s="2" t="s">
        <v>119</v>
      </c>
      <c r="D89" s="2" t="s">
        <v>10</v>
      </c>
      <c r="E89" s="2" t="s">
        <v>8</v>
      </c>
      <c r="G89" s="14" t="s">
        <v>19</v>
      </c>
    </row>
    <row r="90" spans="1:7" ht="16.5" customHeight="1" x14ac:dyDescent="0.25">
      <c r="A90" s="1" t="s">
        <v>58</v>
      </c>
      <c r="B90" s="2" t="s">
        <v>113</v>
      </c>
      <c r="C90" s="2" t="s">
        <v>120</v>
      </c>
      <c r="D90" s="2" t="s">
        <v>10</v>
      </c>
      <c r="E90" s="2" t="s">
        <v>8</v>
      </c>
      <c r="G90" s="14" t="s">
        <v>19</v>
      </c>
    </row>
    <row r="91" spans="1:7" ht="16.5" customHeight="1" x14ac:dyDescent="0.25">
      <c r="A91" s="1" t="s">
        <v>58</v>
      </c>
      <c r="B91" s="2" t="s">
        <v>113</v>
      </c>
      <c r="C91" s="2" t="s">
        <v>121</v>
      </c>
      <c r="D91" s="2" t="s">
        <v>10</v>
      </c>
      <c r="E91" s="2" t="s">
        <v>8</v>
      </c>
      <c r="G91" s="14" t="s">
        <v>19</v>
      </c>
    </row>
    <row r="92" spans="1:7" ht="15.75" customHeight="1" x14ac:dyDescent="0.25">
      <c r="A92" s="1" t="s">
        <v>58</v>
      </c>
      <c r="B92" s="2" t="s">
        <v>113</v>
      </c>
      <c r="C92" s="1" t="s">
        <v>122</v>
      </c>
      <c r="D92" s="2" t="s">
        <v>10</v>
      </c>
      <c r="E92" s="2" t="s">
        <v>8</v>
      </c>
      <c r="G92" s="14" t="s">
        <v>19</v>
      </c>
    </row>
    <row r="93" spans="1:7" ht="16.5" customHeight="1" x14ac:dyDescent="0.25">
      <c r="A93" s="1" t="s">
        <v>58</v>
      </c>
      <c r="B93" s="2" t="s">
        <v>123</v>
      </c>
      <c r="C93" s="2" t="s">
        <v>124</v>
      </c>
      <c r="D93" s="2" t="s">
        <v>10</v>
      </c>
      <c r="E93" s="2" t="s">
        <v>8</v>
      </c>
      <c r="G93" s="14" t="s">
        <v>19</v>
      </c>
    </row>
    <row r="94" spans="1:7" ht="16.5" customHeight="1" x14ac:dyDescent="0.25">
      <c r="A94" s="1" t="s">
        <v>58</v>
      </c>
      <c r="B94" s="2" t="s">
        <v>123</v>
      </c>
      <c r="C94" s="2" t="s">
        <v>125</v>
      </c>
      <c r="D94" s="2" t="s">
        <v>10</v>
      </c>
      <c r="E94" s="2" t="s">
        <v>8</v>
      </c>
      <c r="G94" s="14" t="s">
        <v>19</v>
      </c>
    </row>
    <row r="95" spans="1:7" ht="16.5" customHeight="1" x14ac:dyDescent="0.25">
      <c r="A95" s="1" t="s">
        <v>58</v>
      </c>
      <c r="B95" s="2" t="s">
        <v>123</v>
      </c>
      <c r="C95" s="2" t="s">
        <v>126</v>
      </c>
      <c r="D95" s="2" t="s">
        <v>10</v>
      </c>
      <c r="E95" s="2" t="s">
        <v>8</v>
      </c>
      <c r="G95" s="14" t="s">
        <v>19</v>
      </c>
    </row>
    <row r="96" spans="1:7" ht="16.5" customHeight="1" x14ac:dyDescent="0.25">
      <c r="A96" s="1" t="s">
        <v>58</v>
      </c>
      <c r="B96" s="2" t="s">
        <v>123</v>
      </c>
      <c r="C96" s="2" t="s">
        <v>127</v>
      </c>
      <c r="D96" s="2" t="s">
        <v>10</v>
      </c>
      <c r="E96" s="2" t="s">
        <v>8</v>
      </c>
      <c r="G96" s="14" t="s">
        <v>19</v>
      </c>
    </row>
    <row r="97" spans="1:7" ht="16.5" customHeight="1" x14ac:dyDescent="0.25">
      <c r="A97" s="1" t="s">
        <v>58</v>
      </c>
      <c r="B97" s="2" t="s">
        <v>123</v>
      </c>
      <c r="C97" s="2" t="s">
        <v>128</v>
      </c>
      <c r="D97" s="2" t="s">
        <v>10</v>
      </c>
      <c r="E97" s="2" t="s">
        <v>8</v>
      </c>
      <c r="G97" s="14" t="s">
        <v>19</v>
      </c>
    </row>
    <row r="98" spans="1:7" ht="16.5" customHeight="1" x14ac:dyDescent="0.25">
      <c r="A98" s="1" t="s">
        <v>58</v>
      </c>
      <c r="B98" s="2" t="s">
        <v>123</v>
      </c>
      <c r="C98" s="2" t="s">
        <v>129</v>
      </c>
      <c r="D98" s="2" t="s">
        <v>10</v>
      </c>
      <c r="E98" s="2" t="s">
        <v>8</v>
      </c>
      <c r="G98" s="14" t="s">
        <v>19</v>
      </c>
    </row>
    <row r="99" spans="1:7" ht="16.5" customHeight="1" x14ac:dyDescent="0.25">
      <c r="A99" s="1" t="s">
        <v>58</v>
      </c>
      <c r="B99" s="2" t="s">
        <v>123</v>
      </c>
      <c r="C99" s="2" t="s">
        <v>130</v>
      </c>
      <c r="D99" s="2" t="s">
        <v>10</v>
      </c>
      <c r="E99" s="2" t="s">
        <v>8</v>
      </c>
      <c r="G99" s="14" t="s">
        <v>19</v>
      </c>
    </row>
    <row r="100" spans="1:7" ht="16.5" customHeight="1" x14ac:dyDescent="0.25">
      <c r="A100" s="1" t="s">
        <v>58</v>
      </c>
      <c r="B100" s="2" t="s">
        <v>123</v>
      </c>
      <c r="C100" s="2" t="s">
        <v>131</v>
      </c>
      <c r="D100" s="2" t="s">
        <v>10</v>
      </c>
      <c r="E100" s="2" t="s">
        <v>8</v>
      </c>
      <c r="G100" s="14" t="s">
        <v>19</v>
      </c>
    </row>
    <row r="101" spans="1:7" ht="16.5" customHeight="1" x14ac:dyDescent="0.25">
      <c r="A101" s="1" t="s">
        <v>58</v>
      </c>
      <c r="B101" s="2" t="s">
        <v>132</v>
      </c>
      <c r="C101" s="2" t="s">
        <v>133</v>
      </c>
      <c r="D101" s="2" t="s">
        <v>10</v>
      </c>
      <c r="E101" s="2" t="s">
        <v>8</v>
      </c>
      <c r="G101" s="14" t="s">
        <v>19</v>
      </c>
    </row>
    <row r="102" spans="1:7" ht="16.5" customHeight="1" x14ac:dyDescent="0.25">
      <c r="A102" s="1" t="s">
        <v>58</v>
      </c>
      <c r="B102" s="2" t="s">
        <v>132</v>
      </c>
      <c r="C102" s="2" t="s">
        <v>134</v>
      </c>
      <c r="D102" s="2" t="s">
        <v>10</v>
      </c>
      <c r="E102" s="2" t="s">
        <v>8</v>
      </c>
      <c r="G102" s="14" t="s">
        <v>19</v>
      </c>
    </row>
    <row r="103" spans="1:7" ht="16.5" customHeight="1" x14ac:dyDescent="0.25">
      <c r="A103" s="1" t="s">
        <v>58</v>
      </c>
      <c r="B103" s="2" t="s">
        <v>132</v>
      </c>
      <c r="C103" s="2" t="s">
        <v>135</v>
      </c>
      <c r="D103" s="2" t="s">
        <v>10</v>
      </c>
      <c r="E103" s="2" t="s">
        <v>8</v>
      </c>
      <c r="G103" s="14" t="s">
        <v>19</v>
      </c>
    </row>
    <row r="104" spans="1:7" ht="16.5" customHeight="1" x14ac:dyDescent="0.25">
      <c r="A104" s="1" t="s">
        <v>58</v>
      </c>
      <c r="B104" s="2" t="s">
        <v>132</v>
      </c>
      <c r="C104" s="2" t="s">
        <v>136</v>
      </c>
      <c r="D104" s="2" t="s">
        <v>10</v>
      </c>
      <c r="E104" s="2" t="s">
        <v>8</v>
      </c>
      <c r="G104" s="14" t="s">
        <v>19</v>
      </c>
    </row>
    <row r="105" spans="1:7" ht="16.5" customHeight="1" x14ac:dyDescent="0.25">
      <c r="A105" s="1" t="s">
        <v>58</v>
      </c>
      <c r="B105" s="2" t="s">
        <v>132</v>
      </c>
      <c r="C105" s="2" t="s">
        <v>137</v>
      </c>
      <c r="D105" s="2" t="s">
        <v>10</v>
      </c>
      <c r="E105" s="2" t="s">
        <v>8</v>
      </c>
      <c r="G105" s="14" t="s">
        <v>19</v>
      </c>
    </row>
    <row r="106" spans="1:7" ht="16.5" customHeight="1" x14ac:dyDescent="0.25">
      <c r="A106" s="1" t="s">
        <v>58</v>
      </c>
      <c r="B106" s="2" t="s">
        <v>132</v>
      </c>
      <c r="C106" s="2" t="s">
        <v>138</v>
      </c>
      <c r="D106" s="2" t="s">
        <v>10</v>
      </c>
      <c r="E106" s="2" t="s">
        <v>8</v>
      </c>
      <c r="G106" s="14" t="s">
        <v>19</v>
      </c>
    </row>
    <row r="107" spans="1:7" ht="16.5" customHeight="1" x14ac:dyDescent="0.25">
      <c r="A107" s="1" t="s">
        <v>58</v>
      </c>
      <c r="B107" s="2" t="s">
        <v>132</v>
      </c>
      <c r="C107" s="2" t="s">
        <v>139</v>
      </c>
      <c r="D107" s="2" t="s">
        <v>10</v>
      </c>
      <c r="E107" s="2" t="s">
        <v>8</v>
      </c>
      <c r="F107" s="1"/>
      <c r="G107" s="14" t="s">
        <v>19</v>
      </c>
    </row>
    <row r="108" spans="1:7" ht="16.5" customHeight="1" x14ac:dyDescent="0.25">
      <c r="A108" s="1" t="s">
        <v>58</v>
      </c>
      <c r="B108" s="2" t="s">
        <v>140</v>
      </c>
      <c r="C108" s="2" t="s">
        <v>141</v>
      </c>
      <c r="D108" s="2" t="s">
        <v>10</v>
      </c>
      <c r="E108" s="2" t="s">
        <v>8</v>
      </c>
      <c r="G108" s="14" t="s">
        <v>19</v>
      </c>
    </row>
    <row r="109" spans="1:7" ht="16.5" customHeight="1" x14ac:dyDescent="0.25">
      <c r="A109" s="1" t="s">
        <v>58</v>
      </c>
      <c r="B109" s="2" t="s">
        <v>140</v>
      </c>
      <c r="C109" s="2" t="s">
        <v>142</v>
      </c>
      <c r="D109" s="2" t="s">
        <v>10</v>
      </c>
      <c r="E109" s="2" t="s">
        <v>8</v>
      </c>
      <c r="G109" s="14" t="s">
        <v>19</v>
      </c>
    </row>
    <row r="110" spans="1:7" ht="16.5" customHeight="1" x14ac:dyDescent="0.25">
      <c r="A110" s="1" t="s">
        <v>58</v>
      </c>
      <c r="B110" s="2" t="s">
        <v>140</v>
      </c>
      <c r="C110" s="2" t="s">
        <v>143</v>
      </c>
      <c r="D110" s="2" t="s">
        <v>10</v>
      </c>
      <c r="E110" s="2" t="s">
        <v>8</v>
      </c>
      <c r="G110" s="14" t="s">
        <v>19</v>
      </c>
    </row>
    <row r="111" spans="1:7" ht="16.5" customHeight="1" x14ac:dyDescent="0.25">
      <c r="A111" s="1" t="s">
        <v>58</v>
      </c>
      <c r="B111" s="2" t="s">
        <v>144</v>
      </c>
      <c r="C111" s="2" t="s">
        <v>145</v>
      </c>
      <c r="D111" s="2" t="s">
        <v>10</v>
      </c>
      <c r="E111" s="2" t="s">
        <v>8</v>
      </c>
      <c r="G111" s="14" t="s">
        <v>19</v>
      </c>
    </row>
    <row r="112" spans="1:7" ht="16.5" customHeight="1" x14ac:dyDescent="0.25">
      <c r="A112" s="1" t="s">
        <v>58</v>
      </c>
      <c r="B112" s="2" t="s">
        <v>144</v>
      </c>
      <c r="C112" s="2" t="s">
        <v>146</v>
      </c>
      <c r="D112" s="2" t="s">
        <v>10</v>
      </c>
      <c r="E112" s="2" t="s">
        <v>8</v>
      </c>
      <c r="G112" s="14" t="s">
        <v>19</v>
      </c>
    </row>
    <row r="113" spans="1:7" ht="16.5" customHeight="1" x14ac:dyDescent="0.25">
      <c r="A113" s="1" t="s">
        <v>58</v>
      </c>
      <c r="B113" s="2" t="s">
        <v>144</v>
      </c>
      <c r="C113" s="2" t="s">
        <v>147</v>
      </c>
      <c r="D113" s="2" t="s">
        <v>10</v>
      </c>
      <c r="E113" s="2" t="s">
        <v>8</v>
      </c>
      <c r="G113" s="14" t="s">
        <v>19</v>
      </c>
    </row>
    <row r="114" spans="1:7" ht="16.5" customHeight="1" x14ac:dyDescent="0.25">
      <c r="A114" s="1" t="s">
        <v>58</v>
      </c>
      <c r="B114" s="2" t="s">
        <v>144</v>
      </c>
      <c r="C114" s="2" t="s">
        <v>148</v>
      </c>
      <c r="D114" s="2" t="s">
        <v>10</v>
      </c>
      <c r="E114" s="2" t="s">
        <v>8</v>
      </c>
      <c r="F114" s="1"/>
      <c r="G114" s="14" t="s">
        <v>19</v>
      </c>
    </row>
    <row r="115" spans="1:7" ht="16.5" customHeight="1" x14ac:dyDescent="0.25">
      <c r="A115" s="1" t="s">
        <v>149</v>
      </c>
      <c r="B115" s="2" t="s">
        <v>15</v>
      </c>
      <c r="C115" s="2" t="s">
        <v>150</v>
      </c>
      <c r="D115" s="2" t="s">
        <v>10</v>
      </c>
      <c r="E115" s="2" t="s">
        <v>8</v>
      </c>
      <c r="G115" s="14" t="s">
        <v>19</v>
      </c>
    </row>
    <row r="116" spans="1:7" ht="16.5" customHeight="1" x14ac:dyDescent="0.25">
      <c r="A116" s="1" t="s">
        <v>149</v>
      </c>
      <c r="B116" s="2" t="s">
        <v>15</v>
      </c>
      <c r="C116" s="2" t="s">
        <v>151</v>
      </c>
      <c r="D116" s="2" t="s">
        <v>10</v>
      </c>
      <c r="E116" s="2" t="s">
        <v>8</v>
      </c>
      <c r="G116" s="14" t="s">
        <v>19</v>
      </c>
    </row>
    <row r="117" spans="1:7" ht="16.5" customHeight="1" x14ac:dyDescent="0.25">
      <c r="A117" s="1" t="s">
        <v>149</v>
      </c>
      <c r="B117" s="2" t="s">
        <v>15</v>
      </c>
      <c r="C117" s="2" t="s">
        <v>152</v>
      </c>
      <c r="D117" s="2" t="s">
        <v>10</v>
      </c>
      <c r="E117" s="2" t="s">
        <v>8</v>
      </c>
      <c r="F117" s="1"/>
      <c r="G117" s="14" t="s">
        <v>19</v>
      </c>
    </row>
    <row r="118" spans="1:7" ht="16.5" customHeight="1" x14ac:dyDescent="0.25">
      <c r="A118" s="1" t="s">
        <v>149</v>
      </c>
      <c r="B118" s="2" t="s">
        <v>15</v>
      </c>
      <c r="C118" s="2" t="s">
        <v>153</v>
      </c>
      <c r="D118" s="2" t="s">
        <v>10</v>
      </c>
      <c r="E118" s="2" t="s">
        <v>8</v>
      </c>
      <c r="G118" s="14" t="s">
        <v>19</v>
      </c>
    </row>
    <row r="119" spans="1:7" ht="16.5" customHeight="1" x14ac:dyDescent="0.25">
      <c r="A119" s="1" t="s">
        <v>149</v>
      </c>
      <c r="B119" s="2" t="s">
        <v>15</v>
      </c>
      <c r="C119" s="2" t="s">
        <v>154</v>
      </c>
      <c r="D119" s="2" t="s">
        <v>10</v>
      </c>
      <c r="E119" s="2" t="s">
        <v>8</v>
      </c>
      <c r="G119" s="14" t="s">
        <v>19</v>
      </c>
    </row>
    <row r="120" spans="1:7" ht="16.5" customHeight="1" x14ac:dyDescent="0.25">
      <c r="A120" s="1" t="s">
        <v>149</v>
      </c>
      <c r="B120" s="2" t="s">
        <v>15</v>
      </c>
      <c r="C120" s="2" t="s">
        <v>155</v>
      </c>
      <c r="D120" s="2" t="s">
        <v>10</v>
      </c>
      <c r="E120" s="2" t="s">
        <v>8</v>
      </c>
      <c r="F120" s="1"/>
      <c r="G120" s="14" t="s">
        <v>19</v>
      </c>
    </row>
    <row r="121" spans="1:7" ht="16.5" customHeight="1" x14ac:dyDescent="0.25">
      <c r="A121" s="1" t="s">
        <v>149</v>
      </c>
      <c r="B121" s="2" t="s">
        <v>15</v>
      </c>
      <c r="C121" s="2" t="s">
        <v>156</v>
      </c>
      <c r="D121" s="2" t="s">
        <v>10</v>
      </c>
      <c r="E121" s="2" t="s">
        <v>8</v>
      </c>
      <c r="G121" s="14" t="s">
        <v>19</v>
      </c>
    </row>
    <row r="122" spans="1:7" ht="16.5" customHeight="1" x14ac:dyDescent="0.25">
      <c r="A122" s="1" t="s">
        <v>149</v>
      </c>
      <c r="B122" s="2" t="s">
        <v>15</v>
      </c>
      <c r="C122" s="2" t="s">
        <v>157</v>
      </c>
      <c r="D122" s="2" t="s">
        <v>10</v>
      </c>
      <c r="E122" s="2" t="s">
        <v>8</v>
      </c>
      <c r="G122" s="14" t="s">
        <v>19</v>
      </c>
    </row>
    <row r="123" spans="1:7" ht="16.5" customHeight="1" x14ac:dyDescent="0.25">
      <c r="A123" s="1" t="s">
        <v>149</v>
      </c>
      <c r="B123" s="2" t="s">
        <v>15</v>
      </c>
      <c r="C123" s="2" t="s">
        <v>158</v>
      </c>
      <c r="D123" s="2" t="s">
        <v>10</v>
      </c>
      <c r="E123" s="2" t="s">
        <v>8</v>
      </c>
      <c r="G123" s="14" t="s">
        <v>19</v>
      </c>
    </row>
    <row r="124" spans="1:7" ht="16.5" customHeight="1" x14ac:dyDescent="0.25">
      <c r="A124" s="1" t="s">
        <v>149</v>
      </c>
      <c r="B124" s="2" t="s">
        <v>15</v>
      </c>
      <c r="C124" s="2" t="s">
        <v>159</v>
      </c>
      <c r="D124" s="2" t="s">
        <v>10</v>
      </c>
      <c r="E124" s="2" t="s">
        <v>8</v>
      </c>
      <c r="F124" s="1"/>
      <c r="G124" s="14" t="s">
        <v>19</v>
      </c>
    </row>
    <row r="125" spans="1:7" ht="16.5" customHeight="1" x14ac:dyDescent="0.25">
      <c r="A125" s="1" t="s">
        <v>149</v>
      </c>
      <c r="B125" s="2" t="s">
        <v>15</v>
      </c>
      <c r="C125" s="2" t="s">
        <v>160</v>
      </c>
      <c r="D125" s="2" t="s">
        <v>10</v>
      </c>
      <c r="E125" s="2" t="s">
        <v>8</v>
      </c>
      <c r="F125" s="1"/>
      <c r="G125" s="14" t="s">
        <v>19</v>
      </c>
    </row>
    <row r="126" spans="1:7" ht="16.5" customHeight="1" x14ac:dyDescent="0.25">
      <c r="A126" s="1" t="s">
        <v>149</v>
      </c>
      <c r="B126" s="2" t="s">
        <v>15</v>
      </c>
      <c r="C126" s="2" t="s">
        <v>161</v>
      </c>
      <c r="D126" s="2" t="s">
        <v>10</v>
      </c>
      <c r="E126" s="2" t="s">
        <v>8</v>
      </c>
      <c r="F126" s="1"/>
      <c r="G126" s="14" t="s">
        <v>19</v>
      </c>
    </row>
    <row r="127" spans="1:7" ht="16.5" customHeight="1" x14ac:dyDescent="0.25">
      <c r="A127" s="1" t="s">
        <v>149</v>
      </c>
      <c r="B127" s="2" t="s">
        <v>15</v>
      </c>
      <c r="C127" s="2" t="s">
        <v>162</v>
      </c>
      <c r="D127" s="2" t="s">
        <v>10</v>
      </c>
      <c r="E127" s="2" t="s">
        <v>8</v>
      </c>
      <c r="F127" s="1"/>
      <c r="G127" s="14" t="s">
        <v>19</v>
      </c>
    </row>
    <row r="128" spans="1:7" ht="16.5" customHeight="1" x14ac:dyDescent="0.25">
      <c r="A128" s="1" t="s">
        <v>149</v>
      </c>
      <c r="B128" s="2" t="s">
        <v>15</v>
      </c>
      <c r="C128" s="2" t="s">
        <v>163</v>
      </c>
      <c r="D128" s="2" t="s">
        <v>10</v>
      </c>
      <c r="E128" s="2" t="s">
        <v>8</v>
      </c>
      <c r="G128" s="14" t="s">
        <v>19</v>
      </c>
    </row>
    <row r="129" spans="1:7" ht="16.5" customHeight="1" x14ac:dyDescent="0.25">
      <c r="A129" s="1" t="s">
        <v>149</v>
      </c>
      <c r="B129" s="2" t="s">
        <v>15</v>
      </c>
      <c r="C129" s="2" t="s">
        <v>164</v>
      </c>
      <c r="D129" s="2" t="s">
        <v>10</v>
      </c>
      <c r="E129" s="2" t="s">
        <v>8</v>
      </c>
      <c r="F129" s="1"/>
      <c r="G129" s="14" t="s">
        <v>19</v>
      </c>
    </row>
    <row r="130" spans="1:7" ht="16.5" customHeight="1" x14ac:dyDescent="0.25">
      <c r="A130" s="1" t="s">
        <v>149</v>
      </c>
      <c r="B130" s="2" t="s">
        <v>15</v>
      </c>
      <c r="C130" s="2" t="s">
        <v>165</v>
      </c>
      <c r="D130" s="2" t="s">
        <v>10</v>
      </c>
      <c r="E130" s="2" t="s">
        <v>8</v>
      </c>
      <c r="F130" s="1"/>
      <c r="G130" s="14" t="s">
        <v>19</v>
      </c>
    </row>
    <row r="131" spans="1:7" ht="16.5" customHeight="1" x14ac:dyDescent="0.25">
      <c r="A131" s="1" t="s">
        <v>149</v>
      </c>
      <c r="B131" s="2" t="s">
        <v>15</v>
      </c>
      <c r="C131" s="2" t="s">
        <v>166</v>
      </c>
      <c r="D131" s="2" t="s">
        <v>10</v>
      </c>
      <c r="E131" s="2" t="s">
        <v>8</v>
      </c>
      <c r="F131" s="1"/>
      <c r="G131" s="14" t="s">
        <v>19</v>
      </c>
    </row>
    <row r="132" spans="1:7" ht="16.5" customHeight="1" x14ac:dyDescent="0.25">
      <c r="A132" s="1" t="s">
        <v>149</v>
      </c>
      <c r="B132" s="2" t="s">
        <v>15</v>
      </c>
      <c r="C132" s="2" t="s">
        <v>167</v>
      </c>
      <c r="D132" s="2" t="s">
        <v>10</v>
      </c>
      <c r="E132" s="2" t="s">
        <v>8</v>
      </c>
      <c r="F132" s="1"/>
      <c r="G132" s="14" t="s">
        <v>19</v>
      </c>
    </row>
    <row r="133" spans="1:7" ht="16.5" customHeight="1" x14ac:dyDescent="0.25">
      <c r="A133" s="1" t="s">
        <v>149</v>
      </c>
      <c r="B133" s="2" t="s">
        <v>15</v>
      </c>
      <c r="C133" s="2" t="s">
        <v>168</v>
      </c>
      <c r="D133" s="2" t="s">
        <v>10</v>
      </c>
      <c r="E133" s="2" t="s">
        <v>8</v>
      </c>
      <c r="G133" s="14" t="s">
        <v>19</v>
      </c>
    </row>
    <row r="134" spans="1:7" ht="16.5" customHeight="1" x14ac:dyDescent="0.25">
      <c r="A134" s="1" t="s">
        <v>16</v>
      </c>
      <c r="B134" s="2" t="s">
        <v>17</v>
      </c>
      <c r="C134" s="2" t="s">
        <v>169</v>
      </c>
      <c r="D134" s="2" t="s">
        <v>7</v>
      </c>
      <c r="E134" s="2" t="s">
        <v>8</v>
      </c>
      <c r="G134" s="14" t="s">
        <v>19</v>
      </c>
    </row>
    <row r="135" spans="1:7" ht="16.5" customHeight="1" x14ac:dyDescent="0.25">
      <c r="A135" s="1" t="s">
        <v>16</v>
      </c>
      <c r="B135" s="2" t="s">
        <v>17</v>
      </c>
      <c r="C135" s="2" t="s">
        <v>170</v>
      </c>
      <c r="D135" s="2" t="s">
        <v>10</v>
      </c>
      <c r="E135" s="2" t="s">
        <v>8</v>
      </c>
      <c r="F135" s="1"/>
      <c r="G135" s="14" t="s">
        <v>19</v>
      </c>
    </row>
    <row r="136" spans="1:7" ht="16.5" customHeight="1" x14ac:dyDescent="0.25">
      <c r="A136" s="1" t="s">
        <v>16</v>
      </c>
      <c r="B136" s="2" t="s">
        <v>17</v>
      </c>
      <c r="C136" s="2" t="s">
        <v>171</v>
      </c>
      <c r="D136" s="2" t="s">
        <v>10</v>
      </c>
      <c r="E136" s="2" t="s">
        <v>8</v>
      </c>
      <c r="G136" s="14" t="s">
        <v>19</v>
      </c>
    </row>
    <row r="137" spans="1:7" ht="16.5" customHeight="1" x14ac:dyDescent="0.25">
      <c r="A137" s="1" t="s">
        <v>16</v>
      </c>
      <c r="B137" s="2" t="s">
        <v>17</v>
      </c>
      <c r="C137" s="2" t="s">
        <v>172</v>
      </c>
      <c r="D137" s="2" t="s">
        <v>10</v>
      </c>
      <c r="E137" s="2" t="s">
        <v>8</v>
      </c>
      <c r="G137" s="14" t="s">
        <v>19</v>
      </c>
    </row>
    <row r="138" spans="1:7" ht="16.5" customHeight="1" x14ac:dyDescent="0.25">
      <c r="A138" s="1" t="s">
        <v>16</v>
      </c>
      <c r="B138" s="2" t="s">
        <v>17</v>
      </c>
      <c r="C138" s="2" t="s">
        <v>173</v>
      </c>
      <c r="D138" s="2" t="s">
        <v>10</v>
      </c>
      <c r="E138" s="2" t="s">
        <v>8</v>
      </c>
      <c r="G138" s="14" t="s">
        <v>19</v>
      </c>
    </row>
    <row r="139" spans="1:7" ht="16.5" customHeight="1" x14ac:dyDescent="0.25">
      <c r="A139" s="1" t="s">
        <v>16</v>
      </c>
      <c r="B139" s="2" t="s">
        <v>17</v>
      </c>
      <c r="C139" s="2" t="s">
        <v>174</v>
      </c>
      <c r="D139" s="2" t="s">
        <v>10</v>
      </c>
      <c r="E139" s="2" t="s">
        <v>8</v>
      </c>
      <c r="G139" s="14" t="s">
        <v>19</v>
      </c>
    </row>
    <row r="140" spans="1:7" ht="16.5" customHeight="1" x14ac:dyDescent="0.25">
      <c r="A140" s="1" t="s">
        <v>16</v>
      </c>
      <c r="B140" s="2" t="s">
        <v>17</v>
      </c>
      <c r="C140" s="2" t="s">
        <v>175</v>
      </c>
      <c r="D140" s="2" t="s">
        <v>10</v>
      </c>
      <c r="E140" s="2" t="s">
        <v>8</v>
      </c>
      <c r="G140" s="14" t="s">
        <v>19</v>
      </c>
    </row>
    <row r="141" spans="1:7" ht="16.5" customHeight="1" x14ac:dyDescent="0.25">
      <c r="A141" s="1" t="s">
        <v>16</v>
      </c>
      <c r="B141" s="2" t="s">
        <v>17</v>
      </c>
      <c r="C141" s="2" t="s">
        <v>176</v>
      </c>
      <c r="D141" s="2" t="s">
        <v>10</v>
      </c>
      <c r="E141" s="2" t="s">
        <v>8</v>
      </c>
      <c r="G141" s="14" t="s">
        <v>19</v>
      </c>
    </row>
    <row r="142" spans="1:7" ht="16.5" customHeight="1" x14ac:dyDescent="0.25">
      <c r="A142" s="1" t="s">
        <v>16</v>
      </c>
      <c r="B142" s="2" t="s">
        <v>17</v>
      </c>
      <c r="C142" s="2" t="s">
        <v>177</v>
      </c>
      <c r="D142" s="2" t="s">
        <v>10</v>
      </c>
      <c r="E142" s="2" t="s">
        <v>8</v>
      </c>
      <c r="G142" s="14" t="s">
        <v>19</v>
      </c>
    </row>
    <row r="143" spans="1:7" ht="16.5" customHeight="1" x14ac:dyDescent="0.25">
      <c r="A143" s="1" t="s">
        <v>16</v>
      </c>
      <c r="B143" s="2" t="s">
        <v>17</v>
      </c>
      <c r="C143" s="2" t="s">
        <v>178</v>
      </c>
      <c r="D143" s="2" t="s">
        <v>10</v>
      </c>
      <c r="E143" s="2" t="s">
        <v>8</v>
      </c>
      <c r="G143" s="14" t="s">
        <v>19</v>
      </c>
    </row>
    <row r="144" spans="1:7" ht="16.5" customHeight="1" x14ac:dyDescent="0.25">
      <c r="A144" s="1" t="s">
        <v>16</v>
      </c>
      <c r="B144" s="2" t="s">
        <v>17</v>
      </c>
      <c r="C144" s="2" t="s">
        <v>179</v>
      </c>
      <c r="D144" s="2" t="s">
        <v>10</v>
      </c>
      <c r="E144" s="2" t="s">
        <v>8</v>
      </c>
      <c r="G144" s="14" t="s">
        <v>19</v>
      </c>
    </row>
    <row r="145" spans="1:7" ht="16.5" customHeight="1" x14ac:dyDescent="0.25">
      <c r="A145" s="1" t="s">
        <v>16</v>
      </c>
      <c r="B145" s="2" t="s">
        <v>17</v>
      </c>
      <c r="C145" s="2" t="s">
        <v>180</v>
      </c>
      <c r="D145" s="2" t="s">
        <v>10</v>
      </c>
      <c r="E145" s="2" t="s">
        <v>8</v>
      </c>
      <c r="G145" s="14" t="s">
        <v>19</v>
      </c>
    </row>
    <row r="146" spans="1:7" ht="16.5" customHeight="1" x14ac:dyDescent="0.25">
      <c r="A146" s="1" t="s">
        <v>16</v>
      </c>
      <c r="B146" s="2" t="s">
        <v>17</v>
      </c>
      <c r="C146" s="2" t="s">
        <v>181</v>
      </c>
      <c r="D146" s="2" t="s">
        <v>10</v>
      </c>
      <c r="E146" s="2" t="s">
        <v>8</v>
      </c>
      <c r="G146" s="14" t="s">
        <v>19</v>
      </c>
    </row>
    <row r="147" spans="1:7" ht="16.5" customHeight="1" x14ac:dyDescent="0.25">
      <c r="A147" s="1" t="s">
        <v>16</v>
      </c>
      <c r="B147" s="2" t="s">
        <v>182</v>
      </c>
      <c r="C147" s="2" t="s">
        <v>183</v>
      </c>
      <c r="D147" s="2" t="s">
        <v>7</v>
      </c>
      <c r="E147" s="2" t="s">
        <v>8</v>
      </c>
      <c r="G147" s="14" t="s">
        <v>19</v>
      </c>
    </row>
    <row r="148" spans="1:7" ht="16.5" customHeight="1" x14ac:dyDescent="0.25">
      <c r="A148" s="1" t="s">
        <v>16</v>
      </c>
      <c r="B148" s="2" t="s">
        <v>182</v>
      </c>
      <c r="C148" s="2" t="s">
        <v>184</v>
      </c>
      <c r="D148" s="2" t="s">
        <v>10</v>
      </c>
      <c r="E148" s="2" t="s">
        <v>8</v>
      </c>
      <c r="G148" s="14" t="s">
        <v>19</v>
      </c>
    </row>
    <row r="149" spans="1:7" ht="16.5" customHeight="1" x14ac:dyDescent="0.25">
      <c r="A149" s="1" t="s">
        <v>16</v>
      </c>
      <c r="B149" s="2" t="s">
        <v>182</v>
      </c>
      <c r="C149" s="2" t="s">
        <v>185</v>
      </c>
      <c r="D149" s="2" t="s">
        <v>10</v>
      </c>
      <c r="E149" s="2" t="s">
        <v>8</v>
      </c>
      <c r="F149" s="1"/>
      <c r="G149" s="14" t="s">
        <v>19</v>
      </c>
    </row>
    <row r="150" spans="1:7" ht="16.5" customHeight="1" x14ac:dyDescent="0.25">
      <c r="A150" s="1" t="s">
        <v>16</v>
      </c>
      <c r="B150" s="2" t="s">
        <v>182</v>
      </c>
      <c r="C150" s="2" t="s">
        <v>186</v>
      </c>
      <c r="D150" s="2" t="s">
        <v>10</v>
      </c>
      <c r="E150" s="2" t="s">
        <v>8</v>
      </c>
      <c r="F150" s="1"/>
      <c r="G150" s="14" t="s">
        <v>19</v>
      </c>
    </row>
    <row r="151" spans="1:7" ht="16.5" customHeight="1" x14ac:dyDescent="0.25">
      <c r="A151" s="1" t="s">
        <v>16</v>
      </c>
      <c r="B151" s="2" t="s">
        <v>182</v>
      </c>
      <c r="C151" s="2" t="s">
        <v>187</v>
      </c>
      <c r="D151" s="2" t="s">
        <v>10</v>
      </c>
      <c r="E151" s="2" t="s">
        <v>8</v>
      </c>
      <c r="F151" s="1"/>
      <c r="G151" s="14" t="s">
        <v>19</v>
      </c>
    </row>
    <row r="152" spans="1:7" ht="16.5" customHeight="1" x14ac:dyDescent="0.25">
      <c r="A152" s="1" t="s">
        <v>16</v>
      </c>
      <c r="B152" s="2" t="s">
        <v>182</v>
      </c>
      <c r="C152" s="1" t="s">
        <v>188</v>
      </c>
      <c r="D152" s="2" t="s">
        <v>10</v>
      </c>
      <c r="E152" s="2" t="s">
        <v>8</v>
      </c>
      <c r="F152" s="1"/>
      <c r="G152" s="14" t="s">
        <v>19</v>
      </c>
    </row>
    <row r="153" spans="1:7" ht="16.5" customHeight="1" x14ac:dyDescent="0.25">
      <c r="A153" s="1" t="s">
        <v>16</v>
      </c>
      <c r="B153" s="2" t="s">
        <v>182</v>
      </c>
      <c r="C153" s="1" t="s">
        <v>189</v>
      </c>
      <c r="D153" s="2" t="s">
        <v>10</v>
      </c>
      <c r="E153" s="2" t="s">
        <v>8</v>
      </c>
      <c r="F153" s="1"/>
      <c r="G153" s="14" t="s">
        <v>19</v>
      </c>
    </row>
    <row r="154" spans="1:7" ht="16.5" customHeight="1" x14ac:dyDescent="0.25">
      <c r="A154" s="1" t="s">
        <v>16</v>
      </c>
      <c r="B154" s="2" t="s">
        <v>182</v>
      </c>
      <c r="C154" s="1" t="s">
        <v>190</v>
      </c>
      <c r="D154" s="2" t="s">
        <v>10</v>
      </c>
      <c r="E154" s="2" t="s">
        <v>8</v>
      </c>
      <c r="F154" s="1"/>
      <c r="G154" s="14" t="s">
        <v>19</v>
      </c>
    </row>
    <row r="155" spans="1:7" ht="16.5" customHeight="1" x14ac:dyDescent="0.25">
      <c r="A155" s="1" t="s">
        <v>16</v>
      </c>
      <c r="B155" s="2" t="s">
        <v>182</v>
      </c>
      <c r="C155" s="2" t="s">
        <v>191</v>
      </c>
      <c r="D155" s="2" t="s">
        <v>10</v>
      </c>
      <c r="E155" s="2" t="s">
        <v>8</v>
      </c>
      <c r="F155" s="1"/>
      <c r="G155" s="14" t="s">
        <v>19</v>
      </c>
    </row>
    <row r="156" spans="1:7" ht="16.5" customHeight="1" x14ac:dyDescent="0.25">
      <c r="A156" s="1" t="s">
        <v>16</v>
      </c>
      <c r="B156" s="2" t="s">
        <v>182</v>
      </c>
      <c r="C156" s="2" t="s">
        <v>192</v>
      </c>
      <c r="D156" s="2" t="s">
        <v>10</v>
      </c>
      <c r="E156" s="2" t="s">
        <v>8</v>
      </c>
      <c r="F156" s="1"/>
      <c r="G156" s="14" t="s">
        <v>19</v>
      </c>
    </row>
    <row r="157" spans="1:7" ht="16.5" customHeight="1" x14ac:dyDescent="0.25">
      <c r="A157" s="1" t="s">
        <v>16</v>
      </c>
      <c r="B157" s="2" t="s">
        <v>182</v>
      </c>
      <c r="C157" s="2" t="s">
        <v>193</v>
      </c>
      <c r="D157" s="2" t="s">
        <v>10</v>
      </c>
      <c r="E157" s="2" t="s">
        <v>8</v>
      </c>
      <c r="F157" s="1"/>
      <c r="G157" s="14" t="s">
        <v>19</v>
      </c>
    </row>
    <row r="158" spans="1:7" ht="16.5" customHeight="1" x14ac:dyDescent="0.25">
      <c r="A158" s="1" t="s">
        <v>16</v>
      </c>
      <c r="B158" s="2" t="s">
        <v>16</v>
      </c>
      <c r="C158" s="2" t="s">
        <v>194</v>
      </c>
      <c r="D158" s="2" t="s">
        <v>10</v>
      </c>
      <c r="E158" s="2" t="s">
        <v>8</v>
      </c>
      <c r="F158" s="1"/>
      <c r="G158" s="14" t="s">
        <v>19</v>
      </c>
    </row>
    <row r="159" spans="1:7" ht="16.5" customHeight="1" x14ac:dyDescent="0.25">
      <c r="A159" s="1" t="s">
        <v>16</v>
      </c>
      <c r="B159" s="2" t="s">
        <v>16</v>
      </c>
      <c r="C159" s="2" t="s">
        <v>195</v>
      </c>
      <c r="D159" s="2" t="s">
        <v>10</v>
      </c>
      <c r="E159" s="2" t="s">
        <v>8</v>
      </c>
      <c r="F159" s="1"/>
      <c r="G159" s="14" t="s">
        <v>19</v>
      </c>
    </row>
    <row r="160" spans="1:7" ht="16.5" customHeight="1" x14ac:dyDescent="0.25">
      <c r="A160" s="1" t="s">
        <v>16</v>
      </c>
      <c r="B160" s="2" t="s">
        <v>16</v>
      </c>
      <c r="C160" s="2" t="s">
        <v>196</v>
      </c>
      <c r="D160" s="2" t="s">
        <v>10</v>
      </c>
      <c r="E160" s="2" t="s">
        <v>8</v>
      </c>
      <c r="G160" s="14" t="s">
        <v>19</v>
      </c>
    </row>
    <row r="161" spans="1:7" ht="16.5" customHeight="1" x14ac:dyDescent="0.25">
      <c r="A161" s="1" t="s">
        <v>16</v>
      </c>
      <c r="B161" s="2" t="s">
        <v>16</v>
      </c>
      <c r="C161" s="2" t="s">
        <v>197</v>
      </c>
      <c r="D161" s="2" t="s">
        <v>10</v>
      </c>
      <c r="E161" s="2" t="s">
        <v>8</v>
      </c>
      <c r="G161" s="14" t="s">
        <v>19</v>
      </c>
    </row>
    <row r="162" spans="1:7" ht="16.5" customHeight="1" x14ac:dyDescent="0.25">
      <c r="A162" s="1" t="s">
        <v>16</v>
      </c>
      <c r="B162" s="2" t="s">
        <v>16</v>
      </c>
      <c r="C162" s="2" t="s">
        <v>198</v>
      </c>
      <c r="D162" s="2" t="s">
        <v>10</v>
      </c>
      <c r="E162" s="2" t="s">
        <v>8</v>
      </c>
      <c r="G162" s="14" t="s">
        <v>19</v>
      </c>
    </row>
    <row r="163" spans="1:7" ht="16.5" customHeight="1" x14ac:dyDescent="0.25">
      <c r="A163" s="1" t="s">
        <v>16</v>
      </c>
      <c r="B163" s="2" t="s">
        <v>16</v>
      </c>
      <c r="C163" s="2" t="s">
        <v>199</v>
      </c>
      <c r="D163" s="2" t="s">
        <v>10</v>
      </c>
      <c r="E163" s="2" t="s">
        <v>8</v>
      </c>
      <c r="G163" s="14" t="s">
        <v>19</v>
      </c>
    </row>
    <row r="164" spans="1:7" ht="16.5" customHeight="1" x14ac:dyDescent="0.25">
      <c r="A164" s="1" t="s">
        <v>16</v>
      </c>
      <c r="B164" s="2" t="s">
        <v>16</v>
      </c>
      <c r="C164" s="2" t="s">
        <v>200</v>
      </c>
      <c r="D164" s="2" t="s">
        <v>10</v>
      </c>
      <c r="E164" s="2" t="s">
        <v>8</v>
      </c>
      <c r="F164" s="1"/>
      <c r="G164" s="14" t="s">
        <v>19</v>
      </c>
    </row>
    <row r="165" spans="1:7" ht="16.5" customHeight="1" x14ac:dyDescent="0.25">
      <c r="A165" s="1" t="s">
        <v>16</v>
      </c>
      <c r="B165" s="2" t="s">
        <v>16</v>
      </c>
      <c r="C165" s="2" t="s">
        <v>201</v>
      </c>
      <c r="D165" s="2" t="s">
        <v>10</v>
      </c>
      <c r="E165" s="2" t="s">
        <v>8</v>
      </c>
      <c r="G165" s="14" t="s">
        <v>19</v>
      </c>
    </row>
    <row r="166" spans="1:7" ht="16.5" customHeight="1" x14ac:dyDescent="0.25">
      <c r="A166" s="1" t="s">
        <v>16</v>
      </c>
      <c r="B166" s="2" t="s">
        <v>16</v>
      </c>
      <c r="C166" s="2" t="s">
        <v>202</v>
      </c>
      <c r="D166" s="2" t="s">
        <v>10</v>
      </c>
      <c r="E166" s="2" t="s">
        <v>8</v>
      </c>
      <c r="G166" s="14" t="s">
        <v>19</v>
      </c>
    </row>
    <row r="167" spans="1:7" ht="16.5" customHeight="1" x14ac:dyDescent="0.25">
      <c r="A167" s="2"/>
      <c r="B167" s="2"/>
      <c r="G167" s="3"/>
    </row>
    <row r="168" spans="1:7" ht="16.5" customHeight="1" x14ac:dyDescent="0.25">
      <c r="A168" s="2"/>
      <c r="B168" s="2"/>
      <c r="G168" s="3"/>
    </row>
    <row r="169" spans="1:7" ht="16.5" customHeight="1" x14ac:dyDescent="0.25"/>
    <row r="170" spans="1:7" ht="16.5" customHeight="1" x14ac:dyDescent="0.25"/>
    <row r="171" spans="1:7" ht="16.5" customHeight="1" x14ac:dyDescent="0.25"/>
    <row r="172" spans="1:7" ht="16.5" customHeight="1" x14ac:dyDescent="0.25"/>
    <row r="173" spans="1:7" ht="16.5" customHeight="1" x14ac:dyDescent="0.25"/>
    <row r="174" spans="1:7" ht="16.5" customHeight="1" x14ac:dyDescent="0.25"/>
    <row r="175" spans="1:7" ht="16.5" customHeight="1" x14ac:dyDescent="0.25"/>
    <row r="176" spans="1:7"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83" ht="16.5" customHeight="1" x14ac:dyDescent="0.25"/>
    <row r="184" ht="16.5" customHeight="1" x14ac:dyDescent="0.25"/>
    <row r="185" ht="16.5" customHeight="1" x14ac:dyDescent="0.25"/>
    <row r="186" ht="16.5" customHeight="1" x14ac:dyDescent="0.25"/>
    <row r="187" ht="16.5" customHeight="1" x14ac:dyDescent="0.25"/>
    <row r="188" ht="16.5" customHeight="1" x14ac:dyDescent="0.25"/>
    <row r="189" ht="16.5" customHeight="1" x14ac:dyDescent="0.25"/>
    <row r="190" ht="16.5" customHeight="1" x14ac:dyDescent="0.25"/>
    <row r="191" ht="16.5" customHeight="1" x14ac:dyDescent="0.25"/>
    <row r="192" ht="16.5" customHeight="1" x14ac:dyDescent="0.25"/>
    <row r="193" ht="16.5" customHeight="1" x14ac:dyDescent="0.25"/>
    <row r="194" ht="16.5" customHeight="1" x14ac:dyDescent="0.25"/>
    <row r="195" ht="16.5" customHeight="1" x14ac:dyDescent="0.25"/>
    <row r="196" ht="16.5" customHeight="1" x14ac:dyDescent="0.25"/>
    <row r="197" ht="16.5" customHeight="1" x14ac:dyDescent="0.25"/>
    <row r="198" ht="16.5" customHeight="1" x14ac:dyDescent="0.25"/>
    <row r="199" ht="16.5" customHeight="1" x14ac:dyDescent="0.25"/>
    <row r="200" ht="16.5" customHeight="1" x14ac:dyDescent="0.25"/>
    <row r="201" ht="16.5" customHeight="1" x14ac:dyDescent="0.25"/>
    <row r="202" ht="16.5" customHeight="1" x14ac:dyDescent="0.25"/>
    <row r="203" ht="16.5" customHeight="1" x14ac:dyDescent="0.25"/>
    <row r="204" ht="16.5" customHeight="1" x14ac:dyDescent="0.25"/>
    <row r="205" ht="16.5" customHeight="1" x14ac:dyDescent="0.25"/>
    <row r="206" ht="16.5" customHeight="1" x14ac:dyDescent="0.25"/>
    <row r="207" ht="16.5" customHeight="1" x14ac:dyDescent="0.25"/>
    <row r="208" ht="16.5" customHeight="1" x14ac:dyDescent="0.25"/>
    <row r="209" ht="16.5" customHeight="1" x14ac:dyDescent="0.25"/>
    <row r="210" ht="16.5" customHeight="1" x14ac:dyDescent="0.25"/>
    <row r="211" ht="16.5" customHeight="1" x14ac:dyDescent="0.25"/>
    <row r="212" ht="16.5" customHeight="1" x14ac:dyDescent="0.25"/>
    <row r="213" ht="16.5" customHeight="1" x14ac:dyDescent="0.25"/>
    <row r="214" ht="16.5" customHeight="1" x14ac:dyDescent="0.25"/>
    <row r="215" ht="16.5" customHeight="1" x14ac:dyDescent="0.25"/>
    <row r="216" ht="16.5" customHeight="1" x14ac:dyDescent="0.25"/>
    <row r="217" ht="16.5" customHeight="1" x14ac:dyDescent="0.25"/>
    <row r="218" ht="16.5" customHeight="1" x14ac:dyDescent="0.25"/>
    <row r="219" ht="16.5" customHeight="1" x14ac:dyDescent="0.25"/>
    <row r="220" ht="16.5" customHeight="1" x14ac:dyDescent="0.25"/>
    <row r="221" ht="16.5" customHeight="1" x14ac:dyDescent="0.25"/>
  </sheetData>
  <autoFilter ref="A4:G168" xr:uid="{40A4B7A3-F207-4AF4-8579-95FFC9A7072F}"/>
  <mergeCells count="1">
    <mergeCell ref="A1:B1"/>
  </mergeCells>
  <conditionalFormatting sqref="E117:E119 E85:E86">
    <cfRule type="cellIs" dxfId="74" priority="176" operator="equal">
      <formula>"Fulfilled"</formula>
    </cfRule>
    <cfRule type="cellIs" dxfId="73" priority="185" operator="equal">
      <formula>"Not verified"</formula>
    </cfRule>
    <cfRule type="cellIs" dxfId="72" priority="219" operator="equal">
      <formula>"Fullfilled"</formula>
    </cfRule>
    <cfRule type="cellIs" dxfId="71" priority="220" operator="equal">
      <formula>"N/A"</formula>
    </cfRule>
    <cfRule type="cellIs" dxfId="70" priority="221" operator="equal">
      <formula>"Open"</formula>
    </cfRule>
  </conditionalFormatting>
  <conditionalFormatting sqref="F6:F18">
    <cfRule type="cellIs" dxfId="69" priority="166" operator="equal">
      <formula>"Fulfilled"</formula>
    </cfRule>
    <cfRule type="cellIs" dxfId="68" priority="167" operator="equal">
      <formula>"Not verified"</formula>
    </cfRule>
    <cfRule type="cellIs" dxfId="67" priority="168" operator="equal">
      <formula>"Fullfilled"</formula>
    </cfRule>
    <cfRule type="cellIs" dxfId="66" priority="169" operator="equal">
      <formula>"N/A"</formula>
    </cfRule>
    <cfRule type="cellIs" dxfId="6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27" r:id="rId1" tooltip="https://docs.microsoft.com/azure/governance/management-groups/overview" xr:uid="{12BFBE1E-F1A0-4694-848D-445173FA019D}"/>
    <hyperlink ref="G10" r:id="rId2" tooltip="https://docs.microsoft.com/azure/active-directory/privileged-identity-management/pim-configure" xr:uid="{9EFE1196-B58E-4902-B407-B681E9CBB9D4}"/>
    <hyperlink ref="G55" display="More info" xr:uid="{5C5659C4-9B65-4BFE-A718-15DED5745361}"/>
    <hyperlink ref="G8" r:id="rId3" tooltip="https://docs.microsoft.com/azure/active-directory/authentication/concept-mfa-howitworks" xr:uid="{E3824F40-6E7B-4830-AC30-8A6886EADD3A}"/>
    <hyperlink ref="G9" r:id="rId4" tooltip="https://docs.microsoft.com/azure/role-based-access-control/overview" xr:uid="{FA9277F9-72A1-4567-B24B-AABE2221253A}"/>
    <hyperlink ref="G11" r:id="rId5" tooltip="https://docs.microsoft.com/azure/active-directory-b2c/user-overview" xr:uid="{B51C915A-D39C-42C3-872A-0C1A6420355C}"/>
    <hyperlink ref="G19" r:id="rId6" tooltip="https://docs.microsoft.com/azure/governance/management-groups/overview" xr:uid="{1CE5AE29-633B-42A7-96DE-8C737F1079F3}"/>
    <hyperlink ref="G70" r:id="rId7" tooltip="https://docs.microsoft.com/azure/expressroute/expressroute-routing" xr:uid="{A23A886B-D63A-4B6C-A511-4230B6C9839A}"/>
    <hyperlink ref="G21" r:id="rId8" tooltip="https://docs.microsoft.com/azure/governance/management-groups/overview" xr:uid="{EA90C2CF-0EA4-41DF-ABA4-72B082D3A146}"/>
    <hyperlink ref="G22" r:id="rId9" tooltip="https://docs.microsoft.com/azure/governance/management-groups/overview" xr:uid="{CF1FF0FB-7520-4308-9253-D6568663945C}"/>
    <hyperlink ref="G23" r:id="rId10" tooltip="https://docs.microsoft.com/azure/governance/management-groups/overview" xr:uid="{7718847B-A888-4492-B510-466DCA1294E8}"/>
    <hyperlink ref="G30" r:id="rId11" tooltip="https://docs.microsoft.com/azure/architecture/framework/scalability/design-capacity" xr:uid="{3608799E-7EB3-4CCF-A550-F96257C3F3C6}"/>
    <hyperlink ref="G29" r:id="rId12" tooltip="https://docs.microsoft.com/azure/cost-management-billing/reservations/save-compute-costs-reservations" xr:uid="{45229ED7-9A48-4D92-AA85-1721CEB55F33}"/>
    <hyperlink ref="G28" r:id="rId13" tooltip="https://docs.microsoft.com/azure/azure-resource-manager/management/azure-subscription-service-limits" xr:uid="{4422B52B-7AFC-4C01-A341-F50E924F13BD}"/>
    <hyperlink ref="G26" r:id="rId14" tooltip="https://docs.microsoft.com/azure/governance/management-groups/overview" xr:uid="{B9C065E5-D812-472E-AB44-14A898555CA1}"/>
    <hyperlink ref="G31" r:id="rId15" tooltip="https://azure.microsoft.com/global-infrastructure/services/" xr:uid="{15B67C6C-FC2F-40BD-9C33-0D0A9543313D}"/>
    <hyperlink ref="G32" r:id="rId16" tooltip="https://docs.microsoft.com/azure/cost-management-billing/cost-management-billing-overview" xr:uid="{95299A1B-57C6-4552-AF06-47F7BDA527ED}"/>
    <hyperlink ref="G33" r:id="rId17" tooltip="https://docs.microsoft.com/azure/governance/management-groups/overview" xr:uid="{A8775D02-A897-4B34-AB67-B51C7BE57DD4}"/>
    <hyperlink ref="G49" r:id="rId18" tooltip="https://docs.microsoft.com/azure/virtual-wan/virtual-wan-about" xr:uid="{0E81662B-D48E-40D2-BC5F-A3ACCF4C2C29}"/>
    <hyperlink ref="G38" r:id="rId19" tooltip="https://docs.microsoft.com/azure/cloud-adoption-framework/ready/azure-best-practices/plan-for-ip-addressing" xr:uid="{1BFC620C-A96D-462D-A32C-ABC945A8C877}"/>
    <hyperlink ref="G39" r:id="rId20" tooltip="https://docs.microsoft.com/azure/virtual-network/virtual-networks-name-resolution-for-vms-and-role-instances" xr:uid="{25C3978E-4B00-4603-986E-9D33C31EDA98}"/>
    <hyperlink ref="G41" r:id="rId21" tooltip="https://docs.microsoft.com/azure/virtual-network/virtual-networks-name-resolution-for-vms-and-role-instances" xr:uid="{D4F0C3A9-273D-46E3-90CB-37591C284928}"/>
    <hyperlink ref="G43" display="More info" xr:uid="{5B484FB0-7E82-4CC9-9765-4C1DD08587E6}"/>
    <hyperlink ref="G42" r:id="rId22" tooltip="https://docs.microsoft.com/azure/virtual-network/virtual-networks-name-resolution-for-vms-and-role-instances" xr:uid="{24303444-234C-4A2C-A461-F4701709F17F}"/>
    <hyperlink ref="G52" r:id="rId23" tooltip="https://docs.microsoft.com/azure/virtual-wan/virtual-wan-about" xr:uid="{9EDAA9EC-CE52-4991-B340-716CDED3BDDE}"/>
    <hyperlink ref="G51" r:id="rId24" tooltip="https://docs.microsoft.com/azure/virtual-wan/virtual-wan-about" xr:uid="{43699A95-2A02-41AD-BB36-036FF56EA7B9}"/>
    <hyperlink ref="G53" r:id="rId25" tooltip="https://docs.microsoft.com/azure/virtual-wan/virtual-wan-about" xr:uid="{FCF63A72-DBCC-47EE-B733-17A6DF65488D}"/>
    <hyperlink ref="G54" r:id="rId26" tooltip="https://docs.microsoft.com/azure/virtual-wan/virtual-wan-about" xr:uid="{A42B9948-F9BF-491A-839E-C33A2246AD5D}"/>
    <hyperlink ref="G36" r:id="rId27" tooltip="https://docs.microsoft.com/azure/cloud-adoption-framework/ready/azure-best-practices/plan-for-ip-addressing" xr:uid="{D02E6330-BE0D-4F33-BB82-76A9261287A0}"/>
    <hyperlink ref="G35" r:id="rId28" tooltip="https://docs.microsoft.com/azure/cloud-adoption-framework/ready/azure-best-practices/plan-for-ip-addressing" xr:uid="{E005629C-5EBC-4BA7-85B7-4A76F5BE4DBA}"/>
    <hyperlink ref="G50" r:id="rId29" tooltip="https://docs.microsoft.com/azure/virtual-wan/virtual-wan-about" xr:uid="{A77B8A61-BC52-40C0-B1A3-61529A8C70AC}"/>
    <hyperlink ref="G56" r:id="rId30" tooltip="https://docs.microsoft.com/azure/cloud-adoption-framework/ready/enterprise-scale/network-topology-and-connectivity" xr:uid="{ECBAE105-09C0-4BFF-9942-D06EFF7D831D}"/>
    <hyperlink ref="G57" r:id="rId31" tooltip="https://docs.microsoft.com/azure/architecture/reference-architectures/hybrid-networking/expressroute" xr:uid="{EF2EDD23-B16C-4689-981D-A29231B42D36}"/>
    <hyperlink ref="G58" r:id="rId32" tooltip="https://docs.microsoft.com/azure/cloud-adoption-framework/ready/enterprise-scale/network-topology-and-connectivity" xr:uid="{69EB48AD-796B-48C3-9C55-C2BE02FC0FA3}"/>
    <hyperlink ref="G24" r:id="rId33" tooltip="https://docs.microsoft.com/azure/governance/management-groups/overview" xr:uid="{699ED637-9389-4AB0-96B8-EBE8CF83A1C4}"/>
    <hyperlink ref="G18" r:id="rId34" tooltip="https://docs.microsoft.com/azure/active-directory/app-proxy/application-proxy" xr:uid="{F4DBBF51-E6E0-4B93-B6E5-CC8551FE97A4}"/>
    <hyperlink ref="G80" r:id="rId35" tooltip="https://docs.microsoft.com/azure/app-service/networking-features" xr:uid="{92B22801-6F11-4CC0-86C0-D320D4370395}"/>
    <hyperlink ref="G81" r:id="rId36" tooltip="https://docs.microsoft.com/azure/app-service/networking-features" xr:uid="{3A7AACBE-8C73-4A95-A417-82A15D300D90}"/>
    <hyperlink ref="G79" r:id="rId37" tooltip="https://docs.microsoft.com/azure/app-service/networking-features" xr:uid="{CE3BFC77-AF01-46FC-8047-16DAFE7657E9}"/>
    <hyperlink ref="G78" r:id="rId38" tooltip="https://docs.microsoft.com/azure/app-service/networking-features" xr:uid="{6A8DDA81-39C9-457D-A995-BB3BD11D863C}"/>
    <hyperlink ref="G76" r:id="rId39" tooltip="https://docs.microsoft.com/azure/networking/" xr:uid="{B6AB48A1-D8EF-461B-994B-86DBB49CB7EB}"/>
    <hyperlink ref="G75" r:id="rId40" tooltip="https://docs.microsoft.com/azure/networking/" xr:uid="{19E1408D-2646-43B0-93AD-0C65E134EDDC}"/>
    <hyperlink ref="G73" r:id="rId41" tooltip="https://docs.microsoft.com/azure/networking/" xr:uid="{B3CA0976-D270-46EC-B8F3-25090B2DFB19}"/>
    <hyperlink ref="G72" r:id="rId42" tooltip="https://docs.microsoft.com/azure/networking/" xr:uid="{9B4A134A-8A68-42A8-819F-30F081C2F1A2}"/>
    <hyperlink ref="G60" r:id="rId43" tooltip="https://azure.microsoft.com/solutions/network-appliances/" xr:uid="{47917D35-001F-4B68-897C-B068AC9EAF53}"/>
    <hyperlink ref="G59" r:id="rId44" tooltip="https://azure.microsoft.com/solutions/network-appliances/" xr:uid="{BA1A5450-444A-445B-913F-3D2EFEA0BA6F}"/>
    <hyperlink ref="G61" r:id="rId45" tooltip="https://docs.microsoft.com/azure/expressroute/expressroute-faqs" xr:uid="{D3CC8ADD-A590-43E4-9252-DBD7772D0A09}"/>
    <hyperlink ref="G63" r:id="rId46" tooltip="https://docs.microsoft.com/azure/expressroute/expressroute-faqs" xr:uid="{F582FF1B-76E4-460E-B31D-53A99A690187}"/>
    <hyperlink ref="G13" r:id="rId47" tooltip="https://docs.microsoft.com/azure/role-based-access-control/custom-roles" xr:uid="{B002E8A4-1D17-47CF-9A23-D61C594C8ACC}"/>
    <hyperlink ref="G15" r:id="rId48" tooltip="https://docs.microsoft.com/azure/active-directory-domain-services/overview" xr:uid="{3E4FCCFA-97DF-4199-9E51-CFBF90803E56}"/>
    <hyperlink ref="G14" r:id="rId49" tooltip="https://azure.microsoft.com/resources/achieving-compliant-data-residency-and-security-with-azure/" xr:uid="{721C2245-52A0-4F37-A529-42D15D2F33CE}"/>
    <hyperlink ref="G17" r:id="rId50" tooltip="https://docs.microsoft.com/azure/architecture/reference-architectures/identity/adds-extend-domain" xr:uid="{ED855600-75A6-4C02-A656-1A8DFF7D5424}"/>
    <hyperlink ref="G16" r:id="rId51" tooltip="https://docs.microsoft.com/azure/active-directory-domain-services/overview" xr:uid="{2A53BF92-EEB0-4ADA-8061-2FFFB82F1232}"/>
    <hyperlink ref="G62" r:id="rId52" tooltip="https://docs.microsoft.com/azure/expressroute/expressroute-faqs" xr:uid="{94F88D20-CED3-4A1E-8C18-8259898C7CDC}"/>
    <hyperlink ref="G74" r:id="rId53" tooltip="https://docs.microsoft.com/azure/networking/" xr:uid="{AC98B02A-8281-4424-AA2A-C0CD79C8103A}"/>
    <hyperlink ref="G44" r:id="rId54" tooltip="https://docs.microsoft.com/azure/virtual-wan/virtual-wan-about" xr:uid="{66DA32C4-48C9-4055-8836-CE97BD00DDFB}"/>
    <hyperlink ref="G64" r:id="rId55" tooltip="https://docs.microsoft.com/azure/azure-monitor/insights/network-insights-overview" xr:uid="{21FA06D6-1B33-4CC4-BFDD-6AA1144C358B}"/>
    <hyperlink ref="G37" r:id="rId56" tooltip="https://docs.microsoft.com/azure/cloud-adoption-framework/ready/azure-best-practices/plan-for-ip-addressing" xr:uid="{F551A76B-EE5A-48B6-BA1C-BAABFF5E9B1D}"/>
    <hyperlink ref="G47" r:id="rId57" tooltip="https://docs.microsoft.com/azure/virtual-wan/virtual-wan-about" xr:uid="{B94B4283-C5A5-46BC-95BB-D0B38DCA22EE}"/>
    <hyperlink ref="G34" r:id="rId58" tooltip="https://docs.microsoft.com/azure/cloud-adoption-framework/decision-guides/resource-tagging/?toc=/azure/azure-resource-manager/management/toc.json" xr:uid="{3C133244-5EFD-40A9-8E26-E9F15AD32579}"/>
    <hyperlink ref="G48" r:id="rId59" tooltip="https://docs.microsoft.com/azure/virtual-wan/virtual-wan-about" xr:uid="{7BE3FCAA-269D-407A-AEAD-F6FCF1BB46EC}"/>
    <hyperlink ref="G20" r:id="rId60" tooltip="https://docs.microsoft.com/azure/cloud-adoption-framework/decision-guides/resource-tagging/?toc=/azure/azure-resource-manager/management/toc.json" xr:uid="{F5A18AC6-9595-4F3C-8843-32D0BF1ACCB9}"/>
    <hyperlink ref="G7" r:id="rId61" tooltip="https://docs.microsoft.com/azure/active-directory/conditional-access/overview" xr:uid="{DACDCE51-C78B-4A2D-AF4E-48336FE2B7BE}"/>
    <hyperlink ref="G45" r:id="rId62" tooltip="https://docs.microsoft.com/azure/virtual-wan/virtual-wan-about" xr:uid="{9A43BD96-0C36-4852-AAF3-61770A05F4C5}"/>
    <hyperlink ref="G40" r:id="rId63" tooltip="https://docs.microsoft.com/azure/virtual-network/virtual-networks-name-resolution-for-vms-and-role-instances" xr:uid="{72E8CAFA-EAB6-49B5-A5F9-41BF24C6657D}"/>
    <hyperlink ref="G46" r:id="rId64" tooltip="https://docs.microsoft.com/azure/virtual-wan/virtual-wan-about" xr:uid="{2681D468-22CD-4C78-B914-FD098108E348}"/>
    <hyperlink ref="G12" r:id="rId65" tooltip="https://docs.microsoft.com/azure/active-directory/fundamentals/active-directory-groups-create-azure-portal" xr:uid="{3FC237EF-03D7-41BB-AE2D-22505A16748D}"/>
    <hyperlink ref="G25" r:id="rId66" tooltip="https://docs.microsoft.com/azure/governance/management-groups/overview" xr:uid="{AD1BE910-0C02-4870-B2DA-23A0218CD2B9}"/>
    <hyperlink ref="G5" r:id="rId67" tooltip="https://docs.microsoft.com/azure/active-directory/roles/security-emergency-access" xr:uid="{6B313387-13DB-42AA-A1B5-F659766AD0D7}"/>
    <hyperlink ref="G6" r:id="rId68" tooltip="https://docs.microsoft.com/azure/role-based-access-control/overview" xr:uid="{28D5C3F5-637C-4AAD-9355-1B595D80E221}"/>
    <hyperlink ref="G77" r:id="rId69" tooltip="https://docs.microsoft.com/azure/app-service/networking-features" xr:uid="{E5D98D8B-87FB-4632-AD5B-8B02679576AE}"/>
    <hyperlink ref="G71" r:id="rId70" tooltip="https://docs.microsoft.com/azure/expressroute/expressroute-routing" xr:uid="{87FFE3BD-F066-49AF-A6CE-23DF0E6EE4F9}"/>
    <hyperlink ref="G69" r:id="rId71" tooltip="https://docs.microsoft.com/azure/networking/" xr:uid="{8099B1CA-928D-436A-85C4-2716C0FBF363}"/>
    <hyperlink ref="G68" r:id="rId72" tooltip="https://docs.microsoft.com/azure/expressroute/expressroute-about-virtual-network-gateways" xr:uid="{DCD138EC-C867-44ED-A1EC-86CE6FD6D7E6}"/>
    <hyperlink ref="G67" r:id="rId73" tooltip="https://docs.microsoft.com/azure/expressroute/expressroute-routing" xr:uid="{DDF8EC48-5F2D-4DD8-AB30-BCA764F6C32A}"/>
    <hyperlink ref="G66" r:id="rId74" tooltip="https://docs.microsoft.com/azure/expressroute/expressroute-routing" xr:uid="{1BBCEC40-6C1C-4809-A98D-9774CD3CBFAF}"/>
    <hyperlink ref="G65" r:id="rId75" tooltip="https://docs.microsoft.com/azure/architecture/reference-architectures/hybrid-networking/hub-spoke?tabs=cli" xr:uid="{A07FB87D-C281-4789-8D1B-99A541B34A7F}"/>
    <hyperlink ref="G82" r:id="rId76" tooltip="https://docs.microsoft.com/azure/app-service/networking-features" xr:uid="{DA9F2A7C-4286-42DA-B572-1ACE083D2730}"/>
    <hyperlink ref="G83" r:id="rId77" tooltip="https://docs.microsoft.com/azure/app-service/networking-features" xr:uid="{3D6C5AE9-6583-4E47-B8EF-3F43F420F491}"/>
    <hyperlink ref="G84" r:id="rId78" tooltip="https://docs.microsoft.com/azure/app-service/networking-features" xr:uid="{4D22D83C-BFF4-4DC0-9C5B-5C5898DF3F49}"/>
    <hyperlink ref="G85" r:id="rId79" tooltip="https://docs.microsoft.com/azure/firewall/" xr:uid="{D3EF6F56-4E90-4B15-B13F-2D7996960EBD}"/>
    <hyperlink ref="G86" r:id="rId80" tooltip="https://docs.microsoft.com/azure/firewall/" xr:uid="{3104A62D-330E-42E7-8B71-924EC73B907D}"/>
    <hyperlink ref="G87" r:id="rId81" tooltip="https://docs.microsoft.com/azure/firewall/" xr:uid="{9117FAF0-8960-4F59-B088-C36776234BEE}"/>
    <hyperlink ref="G88" r:id="rId82" tooltip="https://docs.microsoft.com/azure/firewall/" xr:uid="{E03D6B38-52AD-407C-A837-D5EFE0DC1639}"/>
    <hyperlink ref="G89" r:id="rId83" tooltip="https://docs.microsoft.com/azure/web-application-firewall/ag/ag-overview" xr:uid="{F3DDB7DB-C504-4DC1-934F-C4F4EB43EEC5}"/>
    <hyperlink ref="G90" r:id="rId84" tooltip="https://docs.microsoft.com/azure/web-application-firewall/ag/ag-overview" xr:uid="{FF21D8E4-F4CF-46B8-B893-D25364D98244}"/>
    <hyperlink ref="G91" r:id="rId85" tooltip="https://docs.microsoft.com/azure/web-application-firewall/ag/ag-overview" xr:uid="{EC827687-A651-4A62-A245-FCFAC6C1B2C4}"/>
    <hyperlink ref="G92" r:id="rId86" tooltip="https://azure.microsoft.com/solutions/network-appliances/" xr:uid="{19387435-A937-47AD-88B2-A63ED276D82A}"/>
    <hyperlink ref="G93" r:id="rId87" tooltip="https://azure.microsoft.com/solutions/network-appliances/" xr:uid="{72D1A262-D241-447A-BB94-5EEED73B5B4C}"/>
    <hyperlink ref="G94" r:id="rId88" tooltip="https://docs.microsoft.com/azure/ddos-protection/ddos-protection-overview" xr:uid="{67972FC7-5151-4130-ABC7-CD442771E7AB}"/>
    <hyperlink ref="G95" r:id="rId89" tooltip="https://docs.microsoft.com/azure/cloud-adoption-framework/ready/azure-setup-guide/organize-resources?tabs=AzureManagementGroupsAndHierarchy" xr:uid="{58F7B0FA-FE4C-4D19-82E9-3AF71F33F3EB}"/>
    <hyperlink ref="G96" r:id="rId90" tooltip="https://docs.microsoft.com/azure/web-application-firewall/ag/ag-overview" xr:uid="{27419F40-2F24-4812-8BCE-0B2683A1D2EA}"/>
    <hyperlink ref="G97" r:id="rId91" tooltip="https://docs.microsoft.com/azure/web-application-firewall/ag/ag-overview" xr:uid="{5A243EC6-4B5B-4D75-9A23-20D5F093E64E}"/>
    <hyperlink ref="G98" r:id="rId92" tooltip="https://docs.microsoft.com/azure/web-application-firewall/ag/ag-overview" xr:uid="{B20EAED9-2B59-44C5-AA75-DA7917181EFA}"/>
    <hyperlink ref="G99" r:id="rId93" tooltip="https://docs.microsoft.com/azure/ddos-protection/ddos-protection-overview" xr:uid="{BD6162B2-F44E-4332-98AA-0C11D9F765C4}"/>
    <hyperlink ref="G100" r:id="rId94" tooltip="https://docs.microsoft.com/azure/web-application-firewall/ag/ag-overview" xr:uid="{DE638F01-21F9-4ED2-82A8-711072749C5B}"/>
    <hyperlink ref="G101" r:id="rId95" tooltip="https://docs.microsoft.com/azure/web-application-firewall/ag/ag-overview" xr:uid="{DD82F01E-D4F7-456F-8EED-46224A24358A}"/>
    <hyperlink ref="G102" r:id="rId96" tooltip="https://docs.microsoft.com/azure/web-application-firewall/ag/ag-overview" xr:uid="{5561138F-AE25-4AF0-BC4A-77F5DDB7AF64}"/>
    <hyperlink ref="G103" r:id="rId97" tooltip="https://docs.microsoft.com/azure/cloud-adoption-framework/ready/azure-setup-guide/organize-resources?tabs=AzureManagementGroupsAndHierarchy" xr:uid="{4B189081-4FD4-48D6-BA8D-336111619160}"/>
    <hyperlink ref="G104" r:id="rId98" tooltip="https://docs.microsoft.com/azure/virtual-network/network-security-group-how-it-works" xr:uid="{C5C07C89-BF33-4628-BC34-1CE190CC2356}"/>
    <hyperlink ref="G105" r:id="rId99" tooltip="https://docs.microsoft.com/azure/virtual-network/network-security-group-how-it-works" xr:uid="{F12391A8-7B41-4031-B26E-C9E69527ABE4}"/>
    <hyperlink ref="G106" r:id="rId100" tooltip="https://docs.microsoft.com/azure/virtual-network/network-security-group-how-it-works" xr:uid="{9BE1A40D-99DC-4EFF-B5F3-018136188DD6}"/>
    <hyperlink ref="G107" r:id="rId101" tooltip="https://docs.microsoft.com/azure/virtual-network/network-security-group-how-it-works" xr:uid="{CB450EEE-6593-49AD-9841-4FE780D4F8E5}"/>
    <hyperlink ref="G108" r:id="rId102" tooltip="https://docs.microsoft.com/azure/virtual-network/network-security-group-how-it-works" xr:uid="{3822A7C1-EF24-48FE-9DF7-97D153058286}"/>
    <hyperlink ref="G109" r:id="rId103" tooltip="https://docs.microsoft.com/azure/firewall/" xr:uid="{BE36C9D7-AADF-4509-B3EC-E73BAC55F63A}"/>
    <hyperlink ref="G110" r:id="rId104" tooltip="https://docs.microsoft.com/azure/expressroute/expressroute-erdirect-about" xr:uid="{EEBBF716-08C7-4F43-A241-D7E911E87CEC}"/>
    <hyperlink ref="G111" r:id="rId105" tooltip="https://docs.microsoft.com/azure/virtual-network/virtual-network-peering-overview" xr:uid="{69D5105F-6027-4235-A00B-5A8B57F2B9C9}"/>
    <hyperlink ref="G112" r:id="rId106" tooltip="https://docs.microsoft.com/azure/virtual-wan/virtual-wan-about" xr:uid="{8575691F-363B-48FF-8CA8-2FC0312F3A5D}"/>
    <hyperlink ref="G113" r:id="rId107" tooltip="https://docs.microsoft.com/azure/network-watcher/network-watcher-monitoring-overview" xr:uid="{6A9A90EE-EE98-4B96-AB75-37D70019DE85}"/>
    <hyperlink ref="G114" r:id="rId108" tooltip="https://docs.microsoft.com/azure/virtual-network/network-security-group-how-it-works" xr:uid="{A5357D74-76D4-4047-B16C-D58AF3A8B756}"/>
    <hyperlink ref="G115" r:id="rId109" tooltip="https://docs.microsoft.com/azure/private-link/inspect-traffic-with-azure-firewall" xr:uid="{61294029-EFCF-4F10-A05C-FAFD5376826C}"/>
    <hyperlink ref="G116" display="More info" xr:uid="{C1961F6F-A8FE-4C96-B512-5CB88B28CD56}"/>
    <hyperlink ref="G117" display="More info" xr:uid="{B2EB2DF7-718F-457C-B587-98A4400A3DD8}"/>
    <hyperlink ref="G118" r:id="rId110" tooltip="https://docs.microsoft.com/azure/azure-monitor/logs/design-logs-deployment" xr:uid="{2A490686-30B1-4DED-8607-4BC003A0644F}"/>
    <hyperlink ref="G119" r:id="rId111" tooltip="https://docs.microsoft.com/azure/azure-monitor/logs/design-logs-deployment" xr:uid="{C526324A-57FA-4D2D-BCCA-739AC780D418}"/>
    <hyperlink ref="G120" r:id="rId112" tooltip="https://docs.microsoft.com/azure/azure-monitor/logs/design-logs-deployment" xr:uid="{95675CD4-9D4C-48E7-A608-8E035566FD03}"/>
    <hyperlink ref="G121" r:id="rId113" tooltip="https://docs.microsoft.com/azure/azure-monitor/logs/design-logs-deployment" xr:uid="{A2969458-819F-4F84-AF00-970666B8CF07}"/>
    <hyperlink ref="G122" r:id="rId114" tooltip="https://docs.microsoft.com/azure/governance/policy/how-to/guest-configuration-create" xr:uid="{932E482B-A7BD-4E2B-9106-9BD5C1B3B8B2}"/>
    <hyperlink ref="G123" r:id="rId115" tooltip="https://docs.microsoft.com/azure/automation/update-management/overview" xr:uid="{7DD8F0BD-504F-4665-9D74-932927CBB09E}"/>
    <hyperlink ref="G124" r:id="rId116" tooltip="https://docs.microsoft.com/azure/network-watcher/network-watcher-monitoring-overview" xr:uid="{E25BB791-3E1D-466B-82A9-C7C691D8B1D9}"/>
    <hyperlink ref="G125" r:id="rId117" tooltip="https://docs.microsoft.com/azure/azure-resource-manager/management/lock-resources?tabs=json" xr:uid="{6B8B5A46-B36A-412C-924A-F5A222156186}"/>
    <hyperlink ref="G126" r:id="rId118" tooltip="https://docs.microsoft.com/azure/governance/policy/overview" xr:uid="{820E8679-7C9E-42DB-A3DF-E2F3124035EB}"/>
    <hyperlink ref="G127" r:id="rId119" tooltip="https://docs.microsoft.com/azure/?product=featured" xr:uid="{D4028271-51A8-4BAC-B818-89569975B784}"/>
    <hyperlink ref="G128" r:id="rId120" tooltip="https://docs.microsoft.com/azure/sentinel/quickstart-onboard" xr:uid="{F679D328-3A33-44EB-AA84-55E25ED830F3}"/>
    <hyperlink ref="G129" r:id="rId121" tooltip="https://docs.microsoft.com/azure/azure-monitor/logs/design-logs-deployment" xr:uid="{2CA39106-0359-49E5-8DE2-8C2F6153CD1F}"/>
    <hyperlink ref="G130" r:id="rId122" tooltip="https://docs.microsoft.com/azure/cloud-adoption-framework/ready/azure-setup-guide/monitoring-reporting?tabs=AzureMonitor" xr:uid="{69B74544-8A61-4B63-AA4F-69C947A18489}"/>
    <hyperlink ref="G131" r:id="rId123" tooltip="https://docs.microsoft.com/azure/azure-monitor/agents/diagnostics-extension-overview" xr:uid="{E633DA2A-1975-484D-A4A9-5EEB2F72876C}"/>
    <hyperlink ref="G132" r:id="rId124" tooltip="https://docs.microsoft.com/azure/azure-monitor/alerts/alerts-overview" xr:uid="{BEE77407-113F-4012-A209-72BAAEB389B9}"/>
    <hyperlink ref="G133" r:id="rId125" tooltip="https://docs.microsoft.com/azure/backup/backup-center-overview" xr:uid="{344FADD1-E138-465E-988D-34076F6D5ADE}"/>
    <hyperlink ref="G134" display="More info" xr:uid="{F72B3F11-2BC7-432C-ADC1-1B751FCA9E21}"/>
    <hyperlink ref="G135" r:id="rId126" tooltip="https://docs.microsoft.com/azure/backup/backup-center-overview" xr:uid="{8CCF7573-12F2-45EA-AF29-FA2DE0B179C8}"/>
    <hyperlink ref="G136" r:id="rId127" tooltip="https://docs.microsoft.com/azure/key-vault/general/best-practices" xr:uid="{A665AE8A-6077-4431-BDD8-40A559E9B35C}"/>
    <hyperlink ref="G137" r:id="rId128" tooltip="https://docs.microsoft.com/azure/key-vault/general/best-practices" xr:uid="{CAF185E3-FE08-4278-A947-908D7B768717}"/>
    <hyperlink ref="G138" r:id="rId129" tooltip="https://docs.microsoft.com/azure/key-vault/general/best-practices" xr:uid="{46350DFA-9991-45FD-90A6-E5FAF27856C5}"/>
    <hyperlink ref="G139" r:id="rId130" tooltip="https://docs.microsoft.com/azure/key-vault/general/best-practices" xr:uid="{42C73C96-BB75-42BC-912C-B965754BD42E}"/>
    <hyperlink ref="G140" r:id="rId131" tooltip="https://docs.microsoft.com/azure/key-vault/general/best-practices" xr:uid="{0C9C2240-D6AB-44AC-8802-E4897B7D8DE8}"/>
    <hyperlink ref="G141" r:id="rId132" tooltip="https://docs.microsoft.com/azure/key-vault/general/best-practices" xr:uid="{D1D9C69C-88F1-4F27-BF18-C45339C40219}"/>
    <hyperlink ref="G142" r:id="rId133" tooltip="https://docs.microsoft.com/azure/key-vault/general/best-practices" xr:uid="{1F6E7789-723E-412A-8DE9-44C385331BA0}"/>
    <hyperlink ref="G143" r:id="rId134" tooltip="https://docs.microsoft.com/azure/key-vault/general/best-practices" xr:uid="{53DD1685-4020-4344-A71D-82993EB2FCF5}"/>
    <hyperlink ref="G144" r:id="rId135" tooltip="https://docs.microsoft.com/azure/key-vault/general/best-practices" xr:uid="{7F55268C-8503-4BC2-97D0-C924AF25F655}"/>
    <hyperlink ref="G145" r:id="rId136" tooltip="https://docs.microsoft.com/azure/key-vault/general/best-practices" xr:uid="{01DF4C15-62BD-42C3-958C-42BF75897B8A}"/>
    <hyperlink ref="G146" r:id="rId137" tooltip="https://docs.microsoft.com/azure/key-vault/general/best-practices" xr:uid="{FDCAD9F7-7666-4F30-86CD-C3ABEB64D2A3}"/>
    <hyperlink ref="G147" display="More info" xr:uid="{904915E7-3376-40AD-B209-020C03E60212}"/>
    <hyperlink ref="G148" r:id="rId138" tooltip="https://docs.microsoft.com/azure/key-vault/general/best-practices" xr:uid="{EBA37B4E-E0A6-4331-B079-60116E1C80F0}"/>
    <hyperlink ref="G149" r:id="rId139" tooltip="https://docs.microsoft.com/azure/governance/policy/overview" xr:uid="{81ABFC06-54AE-43F2-B456-41ED47567472}"/>
    <hyperlink ref="G150" r:id="rId140" tooltip="https://docs.microsoft.com/azure/cloud-adoption-framework/decision-guides/resource-tagging/?toc=/azure/azure-resource-manager/management/toc.json" xr:uid="{615411E3-514A-4162-8831-BEEF37B9F9F0}"/>
    <hyperlink ref="G151" r:id="rId141" tooltip="https://docs.microsoft.com/azure/governance/policy/overview" xr:uid="{5E9AD15D-C87F-4605-88E9-642BAB04AD06}"/>
    <hyperlink ref="G152" r:id="rId142" tooltip="https://docs.microsoft.com/azure/governance/policy/overview" xr:uid="{2CB9CB05-0064-424E-A443-EF8724910A34}"/>
    <hyperlink ref="G153" r:id="rId143" tooltip="https://docs.microsoft.com/azure/governance/policy/overview" xr:uid="{64472F5D-D831-4043-AF2D-3B71917E51DA}"/>
    <hyperlink ref="G154" r:id="rId144" tooltip="https://docs.microsoft.com/azure/governance/policy/overview" xr:uid="{CF8E5602-6D57-4C47-A471-4DD448326B4C}"/>
    <hyperlink ref="G155" r:id="rId145" tooltip="https://docs.microsoft.com/azure/governance/policy/overview" xr:uid="{409CDB62-E361-4E32-8389-F977734876DE}"/>
    <hyperlink ref="G156" r:id="rId146" tooltip="https://docs.microsoft.com/azure/governance/policy/overview" xr:uid="{72F49540-BA90-424D-90FB-3C71958A8944}"/>
    <hyperlink ref="G157" r:id="rId147" tooltip="https://docs.microsoft.com/azure/governance/policy/overview" xr:uid="{B763E633-41B1-4D93-8AB0-CBBDDA88B5C8}"/>
    <hyperlink ref="G158" r:id="rId148" tooltip="https://docs.microsoft.com/azure/governance/policy/overview" xr:uid="{DC365904-DFD7-461A-A42E-0BBEB27588D0}"/>
    <hyperlink ref="G159" r:id="rId149" tooltip="https://docs.microsoft.com/azure/governance/policy/overview" xr:uid="{7DCFE358-3801-4986-BD77-7B480BA744A0}"/>
    <hyperlink ref="G160" r:id="rId150" tooltip="https://docs.microsoft.com/azure/active-directory/reports-monitoring/overview-reports" xr:uid="{6232403F-71C6-4B75-BE6F-A0E3234414CC}"/>
    <hyperlink ref="G161" r:id="rId151" tooltip="https://docs.microsoft.com/azure/azure-monitor/logs/logs-data-export?tabs=portal" xr:uid="{22547EC6-FBFB-4A86-8F1E-2BC3B74558D3}"/>
    <hyperlink ref="G162" r:id="rId152" tooltip="https://docs.microsoft.com/azure/security-center/" xr:uid="{1A1C2164-4608-4B5D-84B7-7513A5EC9AC3}"/>
    <hyperlink ref="G163" r:id="rId153" tooltip="https://docs.microsoft.com/azure/security-center/" xr:uid="{7FFE4838-B77A-4CE4-9050-CFD9EBC56C50}"/>
    <hyperlink ref="G164" r:id="rId154" tooltip="https://docs.microsoft.com/azure/azure-monitor/logs/design-logs-deployment" xr:uid="{26FEFAB7-89B8-4FF9-A7C8-14510421D9E0}"/>
    <hyperlink ref="G165" r:id="rId155" tooltip="https://docs.microsoft.com/security/benchmark/azure/security-control-incident-response" xr:uid="{0CE9F554-063B-4C6E-AE16-18D4EBB7D071}"/>
    <hyperlink ref="G166" r:id="rId156" tooltip="https://www.microsoft.com/itshowcase/implementing-a-zero-trust-security-model-at-microsoft" xr:uid="{2F84DCA4-03E1-4FF7-9F9E-898CE027EF2F}"/>
  </hyperlinks>
  <pageMargins left="0.7" right="0.7" top="0.75" bottom="0.75" header="0.3" footer="0.3"/>
  <pageSetup paperSize="9" orientation="portrait" horizontalDpi="4294967293" r:id="rId157"/>
  <drawing r:id="rId158"/>
  <legacyDrawing r:id="rId159"/>
  <mc:AlternateContent xmlns:mc="http://schemas.openxmlformats.org/markup-compatibility/2006">
    <mc:Choice Requires="x14">
      <controls>
        <mc:AlternateContent xmlns:mc="http://schemas.openxmlformats.org/markup-compatibility/2006">
          <mc:Choice Requires="x14">
            <control shapeId="1025" r:id="rId160" name="Button 1">
              <controlPr defaultSize="0" print="0" autoFill="0" autoPict="0" macro="[0]!Sheet1.export_json">
                <anchor moveWithCells="1" sizeWithCells="1">
                  <from>
                    <xdr:col>2</xdr:col>
                    <xdr:colOff>8458200</xdr:colOff>
                    <xdr:row>0</xdr:row>
                    <xdr:rowOff>609600</xdr:rowOff>
                  </from>
                  <to>
                    <xdr:col>3</xdr:col>
                    <xdr:colOff>200025</xdr:colOff>
                    <xdr:row>0</xdr:row>
                    <xdr:rowOff>847725</xdr:rowOff>
                  </to>
                </anchor>
              </controlPr>
            </control>
          </mc:Choice>
        </mc:AlternateContent>
        <mc:AlternateContent xmlns:mc="http://schemas.openxmlformats.org/markup-compatibility/2006">
          <mc:Choice Requires="x14">
            <control shapeId="1027" r:id="rId161" name="Button 3">
              <controlPr defaultSize="0" print="0" autoFill="0" autoPict="0" macro="[0]!Sheet1.import_checklist">
                <anchor moveWithCells="1">
                  <from>
                    <xdr:col>2</xdr:col>
                    <xdr:colOff>8467725</xdr:colOff>
                    <xdr:row>0</xdr:row>
                    <xdr:rowOff>971550</xdr:rowOff>
                  </from>
                  <to>
                    <xdr:col>3</xdr:col>
                    <xdr:colOff>200025</xdr:colOff>
                    <xdr:row>0</xdr:row>
                    <xdr:rowOff>1247775</xdr:rowOff>
                  </to>
                </anchor>
              </controlPr>
            </control>
          </mc:Choice>
        </mc:AlternateContent>
        <mc:AlternateContent xmlns:mc="http://schemas.openxmlformats.org/markup-compatibility/2006">
          <mc:Choice Requires="x14">
            <control shapeId="1028" r:id="rId162" name="Button 4">
              <controlPr defaultSize="0" print="0" autoFill="0" autoPict="0" macro="[0]!Sheet1.import_checklist_fromurl">
                <anchor moveWithCells="1" sizeWithCells="1">
                  <from>
                    <xdr:col>2</xdr:col>
                    <xdr:colOff>8458200</xdr:colOff>
                    <xdr:row>0</xdr:row>
                    <xdr:rowOff>228600</xdr:rowOff>
                  </from>
                  <to>
                    <xdr:col>3</xdr:col>
                    <xdr:colOff>200025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D6"/>
  <sheetViews>
    <sheetView workbookViewId="0">
      <selection activeCell="D4" sqref="D4"/>
    </sheetView>
  </sheetViews>
  <sheetFormatPr defaultRowHeight="15" x14ac:dyDescent="0.25"/>
  <cols>
    <col min="2" max="2" width="10" bestFit="1" customWidth="1"/>
  </cols>
  <sheetData>
    <row r="1" spans="1:4" x14ac:dyDescent="0.25">
      <c r="A1" t="s">
        <v>4</v>
      </c>
      <c r="B1" t="s">
        <v>5</v>
      </c>
      <c r="C1" t="s">
        <v>21</v>
      </c>
      <c r="D1" t="s">
        <v>25</v>
      </c>
    </row>
    <row r="2" spans="1:4" x14ac:dyDescent="0.25">
      <c r="A2" t="s">
        <v>7</v>
      </c>
      <c r="B2" s="13" t="s">
        <v>8</v>
      </c>
      <c r="C2" t="s">
        <v>14</v>
      </c>
      <c r="D2" s="22" t="s">
        <v>26</v>
      </c>
    </row>
    <row r="3" spans="1:4" x14ac:dyDescent="0.25">
      <c r="A3" t="s">
        <v>10</v>
      </c>
      <c r="B3" s="10" t="s">
        <v>11</v>
      </c>
      <c r="C3" t="s">
        <v>203</v>
      </c>
    </row>
    <row r="4" spans="1:4" x14ac:dyDescent="0.25">
      <c r="A4" t="s">
        <v>9</v>
      </c>
      <c r="B4" s="11" t="s">
        <v>12</v>
      </c>
      <c r="C4" t="s">
        <v>16</v>
      </c>
    </row>
    <row r="5" spans="1:4" x14ac:dyDescent="0.25">
      <c r="B5" s="12" t="s">
        <v>13</v>
      </c>
      <c r="C5" t="s">
        <v>149</v>
      </c>
    </row>
    <row r="6" spans="1:4" x14ac:dyDescent="0.25">
      <c r="C6" t="s">
        <v>41</v>
      </c>
    </row>
  </sheetData>
  <hyperlinks>
    <hyperlink ref="D2" r:id="rId1" xr:uid="{904116B1-67AB-46E8-B676-512C33F1CF6E}"/>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2021-10-11T12:43:05Z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