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CCB8AF02-4E4E-4788-9723-87CC943716D5}" xr6:coauthVersionLast="47" xr6:coauthVersionMax="47" xr10:uidLastSave="{00000000-0000-0000-0000-000000000000}"/>
  <bookViews>
    <workbookView xWindow="-96" yWindow="-96" windowWidth="23232" windowHeight="12432"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Checklist!$A$4:$H$166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<sst xmlns="http://schemas.openxmlformats.org/spreadsheetml/2006/main" count="999" uniqueCount="204">
  <si>
    <t>Main Area</t>
  </si>
  <si>
    <t>Sub Area</t>
  </si>
  <si>
    <t>Question</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</si>
  <si>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</si>
  <si>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</si>
  <si>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</si>
  <si>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</si>
  <si>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</si>
  <si>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</si>
  <si>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</si>
  <si>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</si>
  <si>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</si>
  <si>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</si>
  <si>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</si>
  <si>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</si>
  <si>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</si>
  <si>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</si>
  <si>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</si>
  <si>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</si>
  <si>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</si>
  <si>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</si>
  <si>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</si>
  <si>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https://raw.githubusercontent.com/Azure/review-checklists/main/samples/</t>
  </si>
  <si>
    <t>Identity</t>
  </si>
  <si>
    <t>Implement for emergency access or break-glass accounts to prevent tenant-wide account lockout</t>
  </si>
  <si>
    <t>Enforce a RBAC model for management groups, subscriptions, resource groups and resources</t>
  </si>
  <si>
    <t>Enforce Azure AD conditional-access policies for any user with rights to Azure environments</t>
  </si>
  <si>
    <t>Enforce multi-factor authentication for any user with rights to the Azure environments</t>
  </si>
  <si>
    <t>Enforce centralized and delegated responsibilities to manage resources deployed inside the landing zone based on role and security requirements</t>
  </si>
  <si>
    <t xml:space="preserve">Enforce Azure AD Privileged Identity Management (PIM) to establish zero standing access and least privilege </t>
  </si>
  <si>
    <t>Only use the authentication type Work or school account for all account types. Avoid using the Microsoft account</t>
  </si>
  <si>
    <t>Only use groups to assign permissions. Add on-premises groups to the Azure-AD-only group if a group management system is already in place.</t>
  </si>
  <si>
    <t>If the following roles roles are considered, use Azure custom roles: Azure platform owner, network management, security operations, subscription owner, application owner</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</si>
  <si>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</si>
  <si>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</si>
  <si>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</si>
  <si>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</si>
  <si>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</si>
  <si>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Subscriptions</t>
  </si>
  <si>
    <t>Enforce reasonably flat management group hierarchy with no more than three to four levels, ideally</t>
  </si>
  <si>
    <t>Enforce or appended resource tags through Azure Policy</t>
  </si>
  <si>
    <t>Enfore a sandbox management group to allow users to immediately experiment with Azure</t>
  </si>
  <si>
    <t>Enforce a platform management group under the root management group to support common platform policy and Azure role assignment</t>
  </si>
  <si>
    <t>Enforce a dedicated connectivity subscription in the Platform management group to host an Azure Virtual WAN hub, private Domain Name System (DNS), ExpressRoute circuit, and other networking resources.</t>
  </si>
  <si>
    <t>Enforce no subscriptions are placed under the root management group</t>
  </si>
  <si>
    <t>Enforce that only privileged users can operate management groups in the tenant by enabling Azure RBAC authorization in the management group hierarchy settings</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</si>
  <si>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</si>
  <si>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</si>
  <si>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</si>
  <si>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</si>
  <si>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</si>
  <si>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</si>
  <si>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</si>
  <si>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If AD on Windows Server, establish a dedicated identity subscription in the Platform management group to host Windows Server Active Directory domain controllers</t>
  </si>
  <si>
    <t>Ensure tags are used for billing and cost management</t>
  </si>
  <si>
    <t>Networking</t>
  </si>
  <si>
    <t>IP plan</t>
  </si>
  <si>
    <t>Ensure no overlapping IP address spaces across Azure regions and on-premises locations</t>
  </si>
  <si>
    <t>Ensure to use IP addresses from the address allocation for private internets (RFC 1918).</t>
  </si>
  <si>
    <t xml:space="preserve">Ensure that IP address space isn't wasted, don't create unnecessarily large virtual networks (for example /16) </t>
  </si>
  <si>
    <t>Ensure no public IP address are used inside of VNET</t>
  </si>
  <si>
    <t>Avoid using overlapping IP address ranges for production and DR sites.</t>
  </si>
  <si>
    <t>For environments where name resolution in Azure is all that's required, use Azure Private DNS for resolution. Create a delegated zone for name resolution (such as�azure.contoso.com).</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</si>
  <si>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</si>
  <si>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</si>
  <si>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</si>
  <si>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Virtual WAN</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</si>
  <si>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</si>
  <si>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</si>
  <si>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Use Virtual Hub Routing features to further segment traffic between VNets and branches.</t>
  </si>
  <si>
    <t>Connect Virtual WAN hubs to on-premises datacenters by using ExpressRoute</t>
  </si>
  <si>
    <t>Connect branches and remote locations to the nearest Virtual WAN hub via Site-to-Site VPN, or enable branch connectivity to Virtual WAN via an SD-WAN partner solution.</t>
  </si>
  <si>
    <t>Connect users to the Virtual WAN hub via a Point-to-Site VPN.</t>
  </si>
  <si>
    <t xml:space="preserve">Follow the principle </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</si>
  <si>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</si>
  <si>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</si>
  <si>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</si>
  <si>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Ensure that the network architecture is within the�Azure Virtual WAN limits.</t>
  </si>
  <si>
    <t>Use Azure Monitor Insights for Virtual WAN to monitor the end-to-end topology of the Virtual WAN as well as status and key metrics.</t>
  </si>
  <si>
    <t>Hub and spoke</t>
  </si>
  <si>
    <t>Consider a network design based on the traditional hub-and-spoke network topology for the following scenarios</t>
  </si>
  <si>
    <t>Ensure that shared services, including ExpressRoute gateways, VPN gateways, and Azure Firewall or partner NVAs in the central-hub virtual network. If necessary, also deploy Active Directory domain controllers and DNS servers.</t>
  </si>
  <si>
    <t>When you're deploying partner networking technologies or NVAs, follow the partner vendor's guidance</t>
  </si>
  <si>
    <t>Don't deploy L7 inbound NVAs such as Azure Application Gateway as a shared service in the central-hub virtual network. Instead, deploy them together with the app in their respective landing zones.</t>
  </si>
  <si>
    <t>Ensure no transit in Azure between ExpressRoute and VPN gateways, isn't supported.</t>
  </si>
  <si>
    <t xml:space="preserve">For network architectures with multiple hub-and-spoke topologies across Azure regions, use global virtual network peering to connect landing-zone virtual networks when a small number of landing zones need to communicate across regions. </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</si>
  <si>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</si>
  <si>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Use Azure Monitor for Networks to monitor the end-to-end state of the networks on Azure.</t>
  </si>
  <si>
    <t>When connecting spoke virtual networks to the central hub virtual network, consider VNet peering limits and the maximum number of prefixes that can be advertised via ExpressRoute</t>
  </si>
  <si>
    <t>Hybrid</t>
  </si>
  <si>
    <t>Ensure that you have investigated the possibility to use ExpressRoute as primary connection to Azure.</t>
  </si>
  <si>
    <t>When you use multiple ExpressRoute circuits,�optimize ExpressRoute routing via BGP local preference and AS PATH prepending.</t>
  </si>
  <si>
    <t>Ensure that you're using the right SKU for the ExpressRoute/VPN gateways based on bandwidth and performance requirements.</t>
  </si>
  <si>
    <t>Deploy a zone-redundant ExpressRoute gateway in the supported Azure regions.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</si>
  <si>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</si>
  <si>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</si>
  <si>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VPN gateways to connect branches or remote locations to Azure. For higher resilience, deploy zone-redundant gateways (where available).</t>
  </si>
  <si>
    <t>Use ExpressRoute Global Reach to connect large offices, regional headquarters, or datacenters connected to Azure via ExpressRoute.</t>
  </si>
  <si>
    <t>When traffic isolation or dedicated bandwidth is required, such as for separating production and nonproduction environments, use different ExpressRoute circuits. It will help you ensure isolated routing domains and alleviate noisy-neighbor risks.</t>
  </si>
  <si>
    <t>Proactively monitor ExpressRoute circuits by using Network Performance Monitor.</t>
  </si>
  <si>
    <t>Don't explicitly use ExpressRoute circuits from a single peering location. This creates a single point of failure and makes the organization susceptible to peering location outages.</t>
  </si>
  <si>
    <t>PaaS</t>
  </si>
  <si>
    <t>Use virtual network injection for supported Azure services to make them available from within the virtual network.</t>
  </si>
  <si>
    <t>Azure PaaS services that have been injected into a virtual network still perform management plane operations by using public IP addresses. Ensure that this communication is locked down within the virtual network by using UDRs and NSGs.</t>
  </si>
  <si>
    <t>Use Private Link, where available, for shared Azure PaaS services.</t>
  </si>
  <si>
    <t>Access Azure PaaS services from on-premises via ExpressRoute private peering. This method avoids transiting over the public internet.</t>
  </si>
  <si>
    <t>Use virtual network service endpoints when Private Link isn't available</t>
  </si>
  <si>
    <t>Don't enable virtual network service endpoints by default on all subnets.</t>
  </si>
  <si>
    <t>Don't use virtual network service endpoints when there are data exfiltration concerns, unless you use NVA filtering.</t>
  </si>
  <si>
    <t>Dont implement forced tunneling to enable communication from Azure to Azure resources.</t>
  </si>
  <si>
    <t>Internet</t>
  </si>
  <si>
    <t>Use Azure Firewall to govern Azure outbound traffic to the internet, non-HTTP/S inbound connections and East/West traffic filtering (if the organization requires it)</t>
  </si>
  <si>
    <t>Use Firewall Manager with Virtual WAN to deploy and manage Azure firewalls across Virtual WAN hubs or in hub virtual networks. Firewall Manager is now in general availability for both Virtual WAN and regular virtual networks.</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</si>
  <si>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</si>
  <si>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Configure supported partner SaaS security providers within Firewall Manager if the organization wants to use such solutions to help protect outbound connections.</t>
  </si>
  <si>
    <t>Use WAF within a landing-zone virtual network for protecting inbound HTTP/S traffic from the internet.</t>
  </si>
  <si>
    <t>Use Azure Front Door and WAF policies to provide global protection across Azure regions for inbound HTTP/S connections to a landing zone.</t>
  </si>
  <si>
    <t>When you're using Azure Front Door and Azure Application Gateway to help protect HTTP/S apps, use WAF policies in Azure Front Door. Lock down Azure Application Gateway to receive traffic only from Azure Front Door.</t>
  </si>
  <si>
    <t>If partner NVAs are required for inbound HTTP/S connections, deploy them within a landing-zone virtual network and together with the apps that they're protecting and exposing to the internet.</t>
  </si>
  <si>
    <t>Use Azure DDoS Protection Standard protection plans to help protect all public endpoints hosted within the virtual networks.</t>
  </si>
  <si>
    <t>App delivery</t>
  </si>
  <si>
    <t>Perform app delivery within landing zones for both internal-facing and external-facing apps.</t>
  </si>
  <si>
    <t>For secure delivery of HTTP/S apps, use Application Gateway v2 and ensure that WAF protection and policies are enabled.</t>
  </si>
  <si>
    <t>Use a partner NVA if you can't use Application Gateway v2 for the security of HTTP/S apps.</t>
  </si>
  <si>
    <t>Deploy Azure Application Gateway v2 or partner NVAs used for inbound HTTP/S connections within the landing-zone virtual network and with the apps that they're securing.</t>
  </si>
  <si>
    <t>Use a DDoS standard protection plan for all public IP addresses in a landing zone.</t>
  </si>
  <si>
    <t>Use Azure Front Door with WAF policies to deliver and help protect global HTTP/S apps that span Azure regions.</t>
  </si>
  <si>
    <t>When you're using Front Door and Application Gateway to help protect HTTP/S apps, use WAF policies in Front Door. Lock down Application Gateway to receive traffic only from Front Door.</t>
  </si>
  <si>
    <t>Use Traffic Manager to deliver global apps that span protocols other than HTTP/S.</t>
  </si>
  <si>
    <t>Segmentation</t>
  </si>
  <si>
    <t xml:space="preserve">Delegate subnet creation to the landing zone owner. </t>
  </si>
  <si>
    <t>Use NSGs to help protect traffic across subnets, as well as east/west traffic across the platform (traffic between landing zones).</t>
  </si>
  <si>
    <t>The application team should use application security groups at the subnet-level NSGs to help protect multitier VMs within the landing zone.</t>
  </si>
  <si>
    <t>Use NSGs and application security groups to micro-segment traffic within the landing zone and avoid using a central NVA to filter traffic flows.</t>
  </si>
  <si>
    <t>Enable NSG flow logs and feed them into Traffic Analytics to gain insights into internal and external traffic flows.</t>
  </si>
  <si>
    <t>Use NSGs to selectively allow connectivity between landing zones.</t>
  </si>
  <si>
    <t>For Virtual WAN topologies, route traffic across landing zones via Azure Firewall if the organization requires filtering and logging capabilities for traffic flowing across landing zones.</t>
  </si>
  <si>
    <t>Encryption</t>
  </si>
  <si>
    <t>When you're using ExpressRoute Direct, configure MACsec in order to encrypt traffic at the layer-two level between the organization's routers and MSEE. The diagram shows this encryption in flow.</t>
  </si>
  <si>
    <t>If traffic between Azure regions must be encrypted, use global VNet peering to connect virtual networks across regions.</t>
  </si>
  <si>
    <t xml:space="preserve">For Virtual WAN scenarios where MACsec isn't an option (for example, not using ExpressRoute Direct), use a Virtual WAN VPN gateway to establish�IPsec tunnels over ExpressRoute private peering. </t>
  </si>
  <si>
    <t>Inspection</t>
  </si>
  <si>
    <t>Use Network Watcher packets to capture despite the limited capture window.</t>
  </si>
  <si>
    <t>Evaluate whether the latest version of NSG flow logs provides the level of detail that you need.</t>
  </si>
  <si>
    <t>Use partner solutions for scenarios that require deep packet inspection.</t>
  </si>
  <si>
    <t>Don't develop a custom solution to mirror traffic. Although this approach might be acceptable for small-scale scenarios, we don't encourage it at scale because of complexity and the supportability issues that might arise.</t>
  </si>
  <si>
    <t>Management</t>
  </si>
  <si>
    <t>Monitoring</t>
  </si>
  <si>
    <t>Use a single monitor logs workspace to manage platforms centrally except where Azure role-based access control (Azure RBAC)</t>
  </si>
  <si>
    <t>Data sovereignty requirements and data retention policies mandate separate workspaces</t>
  </si>
  <si>
    <t>Is the landing zone documented?</t>
  </si>
  <si>
    <t>Export logs to Azure Storage if log retention requirements exceed two years. Use immutable storage with a write-once, read-many policy to make data non-erasable and non-modifiable for a user-specified interval.</t>
  </si>
  <si>
    <t xml:space="preserve">Use Azure Policy for access control and compliance reporting. Azure Policy provides the ability to enforce organization-wide settings to ensure consistent policy adherence and fast violation detection. </t>
  </si>
  <si>
    <t>Monitor in-guest virtual machine (VM) configuration drift using Azure Policy. Enabling�guest configuration�audit capabilities through policy helps application team workloads to immediately consume feature capabilities with little effort.</t>
  </si>
  <si>
    <t xml:space="preserve">Use�Update Management in Azure Automation�as a long-term patching mechanism for both Windows and Linux VMs. </t>
  </si>
  <si>
    <t>Use Network Watcher to proactively monitor traffic flows</t>
  </si>
  <si>
    <t>Use resource locks to prevent accidental deletion of critical shared services.</t>
  </si>
  <si>
    <t>Use�deny policies�to supplement Azure role assignments. The combination of deny policies and Azure role assignments ensures the appropriate guardrails are in place to enforce�who�can deploy and configure resources and�what�resources they can deploy and configure.</t>
  </si>
  <si>
    <t>Include service and resource health events as part of the overall platform monitoring solution. Tracking service and resource health from the platform perspective is an important component of resource management in Azure.</t>
  </si>
  <si>
    <t>Don't send raw log entries back to on-premises monitoring systems. Instead, adopt a principle that�data born in Azure stays in Azure. If on-premises SIEM integration is required, then�send critical alerts�instead of logs.</t>
  </si>
  <si>
    <t>Use a centralized Azure Monitor Log Analytics workspace to collect logs and metrics from IaaS and PaaS application resources and�control log access with Azure RBAC.</t>
  </si>
  <si>
    <t>Use�Azure Monitor Logs�for insights and reporting.</t>
  </si>
  <si>
    <t>When necessary, use shared storage accounts within the landing zone for Azure diagnostic extension log storage.</t>
  </si>
  <si>
    <t>Use�Azure Monitor alerts�for the generation of operational alerts.</t>
  </si>
  <si>
    <t>Employ Azure Site Recovery for Azure-to-Azure Virtual Machines disaster recovery scenarios. This enables you to replicate workloads across regions.</t>
  </si>
  <si>
    <t>Ensure to use and test native PaaS service disaster recovery capabilities.</t>
  </si>
  <si>
    <t>Use Azure-native backup capabilities. Verify that partner/customer is aware of Azure Backup and all new capabilities which greatly can simplify backup management</t>
  </si>
  <si>
    <t>Security</t>
  </si>
  <si>
    <t>Secrets</t>
  </si>
  <si>
    <t>Azure Key Vault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</si>
  <si>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</si>
  <si>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</si>
  <si>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</si>
  <si>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</si>
  <si>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</si>
  <si>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Enable firewall and virtual network service endpoint on the vault to control access to the key vault.</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</si>
  <si>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</si>
  <si>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</si>
  <si>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</si>
  <si>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</si>
  <si>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</si>
  <si>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</si>
  <si>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Governance</t>
  </si>
  <si>
    <t>Leverage Azure Policy</t>
  </si>
  <si>
    <t>Identify required Azure tags and use the append policy mode to enforce usage.</t>
  </si>
  <si>
    <t>Map regulatory and compliance requirements to Azure Policy definitions and Azure role assignments.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</si>
  <si>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</si>
  <si>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</si>
  <si>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</si>
  <si>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</si>
  <si>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</si>
  <si>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</si>
  <si>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</si>
  <si>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</si>
  <si>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</si>
  <si>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</si>
  <si>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Enable Security Center Standard for all subscriptions.</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</si>
  <si>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</si>
  <si>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</si>
  <si>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</si>
  <si>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</si>
  <si>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</si>
  <si>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</si>
  <si>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Azure Landing Zone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</si>
</sst>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amily val="2"/>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
      <sz val="8"/>
      <color rgb="FF000000"/>
      <name val="Segoe UI"/>
      <family val="2"/>
    </font>
    <font>
      <sz val="8"/>
      <name val="Segoe UI"/>
      <family val="2"/>
    </font>
    <font>
      <b/>
      <sz val="18"/>
      <color theme="4"/>
      <name val="Segoe UI"/>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3" fillId="0" borderId="0" xfId="0" applyFont="1" applyAlignment="1">
      <alignment horizontal="left"/>
    </xf>
    <xf numFmtId="0" fontId="0" fillId="0" borderId="0" xfId="0" applyFill="1"/>
    <xf numFmtId="0" fontId="17" fillId="0" borderId="0" xfId="2" applyFont="1" applyFill="1" applyBorder="1" applyAlignment="1">
      <alignment horizontal="left" vertical="center"/>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151</c:v>
                </c:pt>
                <c:pt idx="2">
                  <c:v>1</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151</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5"/>
                <c:pt idx="0">
                  <c:v>Identity</c:v>
                </c:pt>
                <c:pt idx="1">
                  <c:v>Networking</c:v>
                </c:pt>
                <c:pt idx="2">
                  <c:v>Security</c:v>
                </c:pt>
                <c:pt idx="3">
                  <c:v>Management</c:v>
                </c:pt>
                <c:pt idx="4">
                  <c:v>Subscriptions</c:v>
                </c:pt>
              </c:strCache>
            </c:strRef>
          </c:cat>
          <c:val>
            <c:numRef>
              <c:f>Dashboard!$M$6:$M$12</c:f>
              <c:numCache>
                <c:formatCode>General</c:formatCode>
                <c:ptCount val="7"/>
                <c:pt idx="0">
                  <c:v>14</c:v>
                </c:pt>
                <c:pt idx="1">
                  <c:v>80</c:v>
                </c:pt>
                <c:pt idx="2">
                  <c:v>33</c:v>
                </c:pt>
                <c:pt idx="3">
                  <c:v>19</c:v>
                </c:pt>
                <c:pt idx="4">
                  <c:v>16</c:v>
                </c:pt>
                <c:pt idx="5">
                  <c:v>0</c:v>
                </c:pt>
                <c:pt idx="6">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Dashboard!$I$6:$I$12</c:f>
              <c:numCache>
                <c:formatCode>General</c:formatCode>
                <c:ptCount val="7"/>
                <c:pt idx="0">
                  <c:v>14</c:v>
                </c:pt>
                <c:pt idx="1">
                  <c:v>80</c:v>
                </c:pt>
                <c:pt idx="2">
                  <c:v>33</c:v>
                </c:pt>
                <c:pt idx="3">
                  <c:v>19</c:v>
                </c:pt>
                <c:pt idx="4">
                  <c:v>16</c:v>
                </c:pt>
                <c:pt idx="5">
                  <c:v>0</c:v>
                </c:pt>
                <c:pt idx="6">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4763</xdr:rowOff>
    </xdr:from>
    <xdr:to>
      <xdr:col>2</xdr:col>
      <xdr:colOff>544726</xdr:colOff>
      <xdr:row>1</xdr:row>
      <xdr:rowOff>101141</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800100</xdr:rowOff>
        </xdr:from>
        <xdr:to>
          <xdr:col>3</xdr:col>
          <xdr:colOff>201930</xdr:colOff>
          <xdr:row>0</xdr:row>
          <xdr:rowOff>1040130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400050</xdr:rowOff>
        </xdr:from>
        <xdr:to>
          <xdr:col>3</xdr:col>
          <xdr:colOff>190500</xdr:colOff>
          <xdr:row>0</xdr:row>
          <xdr:rowOff>678180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5921692</xdr:colOff>
          <xdr:row>0</xdr:row>
          <xdr:rowOff>266701</xdr:rowOff>
        </xdr:from>
        <xdr:to>
          <xdr:col>2</xdr:col>
          <xdr:colOff>7796212</xdr:colOff>
          <xdr:row>0</xdr:row>
          <xdr:rowOff>509589</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8183880</xdr:colOff>
          <xdr:row>0</xdr:row>
          <xdr:rowOff>144780</xdr:rowOff>
        </xdr:from>
        <xdr:to>
          <xdr:col>3</xdr:col>
          <xdr:colOff>601980</xdr:colOff>
          <xdr:row>0</xdr:row>
          <xdr:rowOff>1276350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5572125</xdr:colOff>
          <xdr:row>0</xdr:row>
          <xdr:rowOff>144780</xdr:rowOff>
        </xdr:from>
        <xdr:to>
          <xdr:col>2</xdr:col>
          <xdr:colOff>8001000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6996112</xdr:colOff>
          <xdr:row>0</xdr:row>
          <xdr:rowOff>638175</xdr:rowOff>
        </xdr:from>
        <xdr:to>
          <xdr:col>2</xdr:col>
          <xdr:colOff>7896224</xdr:colOff>
          <xdr:row>0</xdr:row>
          <xdr:rowOff>1252538</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7114222</xdr:colOff>
          <xdr:row>0</xdr:row>
          <xdr:rowOff>813435</xdr:rowOff>
        </xdr:from>
        <xdr:to>
          <xdr:col>2</xdr:col>
          <xdr:colOff>8028622</xdr:colOff>
          <xdr:row>0</xdr:row>
          <xdr:rowOff>1034415</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7114222</xdr:colOff>
          <xdr:row>0</xdr:row>
          <xdr:rowOff>954405</xdr:rowOff>
        </xdr:from>
        <xdr:to>
          <xdr:col>2</xdr:col>
          <xdr:colOff>8028622</xdr:colOff>
          <xdr:row>0</xdr:row>
          <xdr:rowOff>1171575</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5775960</xdr:colOff>
          <xdr:row>0</xdr:row>
          <xdr:rowOff>625792</xdr:rowOff>
        </xdr:from>
        <xdr:to>
          <xdr:col>2</xdr:col>
          <xdr:colOff>6675120</xdr:colOff>
          <xdr:row>0</xdr:row>
          <xdr:rowOff>1239202</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3C62CAD7-29EA-44EE-9870-D07C8F0C636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Technology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5816918</xdr:colOff>
          <xdr:row>0</xdr:row>
          <xdr:rowOff>751522</xdr:rowOff>
        </xdr:from>
        <xdr:to>
          <xdr:col>2</xdr:col>
          <xdr:colOff>6780848</xdr:colOff>
          <xdr:row>0</xdr:row>
          <xdr:rowOff>972502</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LZ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5820728</xdr:colOff>
          <xdr:row>0</xdr:row>
          <xdr:rowOff>908685</xdr:rowOff>
        </xdr:from>
        <xdr:to>
          <xdr:col>2</xdr:col>
          <xdr:colOff>6788468</xdr:colOff>
          <xdr:row>0</xdr:row>
          <xdr:rowOff>1129665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AKS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network-watcher/network-watcher-monitoring-overview" TargetMode="External"/><Relationship Id="rId21" Type="http://schemas.openxmlformats.org/officeDocument/2006/relationships/hyperlink" Target="https://docs.microsoft.com/azure/governance/management-groups/overview" TargetMode="External"/><Relationship Id="rId42" Type="http://schemas.openxmlformats.org/officeDocument/2006/relationships/hyperlink" Target="https://docs.microsoft.com/azure/virtual-wan/virtual-wan-about" TargetMode="External"/><Relationship Id="rId63" Type="http://schemas.openxmlformats.org/officeDocument/2006/relationships/hyperlink" Target="https://docs.microsoft.com/azure/networking/" TargetMode="External"/><Relationship Id="rId84" Type="http://schemas.openxmlformats.org/officeDocument/2006/relationships/hyperlink" Target="https://docs.microsoft.com/azure/web-application-firewall/ag/ag-overview" TargetMode="External"/><Relationship Id="rId138" Type="http://schemas.openxmlformats.org/officeDocument/2006/relationships/hyperlink" Target="https://docs.microsoft.com/azure/key-vault/general/best-practices" TargetMode="External"/><Relationship Id="rId159" Type="http://schemas.openxmlformats.org/officeDocument/2006/relationships/drawing" Target="../drawings/drawing2.xml"/><Relationship Id="rId170" Type="http://schemas.openxmlformats.org/officeDocument/2006/relationships/ctrlProp" Target="../ctrlProps/ctrlProp10.xml"/><Relationship Id="rId107" Type="http://schemas.openxmlformats.org/officeDocument/2006/relationships/hyperlink" Target="https://docs.microsoft.com/azure/virtual-wan/virtual-wan-about" TargetMode="External"/><Relationship Id="rId11" Type="http://schemas.openxmlformats.org/officeDocument/2006/relationships/hyperlink" Target="https://docs.microsoft.com/azure/active-directory-domain-services/overview" TargetMode="External"/><Relationship Id="rId32" Type="http://schemas.openxmlformats.org/officeDocument/2006/relationships/hyperlink" Target="https://docs.microsoft.com/azure/cloud-adoption-framework/ready/azure-best-practices/plan-for-ip-addressing" TargetMode="External"/><Relationship Id="rId53" Type="http://schemas.openxmlformats.org/officeDocument/2006/relationships/hyperlink" Target="https://azure.microsoft.com/solutions/network-appliances/" TargetMode="External"/><Relationship Id="rId74" Type="http://schemas.openxmlformats.org/officeDocument/2006/relationships/hyperlink" Target="https://docs.microsoft.com/azure/app-service/networking-features" TargetMode="External"/><Relationship Id="rId128" Type="http://schemas.openxmlformats.org/officeDocument/2006/relationships/hyperlink" Target="https://docs.microsoft.com/azure/key-vault/general/best-practices" TargetMode="External"/><Relationship Id="rId149" Type="http://schemas.openxmlformats.org/officeDocument/2006/relationships/hyperlink" Target="https://docs.microsoft.com/azure/governance/policy/overview" TargetMode="External"/><Relationship Id="rId5" Type="http://schemas.openxmlformats.org/officeDocument/2006/relationships/hyperlink" Target="https://docs.microsoft.com/azure/role-based-access-control/overview" TargetMode="External"/><Relationship Id="rId95" Type="http://schemas.openxmlformats.org/officeDocument/2006/relationships/hyperlink" Target="https://docs.microsoft.com/azure/web-application-firewall/ag/ag-overview" TargetMode="External"/><Relationship Id="rId160" Type="http://schemas.openxmlformats.org/officeDocument/2006/relationships/vmlDrawing" Target="../drawings/vmlDrawing1.vml"/><Relationship Id="rId22" Type="http://schemas.openxmlformats.org/officeDocument/2006/relationships/hyperlink" Target="https://docs.microsoft.com/azure/governance/management-groups/overview" TargetMode="External"/><Relationship Id="rId43" Type="http://schemas.openxmlformats.org/officeDocument/2006/relationships/hyperlink" Target="https://docs.microsoft.com/azure/virtual-wan/virtual-wan-about" TargetMode="External"/><Relationship Id="rId64" Type="http://schemas.openxmlformats.org/officeDocument/2006/relationships/hyperlink" Target="https://docs.microsoft.com/azure/expressroute/expressroute-routing" TargetMode="External"/><Relationship Id="rId118" Type="http://schemas.openxmlformats.org/officeDocument/2006/relationships/hyperlink" Target="https://docs.microsoft.com/azure/azure-resource-manager/management/lock-resources?tabs=json" TargetMode="External"/><Relationship Id="rId139" Type="http://schemas.openxmlformats.org/officeDocument/2006/relationships/hyperlink" Target="https://docs.microsoft.com/azure/key-vault/general/best-practices" TargetMode="External"/><Relationship Id="rId85" Type="http://schemas.openxmlformats.org/officeDocument/2006/relationships/hyperlink" Target="https://docs.microsoft.com/azure/web-application-firewall/ag/ag-overview" TargetMode="External"/><Relationship Id="rId150" Type="http://schemas.openxmlformats.org/officeDocument/2006/relationships/hyperlink" Target="https://docs.microsoft.com/azure/governance/policy/overview" TargetMode="External"/><Relationship Id="rId171" Type="http://schemas.openxmlformats.org/officeDocument/2006/relationships/ctrlProp" Target="../ctrlProps/ctrlProp11.xm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azure/network-watcher/network-watcher-monitoring-overview" TargetMode="External"/><Relationship Id="rId129" Type="http://schemas.openxmlformats.org/officeDocument/2006/relationships/hyperlink" Target="https://docs.microsoft.com/azure/key-vault/general/best-practices" TargetMode="External"/><Relationship Id="rId54" Type="http://schemas.openxmlformats.org/officeDocument/2006/relationships/hyperlink" Target="https://azure.microsoft.com/solutions/network-appliances/" TargetMode="External"/><Relationship Id="rId70" Type="http://schemas.openxmlformats.org/officeDocument/2006/relationships/hyperlink" Target="https://docs.microsoft.com/azure/networking/" TargetMode="External"/><Relationship Id="rId75" Type="http://schemas.openxmlformats.org/officeDocument/2006/relationships/hyperlink" Target="https://docs.microsoft.com/learn/paths/implement-resource-mgmt-security/" TargetMode="External"/><Relationship Id="rId91" Type="http://schemas.openxmlformats.org/officeDocument/2006/relationships/hyperlink" Target="https://docs.microsoft.com/azure/web-application-firewall/ag/ag-overview" TargetMode="External"/><Relationship Id="rId96" Type="http://schemas.openxmlformats.org/officeDocument/2006/relationships/hyperlink" Target="https://docs.microsoft.com/azure/web-application-firewall/ag/ag-overview" TargetMode="External"/><Relationship Id="rId140" Type="http://schemas.openxmlformats.org/officeDocument/2006/relationships/hyperlink" Target="https://docs.microsoft.com/azure/governance/policy/overview" TargetMode="External"/><Relationship Id="rId145" Type="http://schemas.openxmlformats.org/officeDocument/2006/relationships/hyperlink" Target="https://docs.microsoft.com/azure/governance/policy/overview" TargetMode="External"/><Relationship Id="rId161" Type="http://schemas.openxmlformats.org/officeDocument/2006/relationships/ctrlProp" Target="../ctrlProps/ctrlProp1.xml"/><Relationship Id="rId166" Type="http://schemas.openxmlformats.org/officeDocument/2006/relationships/ctrlProp" Target="../ctrlProps/ctrlProp6.xml"/><Relationship Id="rId1" Type="http://schemas.openxmlformats.org/officeDocument/2006/relationships/hyperlink" Target="https://docs.microsoft.com/azure/active-directory/roles/security-emergency-access" TargetMode="External"/><Relationship Id="rId6" Type="http://schemas.openxmlformats.org/officeDocument/2006/relationships/hyperlink" Target="https://docs.microsoft.com/azure/active-directory/privileged-identity-management/pim-configure" TargetMode="External"/><Relationship Id="rId23" Type="http://schemas.openxmlformats.org/officeDocument/2006/relationships/hyperlink" Target="https://docs.microsoft.com/azure/governance/management-groups/overview" TargetMode="External"/><Relationship Id="rId28" Type="http://schemas.openxmlformats.org/officeDocument/2006/relationships/hyperlink" Target="https://docs.microsoft.com/azure/cost-management-billing/cost-management-billing-overview" TargetMode="External"/><Relationship Id="rId49" Type="http://schemas.openxmlformats.org/officeDocument/2006/relationships/hyperlink" Target="https://docs.microsoft.com/azure/virtual-wan/virtual-wan-about" TargetMode="External"/><Relationship Id="rId114" Type="http://schemas.openxmlformats.org/officeDocument/2006/relationships/hyperlink" Target="https://docs.microsoft.com/azure/azure-monitor/logs/design-logs-deployment" TargetMode="External"/><Relationship Id="rId119" Type="http://schemas.openxmlformats.org/officeDocument/2006/relationships/hyperlink" Target="https://docs.microsoft.com/azure/governance/policy/overview" TargetMode="External"/><Relationship Id="rId44" Type="http://schemas.openxmlformats.org/officeDocument/2006/relationships/hyperlink" Target="https://docs.microsoft.com/azure/virtual-wan/virtual-wan-about" TargetMode="External"/><Relationship Id="rId60" Type="http://schemas.openxmlformats.org/officeDocument/2006/relationships/hyperlink" Target="https://docs.microsoft.com/azure/expressroute/expressroute-routing" TargetMode="External"/><Relationship Id="rId65" Type="http://schemas.openxmlformats.org/officeDocument/2006/relationships/hyperlink" Target="https://docs.microsoft.com/azure/expressroute/expressroute-routing" TargetMode="External"/><Relationship Id="rId81" Type="http://schemas.openxmlformats.org/officeDocument/2006/relationships/hyperlink" Target="https://docs.microsoft.com/azure/firewall/" TargetMode="External"/><Relationship Id="rId86" Type="http://schemas.openxmlformats.org/officeDocument/2006/relationships/hyperlink" Target="https://docs.microsoft.com/azure/web-application-firewall/ag/ag-overview" TargetMode="External"/><Relationship Id="rId130" Type="http://schemas.openxmlformats.org/officeDocument/2006/relationships/hyperlink" Target="https://docs.microsoft.com/azure/key-vault/general/best-practices" TargetMode="External"/><Relationship Id="rId135" Type="http://schemas.openxmlformats.org/officeDocument/2006/relationships/hyperlink" Target="https://docs.microsoft.com/azure/key-vault/general/best-practices" TargetMode="External"/><Relationship Id="rId151" Type="http://schemas.openxmlformats.org/officeDocument/2006/relationships/hyperlink" Target="https://docs.microsoft.com/azure/active-directory/reports-monitoring/overview-reports" TargetMode="External"/><Relationship Id="rId156" Type="http://schemas.openxmlformats.org/officeDocument/2006/relationships/hyperlink" Target="https://docs.microsoft.com/security/benchmark/azure/security-control-incident-response" TargetMode="External"/><Relationship Id="rId13" Type="http://schemas.openxmlformats.org/officeDocument/2006/relationships/hyperlink" Target="https://docs.microsoft.com/azure/architecture/reference-architectures/identity/adds-extend-domain" TargetMode="External"/><Relationship Id="rId18" Type="http://schemas.openxmlformats.org/officeDocument/2006/relationships/hyperlink" Target="https://docs.microsoft.com/azure/governance/management-groups/overview" TargetMode="External"/><Relationship Id="rId39" Type="http://schemas.openxmlformats.org/officeDocument/2006/relationships/hyperlink" Target="https://docs.microsoft.com/azure/virtual-wan/virtual-wan-about" TargetMode="External"/><Relationship Id="rId109" Type="http://schemas.openxmlformats.org/officeDocument/2006/relationships/hyperlink" Target="https://docs.microsoft.com/azure/virtual-network/network-security-group-how-it-works" TargetMode="External"/><Relationship Id="rId34" Type="http://schemas.openxmlformats.org/officeDocument/2006/relationships/hyperlink" Target="https://docs.microsoft.com/azure/cloud-adoption-framework/ready/azure-best-practices/plan-for-ip-addressing" TargetMode="External"/><Relationship Id="rId50" Type="http://schemas.openxmlformats.org/officeDocument/2006/relationships/hyperlink" Target="https://docs.microsoft.com/azure/cloud-adoption-framework/ready/enterprise-scale/network-topology-and-connectivity" TargetMode="External"/><Relationship Id="rId55" Type="http://schemas.openxmlformats.org/officeDocument/2006/relationships/hyperlink" Target="https://docs.microsoft.com/azure/expressroute/expressroute-faqs" TargetMode="External"/><Relationship Id="rId76" Type="http://schemas.openxmlformats.org/officeDocument/2006/relationships/hyperlink" Target="https://docs.microsoft.com/azure/app-service/networking-features" TargetMode="External"/><Relationship Id="rId97" Type="http://schemas.openxmlformats.org/officeDocument/2006/relationships/hyperlink" Target="https://docs.microsoft.com/azure/web-application-firewall/ag/ag-overview" TargetMode="External"/><Relationship Id="rId104" Type="http://schemas.openxmlformats.org/officeDocument/2006/relationships/hyperlink" Target="https://docs.microsoft.com/azure/firewall/" TargetMode="External"/><Relationship Id="rId120" Type="http://schemas.openxmlformats.org/officeDocument/2006/relationships/hyperlink" Target="https://docs.microsoft.com/azure/?product=featured" TargetMode="External"/><Relationship Id="rId125" Type="http://schemas.openxmlformats.org/officeDocument/2006/relationships/hyperlink" Target="https://docs.microsoft.com/azure/azure-monitor/alerts/alerts-overview" TargetMode="External"/><Relationship Id="rId141" Type="http://schemas.openxmlformats.org/officeDocument/2006/relationships/hyperlink" Target="https://docs.microsoft.com/azure/cloud-adoption-framework/decision-guides/resource-tagging/?toc=/azure/azure-resource-manager/management/toc.json" TargetMode="External"/><Relationship Id="rId146" Type="http://schemas.openxmlformats.org/officeDocument/2006/relationships/hyperlink" Target="https://docs.microsoft.com/azure/governance/policy/overview" TargetMode="External"/><Relationship Id="rId167" Type="http://schemas.openxmlformats.org/officeDocument/2006/relationships/ctrlProp" Target="../ctrlProps/ctrlProp7.xml"/><Relationship Id="rId7" Type="http://schemas.openxmlformats.org/officeDocument/2006/relationships/hyperlink" Target="https://docs.microsoft.com/azure/active-directory-b2c/user-overview" TargetMode="External"/><Relationship Id="rId71" Type="http://schemas.openxmlformats.org/officeDocument/2006/relationships/hyperlink" Target="https://docs.microsoft.com/azure/app-service/networking-features" TargetMode="External"/><Relationship Id="rId92" Type="http://schemas.openxmlformats.org/officeDocument/2006/relationships/hyperlink" Target="https://docs.microsoft.com/azure/web-application-firewall/ag/ag-overview" TargetMode="External"/><Relationship Id="rId162" Type="http://schemas.openxmlformats.org/officeDocument/2006/relationships/ctrlProp" Target="../ctrlProps/ctrlProp2.xm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governance/management-groups/overview" TargetMode="External"/><Relationship Id="rId24" Type="http://schemas.openxmlformats.org/officeDocument/2006/relationships/hyperlink" Target="https://docs.microsoft.com/azure/azure-resource-manager/management/azure-subscription-service-limits" TargetMode="External"/><Relationship Id="rId40" Type="http://schemas.openxmlformats.org/officeDocument/2006/relationships/hyperlink" Target="https://docs.microsoft.com/azure/virtual-wan/virtual-wan-about"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azure/networking/" TargetMode="External"/><Relationship Id="rId87" Type="http://schemas.openxmlformats.org/officeDocument/2006/relationships/hyperlink" Target="https://azure.microsoft.com/solutions/network-appliances/" TargetMode="External"/><Relationship Id="rId110" Type="http://schemas.openxmlformats.org/officeDocument/2006/relationships/hyperlink" Target="https://docs.microsoft.com/azure/private-link/inspect-traffic-with-azure-firewall" TargetMode="External"/><Relationship Id="rId115" Type="http://schemas.openxmlformats.org/officeDocument/2006/relationships/hyperlink" Target="https://docs.microsoft.com/azure/governance/policy/how-to/guest-configuration-create" TargetMode="External"/><Relationship Id="rId131" Type="http://schemas.openxmlformats.org/officeDocument/2006/relationships/hyperlink" Target="https://docs.microsoft.com/azure/key-vault/general/best-practices" TargetMode="External"/><Relationship Id="rId136" Type="http://schemas.openxmlformats.org/officeDocument/2006/relationships/hyperlink" Target="https://docs.microsoft.com/azure/key-vault/general/best-practices" TargetMode="External"/><Relationship Id="rId157" Type="http://schemas.openxmlformats.org/officeDocument/2006/relationships/hyperlink" Target="https://www.microsoft.com/itshowcase/implementing-a-zero-trust-security-model-at-microsoft" TargetMode="External"/><Relationship Id="rId61" Type="http://schemas.openxmlformats.org/officeDocument/2006/relationships/hyperlink" Target="https://docs.microsoft.com/azure/expressroute/expressroute-routing" TargetMode="External"/><Relationship Id="rId82" Type="http://schemas.openxmlformats.org/officeDocument/2006/relationships/hyperlink" Target="https://docs.microsoft.com/azure/firewall/" TargetMode="External"/><Relationship Id="rId152" Type="http://schemas.openxmlformats.org/officeDocument/2006/relationships/hyperlink" Target="https://docs.microsoft.com/azure/azure-monitor/logs/logs-data-export?tabs=portal" TargetMode="External"/><Relationship Id="rId19" Type="http://schemas.openxmlformats.org/officeDocument/2006/relationships/hyperlink" Target="https://docs.microsoft.com/azure/governance/management-groups/overview" TargetMode="External"/><Relationship Id="rId14" Type="http://schemas.openxmlformats.org/officeDocument/2006/relationships/hyperlink" Target="https://docs.microsoft.com/azure/active-directory/app-proxy/application-proxy" TargetMode="External"/><Relationship Id="rId30" Type="http://schemas.openxmlformats.org/officeDocument/2006/relationships/hyperlink" Target="https://docs.microsoft.com/azure/cloud-adoption-framework/decision-guides/resource-tagging/?toc=/azure/azure-resource-manager/management/toc.json" TargetMode="External"/><Relationship Id="rId35" Type="http://schemas.openxmlformats.org/officeDocument/2006/relationships/hyperlink" Target="https://docs.microsoft.com/azure/virtual-network/virtual-networks-name-resolution-for-vms-and-role-instances" TargetMode="External"/><Relationship Id="rId56" Type="http://schemas.openxmlformats.org/officeDocument/2006/relationships/hyperlink" Target="https://docs.microsoft.com/azure/expressroute/expressroute-faqs" TargetMode="External"/><Relationship Id="rId77" Type="http://schemas.openxmlformats.org/officeDocument/2006/relationships/hyperlink" Target="https://docs.microsoft.com/azure/app-service/networking-features" TargetMode="External"/><Relationship Id="rId100" Type="http://schemas.openxmlformats.org/officeDocument/2006/relationships/hyperlink" Target="https://docs.microsoft.com/azure/virtual-network/network-security-group-how-it-works" TargetMode="External"/><Relationship Id="rId105" Type="http://schemas.openxmlformats.org/officeDocument/2006/relationships/hyperlink" Target="https://docs.microsoft.com/azure/expressroute/expressroute-erdirect-about" TargetMode="External"/><Relationship Id="rId126" Type="http://schemas.openxmlformats.org/officeDocument/2006/relationships/hyperlink" Target="https://docs.microsoft.com/azure/backup/backup-center-overview" TargetMode="External"/><Relationship Id="rId147" Type="http://schemas.openxmlformats.org/officeDocument/2006/relationships/hyperlink" Target="https://docs.microsoft.com/azure/governance/policy/overview" TargetMode="External"/><Relationship Id="rId168" Type="http://schemas.openxmlformats.org/officeDocument/2006/relationships/ctrlProp" Target="../ctrlProps/ctrlProp8.xml"/><Relationship Id="rId8" Type="http://schemas.openxmlformats.org/officeDocument/2006/relationships/hyperlink" Target="https://docs.microsoft.com/azure/active-directory/fundamentals/active-directory-groups-create-azure-portal" TargetMode="External"/><Relationship Id="rId51" Type="http://schemas.openxmlformats.org/officeDocument/2006/relationships/hyperlink" Target="https://docs.microsoft.com/azure/architecture/reference-architectures/hybrid-networking/expressroute" TargetMode="External"/><Relationship Id="rId72" Type="http://schemas.openxmlformats.org/officeDocument/2006/relationships/hyperlink" Target="https://docs.microsoft.com/azure/app-service/networking-features" TargetMode="External"/><Relationship Id="rId93" Type="http://schemas.openxmlformats.org/officeDocument/2006/relationships/hyperlink" Target="https://docs.microsoft.com/azure/web-application-firewall/ag/ag-overview" TargetMode="External"/><Relationship Id="rId98" Type="http://schemas.openxmlformats.org/officeDocument/2006/relationships/hyperlink" Target="https://docs.microsoft.com/azure/cloud-adoption-framework/ready/azure-setup-guide/organize-resources?tabs=AzureManagementGroupsAndHierarchy" TargetMode="External"/><Relationship Id="rId121" Type="http://schemas.openxmlformats.org/officeDocument/2006/relationships/hyperlink" Target="https://docs.microsoft.com/azure/sentinel/quickstart-onboard" TargetMode="External"/><Relationship Id="rId142" Type="http://schemas.openxmlformats.org/officeDocument/2006/relationships/hyperlink" Target="https://docs.microsoft.com/azure/governance/policy/overview" TargetMode="External"/><Relationship Id="rId163" Type="http://schemas.openxmlformats.org/officeDocument/2006/relationships/ctrlProp" Target="../ctrlProps/ctrlProp3.xml"/><Relationship Id="rId3" Type="http://schemas.openxmlformats.org/officeDocument/2006/relationships/hyperlink" Target="https://docs.microsoft.com/azure/active-directory/conditional-access/overview" TargetMode="External"/><Relationship Id="rId25" Type="http://schemas.openxmlformats.org/officeDocument/2006/relationships/hyperlink" Target="https://docs.microsoft.com/azure/cost-management-billing/reservations/save-compute-costs-reservations" TargetMode="External"/><Relationship Id="rId46" Type="http://schemas.openxmlformats.org/officeDocument/2006/relationships/hyperlink" Target="https://docs.microsoft.com/azure/virtual-wan/virtual-wan-about" TargetMode="External"/><Relationship Id="rId67" Type="http://schemas.openxmlformats.org/officeDocument/2006/relationships/hyperlink" Target="https://docs.microsoft.com/azure/networking/" TargetMode="External"/><Relationship Id="rId116" Type="http://schemas.openxmlformats.org/officeDocument/2006/relationships/hyperlink" Target="https://docs.microsoft.com/azure/automation/update-management/overview" TargetMode="External"/><Relationship Id="rId137" Type="http://schemas.openxmlformats.org/officeDocument/2006/relationships/hyperlink" Target="https://docs.microsoft.com/azure/key-vault/general/best-practices" TargetMode="External"/><Relationship Id="rId158" Type="http://schemas.openxmlformats.org/officeDocument/2006/relationships/printerSettings" Target="../printerSettings/printerSettings1.bin"/><Relationship Id="rId20" Type="http://schemas.openxmlformats.org/officeDocument/2006/relationships/hyperlink" Target="https://docs.microsoft.com/azure/governance/management-groups/overview" TargetMode="External"/><Relationship Id="rId41" Type="http://schemas.openxmlformats.org/officeDocument/2006/relationships/hyperlink" Target="https://docs.microsoft.com/azure/virtual-wan/virtual-wan-about" TargetMode="External"/><Relationship Id="rId62" Type="http://schemas.openxmlformats.org/officeDocument/2006/relationships/hyperlink" Target="https://docs.microsoft.com/azure/expressroute/expressroute-about-virtual-network-gateways" TargetMode="External"/><Relationship Id="rId83" Type="http://schemas.openxmlformats.org/officeDocument/2006/relationships/hyperlink" Target="https://docs.microsoft.com/azure/firewall/" TargetMode="External"/><Relationship Id="rId88" Type="http://schemas.openxmlformats.org/officeDocument/2006/relationships/hyperlink" Target="https://azure.microsoft.com/solutions/network-appliances/" TargetMode="External"/><Relationship Id="rId111" Type="http://schemas.openxmlformats.org/officeDocument/2006/relationships/hyperlink" Target="https://docs.microsoft.com/azure/azure-monitor/logs/design-logs-deployment" TargetMode="External"/><Relationship Id="rId132" Type="http://schemas.openxmlformats.org/officeDocument/2006/relationships/hyperlink" Target="https://docs.microsoft.com/azure/key-vault/general/best-practices" TargetMode="External"/><Relationship Id="rId153" Type="http://schemas.openxmlformats.org/officeDocument/2006/relationships/hyperlink" Target="https://docs.microsoft.com/azure/security-center/" TargetMode="External"/><Relationship Id="rId15" Type="http://schemas.openxmlformats.org/officeDocument/2006/relationships/hyperlink" Target="https://docs.microsoft.com/azure/governance/management-groups/overview" TargetMode="External"/><Relationship Id="rId36" Type="http://schemas.openxmlformats.org/officeDocument/2006/relationships/hyperlink" Target="https://docs.microsoft.com/azure/virtual-network/virtual-networks-name-resolution-for-vms-and-role-instances" TargetMode="External"/><Relationship Id="rId57" Type="http://schemas.openxmlformats.org/officeDocument/2006/relationships/hyperlink" Target="https://docs.microsoft.com/azure/expressroute/expressroute-faqs" TargetMode="External"/><Relationship Id="rId106" Type="http://schemas.openxmlformats.org/officeDocument/2006/relationships/hyperlink" Target="https://docs.microsoft.com/azure/virtual-network/virtual-network-peering-overview" TargetMode="External"/><Relationship Id="rId127" Type="http://schemas.openxmlformats.org/officeDocument/2006/relationships/hyperlink" Target="https://docs.microsoft.com/azure/backup/backup-center-overview"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plan-for-ip-addressing" TargetMode="External"/><Relationship Id="rId52" Type="http://schemas.openxmlformats.org/officeDocument/2006/relationships/hyperlink" Target="https://docs.microsoft.com/azure/cloud-adoption-framework/ready/enterprise-scale/network-topology-and-connectivity" TargetMode="External"/><Relationship Id="rId73" Type="http://schemas.openxmlformats.org/officeDocument/2006/relationships/hyperlink" Target="https://docs.microsoft.com/azure/app-service/networking-features" TargetMode="External"/><Relationship Id="rId78" Type="http://schemas.openxmlformats.org/officeDocument/2006/relationships/hyperlink" Target="https://docs.microsoft.com/azure/app-service/networking-features" TargetMode="External"/><Relationship Id="rId94" Type="http://schemas.openxmlformats.org/officeDocument/2006/relationships/hyperlink" Target="https://docs.microsoft.com/azure/ddos-protection/ddos-protection-overview" TargetMode="External"/><Relationship Id="rId99" Type="http://schemas.openxmlformats.org/officeDocument/2006/relationships/hyperlink" Target="https://docs.microsoft.com/azure/virtual-network/network-security-group-how-it-works" TargetMode="External"/><Relationship Id="rId101" Type="http://schemas.openxmlformats.org/officeDocument/2006/relationships/hyperlink" Target="https://docs.microsoft.com/azure/virtual-network/network-security-group-how-it-works" TargetMode="External"/><Relationship Id="rId122" Type="http://schemas.openxmlformats.org/officeDocument/2006/relationships/hyperlink" Target="https://docs.microsoft.com/azure/azure-monitor/logs/design-logs-deployment" TargetMode="External"/><Relationship Id="rId143" Type="http://schemas.openxmlformats.org/officeDocument/2006/relationships/hyperlink" Target="https://docs.microsoft.com/azure/governance/policy/overview" TargetMode="External"/><Relationship Id="rId148" Type="http://schemas.openxmlformats.org/officeDocument/2006/relationships/hyperlink" Target="https://docs.microsoft.com/azure/governance/policy/overview" TargetMode="External"/><Relationship Id="rId164" Type="http://schemas.openxmlformats.org/officeDocument/2006/relationships/ctrlProp" Target="../ctrlProps/ctrlProp4.xml"/><Relationship Id="rId169" Type="http://schemas.openxmlformats.org/officeDocument/2006/relationships/ctrlProp" Target="../ctrlProps/ctrlProp9.xml"/><Relationship Id="rId4" Type="http://schemas.openxmlformats.org/officeDocument/2006/relationships/hyperlink" Target="https://docs.microsoft.com/azure/active-directory/authentication/concept-mfa-howitworks" TargetMode="External"/><Relationship Id="rId9" Type="http://schemas.openxmlformats.org/officeDocument/2006/relationships/hyperlink" Target="https://docs.microsoft.com/azure/role-based-access-control/custom-roles" TargetMode="External"/><Relationship Id="rId26" Type="http://schemas.openxmlformats.org/officeDocument/2006/relationships/hyperlink" Target="https://docs.microsoft.com/azure/architecture/framework/scalability/design-capacity" TargetMode="External"/><Relationship Id="rId47" Type="http://schemas.openxmlformats.org/officeDocument/2006/relationships/hyperlink" Target="https://docs.microsoft.com/azure/virtual-wan/virtual-wan-about" TargetMode="External"/><Relationship Id="rId68" Type="http://schemas.openxmlformats.org/officeDocument/2006/relationships/hyperlink" Target="https://docs.microsoft.com/azure/networking/" TargetMode="External"/><Relationship Id="rId89" Type="http://schemas.openxmlformats.org/officeDocument/2006/relationships/hyperlink" Target="https://docs.microsoft.com/azure/ddos-protection/ddos-protection-overview" TargetMode="External"/><Relationship Id="rId112" Type="http://schemas.openxmlformats.org/officeDocument/2006/relationships/hyperlink" Target="https://docs.microsoft.com/azure/azure-monitor/logs/design-logs-deployment" TargetMode="External"/><Relationship Id="rId133" Type="http://schemas.openxmlformats.org/officeDocument/2006/relationships/hyperlink" Target="https://docs.microsoft.com/azure/key-vault/general/best-practices" TargetMode="External"/><Relationship Id="rId154" Type="http://schemas.openxmlformats.org/officeDocument/2006/relationships/hyperlink" Target="https://docs.microsoft.com/azure/security-center/" TargetMode="External"/><Relationship Id="rId16" Type="http://schemas.openxmlformats.org/officeDocument/2006/relationships/hyperlink" Target="https://docs.microsoft.com/azure/cloud-adoption-framework/decision-guides/resource-tagging/?toc=/azure/azure-resource-manager/management/toc.json" TargetMode="Externa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azure-monitor/insights/network-insights-overview" TargetMode="External"/><Relationship Id="rId79" Type="http://schemas.openxmlformats.org/officeDocument/2006/relationships/hyperlink" Target="https://docs.microsoft.com/azure/app-service/networking-features" TargetMode="External"/><Relationship Id="rId102" Type="http://schemas.openxmlformats.org/officeDocument/2006/relationships/hyperlink" Target="https://docs.microsoft.com/azure/virtual-network/network-security-group-how-it-works" TargetMode="External"/><Relationship Id="rId123" Type="http://schemas.openxmlformats.org/officeDocument/2006/relationships/hyperlink" Target="https://docs.microsoft.com/azure/cloud-adoption-framework/ready/azure-setup-guide/monitoring-reporting?tabs=AzureMonitor" TargetMode="External"/><Relationship Id="rId144" Type="http://schemas.openxmlformats.org/officeDocument/2006/relationships/hyperlink" Target="https://docs.microsoft.com/azure/governance/policy/overview" TargetMode="External"/><Relationship Id="rId90" Type="http://schemas.openxmlformats.org/officeDocument/2006/relationships/hyperlink" Target="https://docs.microsoft.com/azure/cloud-adoption-framework/ready/azure-setup-guide/organize-resources?tabs=AzureManagementGroupsAndHierarchy" TargetMode="External"/><Relationship Id="rId165" Type="http://schemas.openxmlformats.org/officeDocument/2006/relationships/ctrlProp" Target="../ctrlProps/ctrlProp5.xml"/><Relationship Id="rId27" Type="http://schemas.openxmlformats.org/officeDocument/2006/relationships/hyperlink" Target="https://azure.microsoft.com/global-infrastructure/services/" TargetMode="External"/><Relationship Id="rId48" Type="http://schemas.openxmlformats.org/officeDocument/2006/relationships/hyperlink" Target="https://docs.microsoft.com/azure/virtual-wan/virtual-wan-about" TargetMode="External"/><Relationship Id="rId69" Type="http://schemas.openxmlformats.org/officeDocument/2006/relationships/hyperlink" Target="https://docs.microsoft.com/azure/networking/" TargetMode="External"/><Relationship Id="rId113" Type="http://schemas.openxmlformats.org/officeDocument/2006/relationships/hyperlink" Target="https://docs.microsoft.com/azure/azure-monitor/logs/design-logs-deployment" TargetMode="External"/><Relationship Id="rId134" Type="http://schemas.openxmlformats.org/officeDocument/2006/relationships/hyperlink" Target="https://docs.microsoft.com/azure/key-vault/general/best-practices" TargetMode="External"/><Relationship Id="rId80" Type="http://schemas.openxmlformats.org/officeDocument/2006/relationships/hyperlink" Target="https://docs.microsoft.com/azure/firewall/" TargetMode="External"/><Relationship Id="rId155" Type="http://schemas.openxmlformats.org/officeDocument/2006/relationships/hyperlink" Target="https://docs.microsoft.com/azure/azure-monitor/logs/design-logs-deployment" TargetMode="External"/><Relationship Id="rId17"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virtual-network/virtual-networks-name-resolution-for-vms-and-role-instances" TargetMode="External"/><Relationship Id="rId59" Type="http://schemas.openxmlformats.org/officeDocument/2006/relationships/hyperlink" Target="https://docs.microsoft.com/azure/architecture/reference-architectures/hybrid-networking/hub-spoke?tabs=cli" TargetMode="External"/><Relationship Id="rId103" Type="http://schemas.openxmlformats.org/officeDocument/2006/relationships/hyperlink" Target="https://docs.microsoft.com/azure/virtual-network/network-security-group-how-it-works" TargetMode="External"/><Relationship Id="rId124" Type="http://schemas.openxmlformats.org/officeDocument/2006/relationships/hyperlink" Target="https://docs.microsoft.com/azure/azure-monitor/agents/diagnostics-extension-overview"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zoomScale="80" zoomScaleNormal="80" workbookViewId="0">
      <selection activeCell="F10" sqref="F10"/>
    </sheetView>
  </sheetViews>
  <sheetFormatPr defaultRowHeight="14.4" x14ac:dyDescent="0.55000000000000004"/>
  <cols>
    <col min="1" max="1" width="28.26171875" customWidth="1"/>
  </cols>
  <sheetData>
    <row r="2" spans="1:13" ht="30.6" x14ac:dyDescent="1.1000000000000001">
      <c r="A2" s="16" t="s">
        <v>15</v>
      </c>
      <c r="D2" s="19">
        <f>S27</f>
        <v>0</v>
      </c>
    </row>
    <row r="5" spans="1:13" x14ac:dyDescent="0.55000000000000004">
      <c r="B5" s="15" t="str">
        <f>Values!$B$2</f>
        <v>Not verified</v>
      </c>
      <c r="C5" s="15" t="str">
        <f>Values!$B$3</f>
        <v>Open</v>
      </c>
      <c r="D5" s="15" t="str">
        <f>Values!$B$4</f>
        <v>Fulfilled</v>
      </c>
      <c r="E5" s="15" t="str">
        <f>Values!$B$5</f>
        <v>N/A</v>
      </c>
      <c r="I5" s="15" t="str">
        <f>Values!$B$2</f>
        <v>Not verified</v>
      </c>
      <c r="J5" s="15" t="str">
        <f>Values!$B$3</f>
        <v>Open</v>
      </c>
      <c r="K5" s="15" t="str">
        <f>Values!$B$4</f>
        <v>Fulfilled</v>
      </c>
      <c r="L5" s="15" t="str">
        <f>Values!$B$5</f>
        <v>N/A</v>
      </c>
      <c r="M5" s="15" t="s">
        <v>17</v>
      </c>
    </row>
    <row r="6" spans="1:13" x14ac:dyDescent="0.55000000000000004">
      <c r="A6" s="15" t="str">
        <f>Values!A2</f>
        <v>High</v>
      </c>
      <c r="B6" cm="1">
        <f t="array" ref="B6">SUMPRODUCT(--(Checklist!$D$5:$G$500=$A6)*--(Checklist!$E$5:$E$500=B$5))</f>
        <v>10</v>
      </c>
      <c r="C6" cm="1">
        <f t="array" ref="C6">SUMPRODUCT(--(Checklist!$D$5:$G$500=$A6)*--(Checklist!$E$5:$E$500=C$5))</f>
        <v>0</v>
      </c>
      <c r="D6" cm="1">
        <f t="array" ref="D6">SUMPRODUCT(--(Checklist!$D$5:$G$500=$A6)*--(Checklist!$E$5:$E$500=D$5))</f>
        <v>0</v>
      </c>
      <c r="E6" cm="1">
        <f t="array" ref="E6">SUMPRODUCT(--(Checklist!$D$5:$G$500=$A6)*--(Checklist!$E$5:$E$500=E$5))</f>
        <v>0</v>
      </c>
      <c r="F6">
        <f>SUM(B6:E6)</f>
        <v>10</v>
      </c>
      <c r="H6" s="15" t="str">
        <f>IF(Values!$C2="","",Values!$C2)</f>
        <v>Identity</v>
      </c>
      <c r="I6" cm="1">
        <f t="array" ref="I6">IF($H6="","",SUMPRODUCT(--(Checklist!$A$5:$A$500=$H6)*--(Checklist!$E$5:$E$500=I$5)))</f>
        <v>14</v>
      </c>
      <c r="J6" cm="1">
        <f t="array" ref="J6">IF($H6="","",SUMPRODUCT(--(Checklist!$A$5:$A$500=$H6)*--(Checklist!$E$5:$E$500=J$5)))</f>
        <v>0</v>
      </c>
      <c r="K6" cm="1">
        <f t="array" ref="K6">IF($H6="","",SUMPRODUCT(--(Checklist!$A$5:$A$500=$H6)*--(Checklist!$E$5:$E$500=K$5)))</f>
        <v>0</v>
      </c>
      <c r="L6" cm="1">
        <f t="array" ref="L6">IF($H6="","",SUMPRODUCT(--(Checklist!$A$5:$A$500=$H6)*--(Checklist!$E$5:$E$500=L$5)))</f>
        <v>0</v>
      </c>
      <c r="M6">
        <f>IF($H6="","",SUM(I6:L6))</f>
        <v>14</v>
      </c>
    </row>
    <row r="7" spans="1:13" x14ac:dyDescent="0.55000000000000004">
      <c r="A7" s="15" t="str">
        <f>Values!A3</f>
        <v>Medium</v>
      </c>
      <c r="B7" cm="1">
        <f t="array" ref="B7">SUMPRODUCT(--(Checklist!$D$5:$G$500=$A7)*--(Checklist!$E$5:$E$500=B$5))</f>
        <v>151</v>
      </c>
      <c r="C7" cm="1">
        <f t="array" ref="C7">SUMPRODUCT(--(Checklist!$D$5:$G$500=$A7)*--(Checklist!$E$5:$E$500=C$5))</f>
        <v>0</v>
      </c>
      <c r="D7" cm="1">
        <f t="array" ref="D7">SUMPRODUCT(--(Checklist!$D$5:$G$500=$A7)*--(Checklist!$E$5:$E$500=D$5))</f>
        <v>0</v>
      </c>
      <c r="E7" cm="1">
        <f t="array" ref="E7">SUMPRODUCT(--(Checklist!$D$5:$G$500=$A7)*--(Checklist!$E$5:$E$500=E$5))</f>
        <v>0</v>
      </c>
      <c r="F7">
        <f t="shared" ref="F7:F8" si="0">SUM(B7:E7)</f>
        <v>151</v>
      </c>
      <c r="H7" s="15" t="str">
        <f>IF(Values!$C3="","",Values!$C3)</f>
        <v>Networking</v>
      </c>
      <c r="I7" cm="1">
        <f t="array" ref="I7">IF($H7="","",SUMPRODUCT(--(Checklist!$A$5:$A$500=$H7)*--(Checklist!$E$5:$E$500=I$5)))</f>
        <v>80</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80</v>
      </c>
    </row>
    <row r="8" spans="1:13" x14ac:dyDescent="0.55000000000000004">
      <c r="A8" s="15" t="str">
        <f>Values!A4</f>
        <v>Low</v>
      </c>
      <c r="B8" cm="1">
        <f t="array" ref="B8">SUMPRODUCT(--(Checklist!$D$5:$G$500=$A8)*--(Checklist!$E$5:$E$500=B$5))</f>
        <v>1</v>
      </c>
      <c r="C8" cm="1">
        <f t="array" ref="C8">SUMPRODUCT(--(Checklist!$D$5:$G$500=$A8)*--(Checklist!$E$5:$E$500=C$5))</f>
        <v>0</v>
      </c>
      <c r="D8" cm="1">
        <f t="array" ref="D8">SUMPRODUCT(--(Checklist!$D$5:$G$500=$A8)*--(Checklist!$E$5:$E$500=D$5))</f>
        <v>0</v>
      </c>
      <c r="E8" cm="1">
        <f t="array" ref="E8">SUMPRODUCT(--(Checklist!$D$5:$G$500=$A8)*--(Checklist!$E$5:$E$500=E$5))</f>
        <v>0</v>
      </c>
      <c r="F8">
        <f t="shared" si="0"/>
        <v>1</v>
      </c>
      <c r="H8" s="15" t="str">
        <f>IF(Values!$C4="","",Values!$C4)</f>
        <v>Security</v>
      </c>
      <c r="I8" cm="1">
        <f t="array" ref="I8">IF($H8="","",SUMPRODUCT(--(Checklist!$A$5:$A$500=$H8)*--(Checklist!$E$5:$E$500=I$5)))</f>
        <v>33</v>
      </c>
      <c r="J8" cm="1">
        <f t="array" ref="J8">IF($H8="","",SUMPRODUCT(--(Checklist!$A$5:$A$500=$H8)*--(Checklist!$E$5:$E$500=J$5)))</f>
        <v>0</v>
      </c>
      <c r="K8" cm="1">
        <f t="array" ref="K8">IF($H8="","",SUMPRODUCT(--(Checklist!$A$5:$A$500=$H8)*--(Checklist!$E$5:$E$500=K$5)))</f>
        <v>0</v>
      </c>
      <c r="L8" cm="1">
        <f t="array" ref="L8">IF($H8="","",SUMPRODUCT(--(Checklist!$A$5:$A$500=$H8)*--(Checklist!$E$5:$E$500=L$5)))</f>
        <v>0</v>
      </c>
      <c r="M8">
        <f t="shared" si="1"/>
        <v>33</v>
      </c>
    </row>
    <row r="9" spans="1:13" x14ac:dyDescent="0.55000000000000004">
      <c r="B9">
        <f>SUM(B6:B8)</f>
        <v>162</v>
      </c>
      <c r="C9">
        <f t="shared" ref="C9:E9" si="2">SUM(C6:C8)</f>
        <v>0</v>
      </c>
      <c r="D9">
        <f t="shared" si="2"/>
        <v>0</v>
      </c>
      <c r="E9">
        <f t="shared" si="2"/>
        <v>0</v>
      </c>
      <c r="F9" s="15">
        <f>SUM(F6:F8)</f>
        <v>162</v>
      </c>
      <c r="H9" s="15" t="str">
        <f>IF(Values!$C5="","",Values!$C5)</f>
        <v>Management</v>
      </c>
      <c r="I9" cm="1">
        <f t="array" ref="I9">IF($H9="","",SUMPRODUCT(--(Checklist!$A$5:$A$500=$H9)*--(Checklist!$E$5:$E$500=I$5)))</f>
        <v>19</v>
      </c>
      <c r="J9" cm="1">
        <f t="array" ref="J9">IF($H9="","",SUMPRODUCT(--(Checklist!$A$5:$A$500=$H9)*--(Checklist!$E$5:$E$500=J$5)))</f>
        <v>0</v>
      </c>
      <c r="K9" cm="1">
        <f t="array" ref="K9">IF($H9="","",SUMPRODUCT(--(Checklist!$A$5:$A$500=$H9)*--(Checklist!$E$5:$E$500=K$5)))</f>
        <v>0</v>
      </c>
      <c r="L9" cm="1">
        <f t="array" ref="L9">IF($H9="","",SUMPRODUCT(--(Checklist!$A$5:$A$500=$H9)*--(Checklist!$E$5:$E$500=L$5)))</f>
        <v>0</v>
      </c>
      <c r="M9">
        <f t="shared" si="1"/>
        <v>19</v>
      </c>
    </row>
    <row r="10" spans="1:13" x14ac:dyDescent="0.55000000000000004">
      <c r="H10" s="15" t="str">
        <f>IF(Values!$C6="","",Values!$C6)</f>
        <v>Subscriptions</v>
      </c>
      <c r="I10" cm="1">
        <f t="array" ref="I10">IF($H10="","",SUMPRODUCT(--(Checklist!$A$5:$A$500=$H10)*--(Checklist!$E$5:$E$500=I$5)))</f>
        <v>16</v>
      </c>
      <c r="J10" cm="1">
        <f t="array" ref="J10">IF($H10="","",SUMPRODUCT(--(Checklist!$A$5:$A$500=$H10)*--(Checklist!$E$5:$E$500=J$5)))</f>
        <v>0</v>
      </c>
      <c r="K10" cm="1">
        <f t="array" ref="K10">IF($H10="","",SUMPRODUCT(--(Checklist!$A$5:$A$500=$H10)*--(Checklist!$E$5:$E$500=K$5)))</f>
        <v>0</v>
      </c>
      <c r="L10" cm="1">
        <f t="array" ref="L10">IF($H10="","",SUMPRODUCT(--(Checklist!$A$5:$A$500=$H10)*--(Checklist!$E$5:$E$500=L$5)))</f>
        <v>0</v>
      </c>
      <c r="M10">
        <f t="shared" si="1"/>
        <v>16</v>
      </c>
    </row>
    <row r="11" spans="1:13" x14ac:dyDescent="0.55000000000000004">
      <c r="H11" s="15" t="str">
        <f>IF(Values!$C7="","",Values!$C7)</f>
        <v/>
      </c>
      <c r="I11" t="str" cm="1">
        <f t="array" ref="I11">IF($H11="","",SUMPRODUCT(--(Checklist!$A$5:$A$500=$H11)*--(Checklist!$E$5:$E$500=I$5)))</f>
        <v/>
      </c>
      <c r="J11" t="str" cm="1">
        <f t="array" ref="J11">IF($H11="","",SUMPRODUCT(--(Checklist!$A$5:$A$500=$H11)*--(Checklist!$E$5:$E$500=J$5)))</f>
        <v/>
      </c>
      <c r="K11" t="str" cm="1">
        <f t="array" ref="K11">IF($H11="","",SUMPRODUCT(--(Checklist!$A$5:$A$500=$H11)*--(Checklist!$E$5:$E$500=K$5)))</f>
        <v/>
      </c>
      <c r="L11" t="str" cm="1">
        <f t="array" ref="L11">IF($H11="","",SUMPRODUCT(--(Checklist!$A$5:$A$500=$H11)*--(Checklist!$E$5:$E$500=L$5)))</f>
        <v/>
      </c>
      <c r="M11" t="str">
        <f t="shared" si="1"/>
        <v/>
      </c>
    </row>
    <row r="12" spans="1:13" x14ac:dyDescent="0.55000000000000004">
      <c r="H12" s="15" t="str">
        <f>IF(Values!$C8="","",Values!$C8)</f>
        <v/>
      </c>
      <c r="I12" t="str" cm="1">
        <f t="array" ref="I12">IF($H12="","",SUMPRODUCT(--(Checklist!$A$5:$A$500=$H12)*--(Checklist!$E$5:$E$500=I$5)))</f>
        <v/>
      </c>
      <c r="J12" t="str" cm="1">
        <f t="array" ref="J12">IF($H12="","",SUMPRODUCT(--(Checklist!$A$5:$A$500=$H12)*--(Checklist!$E$5:$E$500=J$5)))</f>
        <v/>
      </c>
      <c r="K12" t="str" cm="1">
        <f t="array" ref="K12">IF($H12="","",SUMPRODUCT(--(Checklist!$A$5:$A$500=$H12)*--(Checklist!$E$5:$E$500=K$5)))</f>
        <v/>
      </c>
      <c r="L12" t="str" cm="1">
        <f t="array" ref="L12">IF($H12="","",SUMPRODUCT(--(Checklist!$A$5:$A$500=$H12)*--(Checklist!$E$5:$E$500=L$5)))</f>
        <v/>
      </c>
      <c r="M12" t="str">
        <f t="shared" si="1"/>
        <v/>
      </c>
    </row>
    <row r="13" spans="1:13" x14ac:dyDescent="0.55000000000000004">
      <c r="I13">
        <f>SUM(I6:I12)</f>
        <v>162</v>
      </c>
      <c r="J13">
        <f t="shared" ref="J13:M13" si="3">SUM(J6:J12)</f>
        <v>0</v>
      </c>
      <c r="K13">
        <f t="shared" si="3"/>
        <v>0</v>
      </c>
      <c r="L13">
        <f t="shared" si="3"/>
        <v>0</v>
      </c>
      <c r="M13" s="15">
        <f t="shared" si="3"/>
        <v>162</v>
      </c>
    </row>
    <row r="19" spans="14:19" x14ac:dyDescent="0.55000000000000004">
      <c r="O19" s="15" t="str">
        <f>Values!$B$2</f>
        <v>Not verified</v>
      </c>
      <c r="P19" s="15" t="str">
        <f>Values!$B$3</f>
        <v>Open</v>
      </c>
      <c r="Q19" s="15" t="s">
        <v>19</v>
      </c>
      <c r="R19" s="15" t="s">
        <v>17</v>
      </c>
      <c r="S19" s="15" t="s">
        <v>18</v>
      </c>
    </row>
    <row r="20" spans="14:19" x14ac:dyDescent="0.55000000000000004">
      <c r="N20" s="15" t="str">
        <f>IF(Values!$C2="","",Values!$C2)</f>
        <v>Identity</v>
      </c>
      <c r="O20" cm="1">
        <f t="array" ref="O20">IF($N20="","",SUMPRODUCT(--(Checklist!$A$5:$A$500=$N20)*--(Checklist!$E$5:$E$500=O$19)))</f>
        <v>14</v>
      </c>
      <c r="P20" cm="1">
        <f t="array" ref="P20">IF($N20="","",SUMPRODUCT(--(Checklist!$A$5:$A$500=$N20)*--(Checklist!$E$5:$E$500=P$19)))</f>
        <v>0</v>
      </c>
      <c r="Q20" cm="1">
        <f t="array" ref="Q20">IF($N20="","",SUMPRODUCT(--(Checklist!$A$5:$A$500=$N20)*(--(Checklist!$E$5:$E$500=Values!$B$4)+--(Checklist!$E$5:$E$500=Values!$B$5))))</f>
        <v>0</v>
      </c>
      <c r="R20">
        <f>IF($N20="","",SUM(O20:Q20))</f>
        <v>14</v>
      </c>
      <c r="S20" s="17">
        <f>IF($N20="","",Q20/R20)</f>
        <v>0</v>
      </c>
    </row>
    <row r="21" spans="14:19" x14ac:dyDescent="0.55000000000000004">
      <c r="N21" s="15" t="str">
        <f>IF(Values!$C3="","",Values!$C3)</f>
        <v>Networking</v>
      </c>
      <c r="O21" cm="1">
        <f t="array" ref="O21">IF($N21="","",SUMPRODUCT(--(Checklist!$A$5:$A$500=$N21)*--(Checklist!$E$5:$E$500=O$19)))</f>
        <v>80</v>
      </c>
      <c r="P21" cm="1">
        <f t="array" ref="P21">IF($N21="","",SUMPRODUCT(--(Checklist!$A$5:$A$500=$N21)*--(Checklist!$E$5:$E$500=P$19)))</f>
        <v>0</v>
      </c>
      <c r="Q21" cm="1">
        <f t="array" ref="Q21">IF($N21="","",SUMPRODUCT(--(Checklist!$A$5:$A$500=$N21)*(--(Checklist!$E$5:$E$500=Values!$B$4)+--(Checklist!$E$5:$E$500=Values!$B$5))))</f>
        <v>0</v>
      </c>
      <c r="R21">
        <f t="shared" ref="R21:R26" si="4">IF($N21="","",SUM(O21:Q21))</f>
        <v>80</v>
      </c>
      <c r="S21" s="17">
        <f t="shared" ref="S21:S26" si="5">IF($N21="","",Q21/R21)</f>
        <v>0</v>
      </c>
    </row>
    <row r="22" spans="14:19" x14ac:dyDescent="0.55000000000000004">
      <c r="N22" s="15" t="str">
        <f>IF(Values!$C4="","",Values!$C4)</f>
        <v>Security</v>
      </c>
      <c r="O22" cm="1">
        <f t="array" ref="O22">IF($N22="","",SUMPRODUCT(--(Checklist!$A$5:$A$500=$N22)*--(Checklist!$E$5:$E$500=O$19)))</f>
        <v>33</v>
      </c>
      <c r="P22" cm="1">
        <f t="array" ref="P22">IF($N22="","",SUMPRODUCT(--(Checklist!$A$5:$A$500=$N22)*--(Checklist!$E$5:$E$500=P$19)))</f>
        <v>0</v>
      </c>
      <c r="Q22" cm="1">
        <f t="array" ref="Q22">IF($N22="","",SUMPRODUCT(--(Checklist!$A$5:$A$500=$N22)*(--(Checklist!$E$5:$E$500=Values!$B$4)+--(Checklist!$E$5:$E$500=Values!$B$5))))</f>
        <v>0</v>
      </c>
      <c r="R22">
        <f t="shared" si="4"/>
        <v>33</v>
      </c>
      <c r="S22" s="17">
        <f t="shared" si="5"/>
        <v>0</v>
      </c>
    </row>
    <row r="23" spans="14:19" x14ac:dyDescent="0.55000000000000004">
      <c r="N23" s="15" t="str">
        <f>IF(Values!$C5="","",Values!$C5)</f>
        <v>Management</v>
      </c>
      <c r="O23" cm="1">
        <f t="array" ref="O23">IF($N23="","",SUMPRODUCT(--(Checklist!$A$5:$A$500=$N23)*--(Checklist!$E$5:$E$500=O$19)))</f>
        <v>19</v>
      </c>
      <c r="P23" cm="1">
        <f t="array" ref="P23">IF($N23="","",SUMPRODUCT(--(Checklist!$A$5:$A$500=$N23)*--(Checklist!$E$5:$E$500=P$19)))</f>
        <v>0</v>
      </c>
      <c r="Q23" cm="1">
        <f t="array" ref="Q23">IF($N23="","",SUMPRODUCT(--(Checklist!$A$5:$A$500=$N23)*(--(Checklist!$E$5:$E$500=Values!$B$4)+--(Checklist!$E$5:$E$500=Values!$B$5))))</f>
        <v>0</v>
      </c>
      <c r="R23">
        <f t="shared" si="4"/>
        <v>19</v>
      </c>
      <c r="S23" s="17">
        <f t="shared" si="5"/>
        <v>0</v>
      </c>
    </row>
    <row r="24" spans="14:19" x14ac:dyDescent="0.55000000000000004">
      <c r="N24" s="15" t="str">
        <f>IF(Values!$C6="","",Values!$C6)</f>
        <v>Subscriptions</v>
      </c>
      <c r="O24" cm="1">
        <f t="array" ref="O24">IF($N24="","",SUMPRODUCT(--(Checklist!$A$5:$A$500=$N24)*--(Checklist!$E$5:$E$500=O$19)))</f>
        <v>16</v>
      </c>
      <c r="P24" cm="1">
        <f t="array" ref="P24">IF($N24="","",SUMPRODUCT(--(Checklist!$A$5:$A$500=$N24)*--(Checklist!$E$5:$E$500=P$19)))</f>
        <v>0</v>
      </c>
      <c r="Q24" cm="1">
        <f t="array" ref="Q24">IF($N24="","",SUMPRODUCT(--(Checklist!$A$5:$A$500=$N24)*(--(Checklist!$E$5:$E$500=Values!$B$4)+--(Checklist!$E$5:$E$500=Values!$B$5))))</f>
        <v>0</v>
      </c>
      <c r="R24">
        <f t="shared" si="4"/>
        <v>16</v>
      </c>
      <c r="S24" s="17">
        <f t="shared" si="5"/>
        <v>0</v>
      </c>
    </row>
    <row r="25" spans="14:19" x14ac:dyDescent="0.55000000000000004">
      <c r="N25" s="15" t="str">
        <f>IF(Values!$C7="","",Values!$C7)</f>
        <v/>
      </c>
      <c r="O25" t="str" cm="1">
        <f t="array" ref="O25">IF($N25="","",SUMPRODUCT(--(Checklist!$A$5:$A$500=$N25)*--(Checklist!$E$5:$E$500=O$19)))</f>
        <v/>
      </c>
      <c r="P25" t="str" cm="1">
        <f t="array" ref="P25">IF($N25="","",SUMPRODUCT(--(Checklist!$A$5:$A$500=$N25)*--(Checklist!$E$5:$E$500=P$19)))</f>
        <v/>
      </c>
      <c r="Q25" t="str" cm="1">
        <f t="array" ref="Q25">IF($N25="","",SUMPRODUCT(--(Checklist!$A$5:$A$500=$N25)*(--(Checklist!$E$5:$E$500=Values!$B$4)+--(Checklist!$E$5:$E$500=Values!$B$5))))</f>
        <v/>
      </c>
      <c r="R25" t="str">
        <f t="shared" si="4"/>
        <v/>
      </c>
      <c r="S25" s="17" t="str">
        <f t="shared" si="5"/>
        <v/>
      </c>
    </row>
    <row r="26" spans="14:19" x14ac:dyDescent="0.55000000000000004">
      <c r="N26" s="15" t="str">
        <f>IF(Values!$C8="","",Values!$C8)</f>
        <v/>
      </c>
      <c r="O26" t="str" cm="1">
        <f t="array" ref="O26">IF($N26="","",SUMPRODUCT(--(Checklist!$A$5:$A$500=$N26)*--(Checklist!$E$5:$E$500=O$19)))</f>
        <v/>
      </c>
      <c r="P26" t="str" cm="1">
        <f t="array" ref="P26">IF($N26="","",SUMPRODUCT(--(Checklist!$A$5:$A$500=$N26)*--(Checklist!$E$5:$E$500=P$19)))</f>
        <v/>
      </c>
      <c r="Q26" t="str" cm="1">
        <f t="array" ref="Q26">IF($N26="","",SUMPRODUCT(--(Checklist!$A$5:$A$500=$N26)*(--(Checklist!$E$5:$E$500=Values!$B$4)+--(Checklist!$E$5:$E$500=Values!$B$5))))</f>
        <v/>
      </c>
      <c r="R26" t="str">
        <f t="shared" si="4"/>
        <v/>
      </c>
      <c r="S26" s="17" t="str">
        <f t="shared" si="5"/>
        <v/>
      </c>
    </row>
    <row r="27" spans="14:19" x14ac:dyDescent="0.55000000000000004">
      <c r="O27">
        <f>SUM(O20:O26)</f>
        <v>162</v>
      </c>
      <c r="P27">
        <f>SUM(P20:P26)</f>
        <v>0</v>
      </c>
      <c r="Q27">
        <f>SUM(Q20:Q26)</f>
        <v>0</v>
      </c>
      <c r="R27" s="15">
        <f>SUM(R20:R26)</f>
        <v>162</v>
      </c>
      <c r="S27" s="18">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H221"/>
  <sheetViews>
    <sheetView showGridLines="0" tabSelected="1" zoomScale="80" zoomScaleNormal="80" workbookViewId="0">
      <selection activeCell="A4" sqref="A4"/>
    </sheetView>
  </sheetViews>
  <sheetFormatPr defaultColWidth="9" defaultRowHeight="16.2" x14ac:dyDescent="0.55000000000000004"/>
  <cols>
    <col min="1" max="1" width="19" style="1" customWidth="1"/>
    <col min="2" max="2" width="16.83984375" style="1" customWidth="1"/>
    <col min="3" max="3" width="148.83984375" style="2" customWidth="1"/>
    <col min="4" max="4" width="16.15625" style="2" customWidth="1"/>
    <col min="5" max="5" width="15.15625" style="2" customWidth="1"/>
    <col min="6" max="6" width="49.62890625" style="2" customWidth="1"/>
    <col min="7" max="7" width="18.41796875" style="2" customWidth="1"/>
    <col min="8" max="8" width="14.578125" style="2" customWidth="1"/>
    <col min="9" max="16384" width="9" style="2"/>
  </cols>
  <sheetData>
    <row r="1" spans="1:8" ht="121.9" customHeight="1" x14ac:dyDescent="0.7">
      <c r="A1" s="21"/>
      <c r="B1" s="21"/>
      <c r="C1" s="14" t="s">
        <v>13</v>
      </c>
    </row>
    <row r="2" spans="1:8" s="6" customFormat="1" ht="24.6" customHeight="1" x14ac:dyDescent="0.55000000000000004">
      <c r="A2" s="23" t="s">
        <v>203</v>
      </c>
      <c r="B2" s="5"/>
      <c r="C2" s="5"/>
      <c r="D2" s="5"/>
      <c r="E2" s="5"/>
      <c r="F2" s="5"/>
      <c r="G2" s="5"/>
    </row>
    <row r="3" spans="1:8" x14ac:dyDescent="0.55000000000000004">
      <c r="A3" s="4"/>
      <c r="B3" s="4"/>
      <c r="C3" s="8"/>
      <c r="D3" s="4"/>
      <c r="E3" s="4"/>
      <c r="F3" s="4"/>
      <c r="G3" s="4"/>
    </row>
    <row r="4" spans="1:8" s="7" customFormat="1" ht="22.8" x14ac:dyDescent="0.55000000000000004">
      <c r="A4" s="7" t="s">
        <v>0</v>
      </c>
      <c r="B4" s="7" t="s">
        <v>1</v>
      </c>
      <c r="C4" s="7" t="s">
        <v>2</v>
      </c>
      <c r="D4" s="7" t="s">
        <v>3</v>
      </c>
      <c r="E4" s="7" t="s">
        <v>4</v>
      </c>
      <c r="F4" s="7" t="s">
        <v>5</v>
      </c>
      <c r="G4" s="7" t="s">
        <v>14</v>
      </c>
      <c r="H4" s="7" t="s">
        <v>20</v>
      </c>
    </row>
    <row r="5" spans="1:8" ht="16.5" customHeight="1" x14ac:dyDescent="0.55000000000000004">
      <c r="A5" s="2" t="s">
        <v>23</v>
      </c>
      <c r="B5" s="2" t="s">
        <v>23</v>
      </c>
      <c r="C5" s="2" t="s">
        <v>24</v>
      </c>
      <c r="D5" s="2" t="s">
        <v>6</v>
      </c>
      <c r="E5" s="2" t="s">
        <v>7</v>
      </c>
      <c r="G5" s="20" t="s">
        <v>14</v>
      </c>
      <c r="H5" s="13"/>
    </row>
    <row r="6" spans="1:8" ht="16.5" customHeight="1" x14ac:dyDescent="0.55000000000000004">
      <c r="A6" s="2" t="s">
        <v>23</v>
      </c>
      <c r="B6" s="2" t="s">
        <v>23</v>
      </c>
      <c r="C6" s="2" t="s">
        <v>25</v>
      </c>
      <c r="D6" s="2" t="s">
        <v>6</v>
      </c>
      <c r="E6" s="2" t="s">
        <v>7</v>
      </c>
      <c r="G6" s="20" t="s">
        <v>14</v>
      </c>
      <c r="H6" s="13"/>
    </row>
    <row r="7" spans="1:8" ht="16.5" customHeight="1" x14ac:dyDescent="0.55000000000000004">
      <c r="A7" s="2" t="s">
        <v>23</v>
      </c>
      <c r="B7" s="2" t="s">
        <v>23</v>
      </c>
      <c r="C7" s="2" t="s">
        <v>26</v>
      </c>
      <c r="D7" s="2" t="s">
        <v>8</v>
      </c>
      <c r="E7" s="2" t="s">
        <v>7</v>
      </c>
      <c r="G7" s="20" t="s">
        <v>14</v>
      </c>
      <c r="H7" s="13"/>
    </row>
    <row r="8" spans="1:8" ht="16.5" customHeight="1" x14ac:dyDescent="0.55000000000000004">
      <c r="A8" s="2" t="s">
        <v>23</v>
      </c>
      <c r="B8" s="2" t="s">
        <v>23</v>
      </c>
      <c r="C8" s="2" t="s">
        <v>27</v>
      </c>
      <c r="D8" s="2" t="s">
        <v>6</v>
      </c>
      <c r="E8" s="2" t="s">
        <v>7</v>
      </c>
      <c r="F8" s="1"/>
      <c r="G8" s="20" t="s">
        <v>14</v>
      </c>
      <c r="H8" s="13"/>
    </row>
    <row r="9" spans="1:8" ht="16.5" customHeight="1" x14ac:dyDescent="0.55000000000000004">
      <c r="A9" s="2" t="s">
        <v>23</v>
      </c>
      <c r="B9" s="2" t="s">
        <v>23</v>
      </c>
      <c r="C9" s="2" t="s">
        <v>28</v>
      </c>
      <c r="D9" s="2" t="s">
        <v>9</v>
      </c>
      <c r="E9" s="2" t="s">
        <v>7</v>
      </c>
      <c r="G9" s="20" t="s">
        <v>14</v>
      </c>
      <c r="H9" s="13"/>
    </row>
    <row r="10" spans="1:8" ht="16.5" customHeight="1" x14ac:dyDescent="0.55000000000000004">
      <c r="A10" s="2" t="s">
        <v>23</v>
      </c>
      <c r="B10" s="2" t="s">
        <v>23</v>
      </c>
      <c r="C10" s="2" t="s">
        <v>29</v>
      </c>
      <c r="D10" s="2" t="s">
        <v>9</v>
      </c>
      <c r="E10" s="2" t="s">
        <v>7</v>
      </c>
      <c r="F10" s="1"/>
      <c r="G10" s="20" t="s">
        <v>14</v>
      </c>
      <c r="H10" s="13"/>
    </row>
    <row r="11" spans="1:8" ht="16.5" customHeight="1" x14ac:dyDescent="0.55000000000000004">
      <c r="A11" s="2" t="s">
        <v>23</v>
      </c>
      <c r="B11" s="2" t="s">
        <v>23</v>
      </c>
      <c r="C11" s="2" t="s">
        <v>30</v>
      </c>
      <c r="D11" s="2" t="s">
        <v>6</v>
      </c>
      <c r="E11" s="2" t="s">
        <v>7</v>
      </c>
      <c r="G11" s="20" t="s">
        <v>14</v>
      </c>
      <c r="H11" s="13"/>
    </row>
    <row r="12" spans="1:8" ht="16.5" customHeight="1" x14ac:dyDescent="0.55000000000000004">
      <c r="A12" s="2" t="s">
        <v>23</v>
      </c>
      <c r="B12" s="2" t="s">
        <v>23</v>
      </c>
      <c r="C12" s="2" t="s">
        <v>31</v>
      </c>
      <c r="D12" s="2" t="s">
        <v>9</v>
      </c>
      <c r="E12" s="2" t="s">
        <v>7</v>
      </c>
      <c r="G12" s="20" t="s">
        <v>14</v>
      </c>
      <c r="H12" s="13"/>
    </row>
    <row r="13" spans="1:8" ht="16.5" customHeight="1" x14ac:dyDescent="0.55000000000000004">
      <c r="A13" s="2" t="s">
        <v>23</v>
      </c>
      <c r="B13" s="2" t="s">
        <v>23</v>
      </c>
      <c r="C13" s="1" t="s">
        <v>32</v>
      </c>
      <c r="D13" s="2" t="s">
        <v>9</v>
      </c>
      <c r="E13" s="2" t="s">
        <v>7</v>
      </c>
      <c r="G13" s="20" t="s">
        <v>14</v>
      </c>
      <c r="H13" s="13"/>
    </row>
    <row r="14" spans="1:8" ht="16.5" customHeight="1" x14ac:dyDescent="0.55000000000000004">
      <c r="A14" s="2" t="s">
        <v>23</v>
      </c>
      <c r="B14" s="2" t="s">
        <v>23</v>
      </c>
      <c r="C14" s="2" t="s">
        <v>33</v>
      </c>
      <c r="D14" s="2" t="s">
        <v>9</v>
      </c>
      <c r="E14" s="2" t="s">
        <v>7</v>
      </c>
      <c r="G14" s="20" t="s">
        <v>14</v>
      </c>
      <c r="H14" s="13"/>
    </row>
    <row r="15" spans="1:8" ht="16.5" customHeight="1" x14ac:dyDescent="0.55000000000000004">
      <c r="A15" s="2" t="s">
        <v>23</v>
      </c>
      <c r="B15" s="2" t="s">
        <v>23</v>
      </c>
      <c r="C15" s="2" t="s">
        <v>34</v>
      </c>
      <c r="D15" s="2" t="s">
        <v>9</v>
      </c>
      <c r="E15" s="2" t="s">
        <v>7</v>
      </c>
      <c r="G15" s="20" t="s">
        <v>14</v>
      </c>
      <c r="H15" s="13"/>
    </row>
    <row r="16" spans="1:8" ht="16.5" customHeight="1" x14ac:dyDescent="0.55000000000000004">
      <c r="A16" s="2" t="s">
        <v>23</v>
      </c>
      <c r="B16" s="2" t="s">
        <v>23</v>
      </c>
      <c r="C16" s="2" t="s">
        <v>35</v>
      </c>
      <c r="D16" s="2" t="s">
        <v>9</v>
      </c>
      <c r="E16" s="2" t="s">
        <v>7</v>
      </c>
      <c r="G16" s="20" t="s">
        <v>14</v>
      </c>
      <c r="H16" s="13"/>
    </row>
    <row r="17" spans="1:8" ht="16.5" customHeight="1" x14ac:dyDescent="0.55000000000000004">
      <c r="A17" s="2" t="s">
        <v>23</v>
      </c>
      <c r="B17" s="2" t="s">
        <v>23</v>
      </c>
      <c r="C17" s="2" t="s">
        <v>36</v>
      </c>
      <c r="D17" s="2" t="s">
        <v>9</v>
      </c>
      <c r="E17" s="2" t="s">
        <v>7</v>
      </c>
      <c r="G17" s="20" t="s">
        <v>14</v>
      </c>
      <c r="H17" s="13"/>
    </row>
    <row r="18" spans="1:8" ht="16.5" customHeight="1" x14ac:dyDescent="0.55000000000000004">
      <c r="A18" s="2" t="s">
        <v>23</v>
      </c>
      <c r="B18" s="2" t="s">
        <v>23</v>
      </c>
      <c r="C18" s="2" t="s">
        <v>37</v>
      </c>
      <c r="D18" s="2" t="s">
        <v>9</v>
      </c>
      <c r="E18" s="2" t="s">
        <v>7</v>
      </c>
      <c r="G18" s="20" t="s">
        <v>14</v>
      </c>
      <c r="H18" s="13"/>
    </row>
    <row r="19" spans="1:8" ht="16.5" customHeight="1" x14ac:dyDescent="0.55000000000000004">
      <c r="A19" s="2" t="s">
        <v>38</v>
      </c>
      <c r="B19" s="2" t="s">
        <v>38</v>
      </c>
      <c r="C19" s="2" t="s">
        <v>39</v>
      </c>
      <c r="D19" s="2" t="s">
        <v>9</v>
      </c>
      <c r="E19" s="2" t="s">
        <v>7</v>
      </c>
      <c r="G19" s="20" t="s">
        <v>14</v>
      </c>
      <c r="H19" s="13"/>
    </row>
    <row r="20" spans="1:8" ht="16.5" customHeight="1" x14ac:dyDescent="0.55000000000000004">
      <c r="A20" s="2" t="s">
        <v>38</v>
      </c>
      <c r="B20" s="2" t="s">
        <v>38</v>
      </c>
      <c r="C20" s="2" t="s">
        <v>40</v>
      </c>
      <c r="D20" s="2" t="s">
        <v>9</v>
      </c>
      <c r="E20" s="2" t="s">
        <v>7</v>
      </c>
      <c r="F20" s="1"/>
      <c r="G20" s="20" t="s">
        <v>14</v>
      </c>
      <c r="H20" s="13"/>
    </row>
    <row r="21" spans="1:8" ht="16.5" customHeight="1" x14ac:dyDescent="0.55000000000000004">
      <c r="A21" s="2" t="s">
        <v>38</v>
      </c>
      <c r="B21" s="2" t="s">
        <v>38</v>
      </c>
      <c r="C21" s="2" t="s">
        <v>41</v>
      </c>
      <c r="D21" s="2" t="s">
        <v>9</v>
      </c>
      <c r="E21" s="2" t="s">
        <v>7</v>
      </c>
      <c r="G21" s="20" t="s">
        <v>14</v>
      </c>
      <c r="H21" s="13"/>
    </row>
    <row r="22" spans="1:8" ht="16.5" customHeight="1" x14ac:dyDescent="0.55000000000000004">
      <c r="A22" s="2" t="s">
        <v>38</v>
      </c>
      <c r="B22" s="2" t="s">
        <v>38</v>
      </c>
      <c r="C22" s="2" t="s">
        <v>42</v>
      </c>
      <c r="D22" s="2" t="s">
        <v>9</v>
      </c>
      <c r="E22" s="2" t="s">
        <v>7</v>
      </c>
      <c r="G22" s="20" t="s">
        <v>14</v>
      </c>
      <c r="H22" s="13"/>
    </row>
    <row r="23" spans="1:8" ht="16.5" customHeight="1" x14ac:dyDescent="0.55000000000000004">
      <c r="A23" s="2" t="s">
        <v>38</v>
      </c>
      <c r="B23" s="2" t="s">
        <v>38</v>
      </c>
      <c r="C23" s="2" t="s">
        <v>43</v>
      </c>
      <c r="D23" s="2" t="s">
        <v>9</v>
      </c>
      <c r="E23" s="2" t="s">
        <v>7</v>
      </c>
      <c r="G23" s="20" t="s">
        <v>14</v>
      </c>
      <c r="H23" s="13"/>
    </row>
    <row r="24" spans="1:8" ht="16.5" customHeight="1" x14ac:dyDescent="0.55000000000000004">
      <c r="A24" s="2" t="s">
        <v>38</v>
      </c>
      <c r="B24" s="2" t="s">
        <v>38</v>
      </c>
      <c r="C24" s="2" t="s">
        <v>44</v>
      </c>
      <c r="D24" s="2" t="s">
        <v>9</v>
      </c>
      <c r="E24" s="2" t="s">
        <v>7</v>
      </c>
      <c r="G24" s="20" t="s">
        <v>14</v>
      </c>
      <c r="H24" s="13"/>
    </row>
    <row r="25" spans="1:8" ht="16.5" customHeight="1" x14ac:dyDescent="0.55000000000000004">
      <c r="A25" s="2" t="s">
        <v>38</v>
      </c>
      <c r="B25" s="2" t="s">
        <v>38</v>
      </c>
      <c r="C25" s="2" t="s">
        <v>45</v>
      </c>
      <c r="D25" s="2" t="s">
        <v>9</v>
      </c>
      <c r="E25" s="2" t="s">
        <v>7</v>
      </c>
      <c r="G25" s="20" t="s">
        <v>14</v>
      </c>
      <c r="H25" s="13"/>
    </row>
    <row r="26" spans="1:8" ht="16.5" customHeight="1" x14ac:dyDescent="0.55000000000000004">
      <c r="A26" s="2" t="s">
        <v>38</v>
      </c>
      <c r="B26" s="2" t="s">
        <v>38</v>
      </c>
      <c r="C26" s="2" t="s">
        <v>46</v>
      </c>
      <c r="D26" s="2" t="s">
        <v>9</v>
      </c>
      <c r="E26" s="2" t="s">
        <v>7</v>
      </c>
      <c r="G26" s="20" t="s">
        <v>14</v>
      </c>
      <c r="H26" s="13"/>
    </row>
    <row r="27" spans="1:8" ht="16.5" customHeight="1" x14ac:dyDescent="0.55000000000000004">
      <c r="A27" s="2" t="s">
        <v>38</v>
      </c>
      <c r="B27" s="2" t="s">
        <v>38</v>
      </c>
      <c r="C27" s="2" t="s">
        <v>47</v>
      </c>
      <c r="D27" s="2" t="s">
        <v>6</v>
      </c>
      <c r="E27" s="2" t="s">
        <v>7</v>
      </c>
      <c r="G27" s="20" t="s">
        <v>14</v>
      </c>
      <c r="H27" s="13"/>
    </row>
    <row r="28" spans="1:8" ht="16.5" customHeight="1" x14ac:dyDescent="0.55000000000000004">
      <c r="A28" s="2" t="s">
        <v>38</v>
      </c>
      <c r="B28" s="2" t="s">
        <v>38</v>
      </c>
      <c r="C28" s="2" t="s">
        <v>48</v>
      </c>
      <c r="D28" s="2" t="s">
        <v>9</v>
      </c>
      <c r="E28" s="2" t="s">
        <v>7</v>
      </c>
      <c r="G28" s="20" t="s">
        <v>14</v>
      </c>
      <c r="H28" s="13"/>
    </row>
    <row r="29" spans="1:8" ht="16.5" customHeight="1" x14ac:dyDescent="0.55000000000000004">
      <c r="A29" s="2" t="s">
        <v>38</v>
      </c>
      <c r="B29" s="2" t="s">
        <v>38</v>
      </c>
      <c r="C29" s="2" t="s">
        <v>49</v>
      </c>
      <c r="D29" s="2" t="s">
        <v>6</v>
      </c>
      <c r="E29" s="2" t="s">
        <v>7</v>
      </c>
      <c r="G29" s="20" t="s">
        <v>14</v>
      </c>
      <c r="H29" s="13"/>
    </row>
    <row r="30" spans="1:8" ht="16.5" customHeight="1" x14ac:dyDescent="0.55000000000000004">
      <c r="A30" s="2" t="s">
        <v>38</v>
      </c>
      <c r="B30" s="2" t="s">
        <v>38</v>
      </c>
      <c r="C30" s="2" t="s">
        <v>50</v>
      </c>
      <c r="D30" s="2" t="s">
        <v>6</v>
      </c>
      <c r="E30" s="2" t="s">
        <v>7</v>
      </c>
      <c r="F30" s="1"/>
      <c r="G30" s="20" t="s">
        <v>14</v>
      </c>
      <c r="H30" s="13"/>
    </row>
    <row r="31" spans="1:8" ht="16.5" customHeight="1" x14ac:dyDescent="0.55000000000000004">
      <c r="A31" s="2" t="s">
        <v>38</v>
      </c>
      <c r="B31" s="2" t="s">
        <v>38</v>
      </c>
      <c r="C31" s="2" t="s">
        <v>51</v>
      </c>
      <c r="D31" s="2" t="s">
        <v>9</v>
      </c>
      <c r="E31" s="2" t="s">
        <v>7</v>
      </c>
      <c r="G31" s="20" t="s">
        <v>14</v>
      </c>
      <c r="H31" s="13"/>
    </row>
    <row r="32" spans="1:8" ht="16.5" customHeight="1" x14ac:dyDescent="0.55000000000000004">
      <c r="A32" s="2" t="s">
        <v>38</v>
      </c>
      <c r="B32" s="2" t="s">
        <v>38</v>
      </c>
      <c r="C32" s="2" t="s">
        <v>52</v>
      </c>
      <c r="D32" s="2" t="s">
        <v>6</v>
      </c>
      <c r="E32" s="2" t="s">
        <v>7</v>
      </c>
      <c r="G32" s="20" t="s">
        <v>14</v>
      </c>
      <c r="H32" s="13"/>
    </row>
    <row r="33" spans="1:8" ht="16.5" customHeight="1" x14ac:dyDescent="0.55000000000000004">
      <c r="A33" s="2" t="s">
        <v>38</v>
      </c>
      <c r="B33" s="2" t="s">
        <v>38</v>
      </c>
      <c r="C33" s="2" t="s">
        <v>53</v>
      </c>
      <c r="D33" s="2" t="s">
        <v>9</v>
      </c>
      <c r="E33" s="2" t="s">
        <v>7</v>
      </c>
      <c r="G33" s="20" t="s">
        <v>14</v>
      </c>
      <c r="H33" s="13"/>
    </row>
    <row r="34" spans="1:8" ht="16.5" customHeight="1" x14ac:dyDescent="0.55000000000000004">
      <c r="A34" s="2" t="s">
        <v>38</v>
      </c>
      <c r="B34" s="2" t="s">
        <v>38</v>
      </c>
      <c r="C34" s="2" t="s">
        <v>54</v>
      </c>
      <c r="D34" s="2" t="s">
        <v>9</v>
      </c>
      <c r="E34" s="2" t="s">
        <v>7</v>
      </c>
      <c r="F34" s="1"/>
      <c r="G34" s="20" t="s">
        <v>14</v>
      </c>
      <c r="H34" s="13" t="s">
        <v>20</v>
      </c>
    </row>
    <row r="35" spans="1:8" ht="16.5" customHeight="1" x14ac:dyDescent="0.55000000000000004">
      <c r="A35" s="1" t="s">
        <v>55</v>
      </c>
      <c r="B35" s="2" t="s">
        <v>56</v>
      </c>
      <c r="C35" s="2" t="s">
        <v>57</v>
      </c>
      <c r="D35" s="2" t="s">
        <v>9</v>
      </c>
      <c r="E35" s="2" t="s">
        <v>7</v>
      </c>
      <c r="G35" s="20" t="s">
        <v>14</v>
      </c>
      <c r="H35" s="13"/>
    </row>
    <row r="36" spans="1:8" ht="16.5" customHeight="1" x14ac:dyDescent="0.55000000000000004">
      <c r="A36" s="1" t="s">
        <v>55</v>
      </c>
      <c r="B36" s="2" t="s">
        <v>56</v>
      </c>
      <c r="C36" s="2" t="s">
        <v>58</v>
      </c>
      <c r="D36" s="2" t="s">
        <v>9</v>
      </c>
      <c r="E36" s="2" t="s">
        <v>7</v>
      </c>
      <c r="G36" s="20" t="s">
        <v>14</v>
      </c>
      <c r="H36" s="13"/>
    </row>
    <row r="37" spans="1:8" ht="16.5" customHeight="1" x14ac:dyDescent="0.55000000000000004">
      <c r="A37" s="1" t="s">
        <v>55</v>
      </c>
      <c r="B37" s="2" t="s">
        <v>56</v>
      </c>
      <c r="C37" s="2" t="s">
        <v>59</v>
      </c>
      <c r="D37" s="2" t="s">
        <v>9</v>
      </c>
      <c r="E37" s="2" t="s">
        <v>7</v>
      </c>
      <c r="G37" s="20" t="s">
        <v>14</v>
      </c>
      <c r="H37" s="13"/>
    </row>
    <row r="38" spans="1:8" ht="16.5" customHeight="1" x14ac:dyDescent="0.55000000000000004">
      <c r="A38" s="1" t="s">
        <v>55</v>
      </c>
      <c r="B38" s="2" t="s">
        <v>56</v>
      </c>
      <c r="C38" s="2" t="s">
        <v>60</v>
      </c>
      <c r="D38" s="2" t="s">
        <v>9</v>
      </c>
      <c r="E38" s="2" t="s">
        <v>7</v>
      </c>
      <c r="G38" s="20" t="s">
        <v>14</v>
      </c>
      <c r="H38" s="13"/>
    </row>
    <row r="39" spans="1:8" ht="16.5" customHeight="1" x14ac:dyDescent="0.55000000000000004">
      <c r="A39" s="1" t="s">
        <v>55</v>
      </c>
      <c r="B39" s="2" t="s">
        <v>56</v>
      </c>
      <c r="C39" s="2" t="s">
        <v>61</v>
      </c>
      <c r="D39" s="2" t="s">
        <v>9</v>
      </c>
      <c r="E39" s="2" t="s">
        <v>7</v>
      </c>
      <c r="G39" s="20" t="s">
        <v>14</v>
      </c>
      <c r="H39" s="13"/>
    </row>
    <row r="40" spans="1:8" ht="16.5" customHeight="1" x14ac:dyDescent="0.55000000000000004">
      <c r="A40" s="1" t="s">
        <v>55</v>
      </c>
      <c r="B40" s="2" t="s">
        <v>56</v>
      </c>
      <c r="C40" s="2" t="s">
        <v>62</v>
      </c>
      <c r="D40" s="2" t="s">
        <v>9</v>
      </c>
      <c r="E40" s="2" t="s">
        <v>7</v>
      </c>
      <c r="G40" s="20" t="s">
        <v>14</v>
      </c>
      <c r="H40" s="13"/>
    </row>
    <row r="41" spans="1:8" ht="16.5" customHeight="1" x14ac:dyDescent="0.55000000000000004">
      <c r="A41" s="1" t="s">
        <v>55</v>
      </c>
      <c r="B41" s="2" t="s">
        <v>56</v>
      </c>
      <c r="C41" s="1" t="s">
        <v>63</v>
      </c>
      <c r="D41" s="2" t="s">
        <v>9</v>
      </c>
      <c r="E41" s="2" t="s">
        <v>7</v>
      </c>
      <c r="G41" s="20" t="s">
        <v>14</v>
      </c>
      <c r="H41" s="13"/>
    </row>
    <row r="42" spans="1:8" ht="16.5" customHeight="1" x14ac:dyDescent="0.55000000000000004">
      <c r="A42" s="1" t="s">
        <v>55</v>
      </c>
      <c r="B42" s="2" t="s">
        <v>56</v>
      </c>
      <c r="C42" s="2" t="s">
        <v>64</v>
      </c>
      <c r="D42" s="2" t="s">
        <v>9</v>
      </c>
      <c r="E42" s="2" t="s">
        <v>7</v>
      </c>
      <c r="G42" s="20" t="s">
        <v>14</v>
      </c>
      <c r="H42" s="13"/>
    </row>
    <row r="43" spans="1:8" ht="16.5" customHeight="1" x14ac:dyDescent="0.55000000000000004">
      <c r="A43" s="1" t="s">
        <v>55</v>
      </c>
      <c r="B43" s="2" t="s">
        <v>56</v>
      </c>
      <c r="C43" s="2" t="s">
        <v>65</v>
      </c>
      <c r="D43" s="2" t="s">
        <v>9</v>
      </c>
      <c r="E43" s="2" t="s">
        <v>7</v>
      </c>
      <c r="G43" s="20"/>
      <c r="H43" s="13"/>
    </row>
    <row r="44" spans="1:8" ht="16.5" customHeight="1" x14ac:dyDescent="0.55000000000000004">
      <c r="A44" s="1" t="s">
        <v>55</v>
      </c>
      <c r="B44" s="2" t="s">
        <v>66</v>
      </c>
      <c r="C44" s="2" t="s">
        <v>67</v>
      </c>
      <c r="D44" s="2" t="s">
        <v>9</v>
      </c>
      <c r="E44" s="2" t="s">
        <v>7</v>
      </c>
      <c r="G44" s="20" t="s">
        <v>14</v>
      </c>
      <c r="H44" s="13"/>
    </row>
    <row r="45" spans="1:8" ht="16.5" customHeight="1" x14ac:dyDescent="0.55000000000000004">
      <c r="A45" s="1" t="s">
        <v>55</v>
      </c>
      <c r="B45" s="2" t="s">
        <v>66</v>
      </c>
      <c r="C45" s="2" t="s">
        <v>68</v>
      </c>
      <c r="D45" s="2" t="s">
        <v>9</v>
      </c>
      <c r="E45" s="2" t="s">
        <v>7</v>
      </c>
      <c r="G45" s="20" t="s">
        <v>14</v>
      </c>
      <c r="H45" s="13"/>
    </row>
    <row r="46" spans="1:8" ht="16.5" customHeight="1" x14ac:dyDescent="0.55000000000000004">
      <c r="A46" s="1" t="s">
        <v>55</v>
      </c>
      <c r="B46" s="2" t="s">
        <v>66</v>
      </c>
      <c r="C46" s="2" t="s">
        <v>69</v>
      </c>
      <c r="D46" s="2" t="s">
        <v>9</v>
      </c>
      <c r="E46" s="2" t="s">
        <v>7</v>
      </c>
      <c r="G46" s="20" t="s">
        <v>14</v>
      </c>
      <c r="H46" s="13"/>
    </row>
    <row r="47" spans="1:8" ht="16.5" customHeight="1" x14ac:dyDescent="0.55000000000000004">
      <c r="A47" s="1" t="s">
        <v>55</v>
      </c>
      <c r="B47" s="2" t="s">
        <v>66</v>
      </c>
      <c r="C47" s="2" t="s">
        <v>70</v>
      </c>
      <c r="D47" s="2" t="s">
        <v>9</v>
      </c>
      <c r="E47" s="2" t="s">
        <v>7</v>
      </c>
      <c r="G47" s="20" t="s">
        <v>14</v>
      </c>
      <c r="H47" s="13"/>
    </row>
    <row r="48" spans="1:8" ht="16.5" customHeight="1" x14ac:dyDescent="0.55000000000000004">
      <c r="A48" s="1" t="s">
        <v>55</v>
      </c>
      <c r="B48" s="2" t="s">
        <v>66</v>
      </c>
      <c r="C48" s="2" t="s">
        <v>71</v>
      </c>
      <c r="D48" s="2" t="s">
        <v>9</v>
      </c>
      <c r="E48" s="2" t="s">
        <v>7</v>
      </c>
      <c r="G48" s="20" t="s">
        <v>14</v>
      </c>
      <c r="H48" s="13"/>
    </row>
    <row r="49" spans="1:8" ht="16.5" customHeight="1" x14ac:dyDescent="0.55000000000000004">
      <c r="A49" s="1" t="s">
        <v>55</v>
      </c>
      <c r="B49" s="2" t="s">
        <v>66</v>
      </c>
      <c r="C49" s="2" t="s">
        <v>72</v>
      </c>
      <c r="D49" s="2" t="s">
        <v>9</v>
      </c>
      <c r="E49" s="2" t="s">
        <v>7</v>
      </c>
      <c r="G49" s="20" t="s">
        <v>14</v>
      </c>
      <c r="H49" s="13"/>
    </row>
    <row r="50" spans="1:8" ht="16.5" customHeight="1" x14ac:dyDescent="0.55000000000000004">
      <c r="A50" s="1" t="s">
        <v>55</v>
      </c>
      <c r="B50" s="2" t="s">
        <v>66</v>
      </c>
      <c r="C50" s="2" t="s">
        <v>73</v>
      </c>
      <c r="D50" s="2" t="s">
        <v>9</v>
      </c>
      <c r="E50" s="2" t="s">
        <v>7</v>
      </c>
      <c r="G50" s="20" t="s">
        <v>14</v>
      </c>
      <c r="H50" s="13"/>
    </row>
    <row r="51" spans="1:8" ht="16.5" customHeight="1" x14ac:dyDescent="0.55000000000000004">
      <c r="A51" s="1" t="s">
        <v>55</v>
      </c>
      <c r="B51" s="2" t="s">
        <v>66</v>
      </c>
      <c r="C51" s="2" t="s">
        <v>74</v>
      </c>
      <c r="D51" s="2" t="s">
        <v>9</v>
      </c>
      <c r="E51" s="2" t="s">
        <v>7</v>
      </c>
      <c r="G51" s="20" t="s">
        <v>14</v>
      </c>
      <c r="H51" s="13"/>
    </row>
    <row r="52" spans="1:8" ht="16.5" customHeight="1" x14ac:dyDescent="0.55000000000000004">
      <c r="A52" s="1" t="s">
        <v>55</v>
      </c>
      <c r="B52" s="2" t="s">
        <v>66</v>
      </c>
      <c r="C52" s="2" t="s">
        <v>75</v>
      </c>
      <c r="D52" s="2" t="s">
        <v>9</v>
      </c>
      <c r="E52" s="2" t="s">
        <v>7</v>
      </c>
      <c r="G52" s="20" t="s">
        <v>14</v>
      </c>
      <c r="H52" s="13"/>
    </row>
    <row r="53" spans="1:8" ht="16.5" customHeight="1" x14ac:dyDescent="0.55000000000000004">
      <c r="A53" s="1" t="s">
        <v>55</v>
      </c>
      <c r="B53" s="2" t="s">
        <v>66</v>
      </c>
      <c r="C53" s="2" t="s">
        <v>76</v>
      </c>
      <c r="D53" s="2" t="s">
        <v>9</v>
      </c>
      <c r="E53" s="2" t="s">
        <v>7</v>
      </c>
      <c r="G53" s="20" t="s">
        <v>14</v>
      </c>
      <c r="H53" s="13"/>
    </row>
    <row r="54" spans="1:8" ht="16.5" customHeight="1" x14ac:dyDescent="0.55000000000000004">
      <c r="A54" s="1" t="s">
        <v>55</v>
      </c>
      <c r="B54" s="2" t="s">
        <v>66</v>
      </c>
      <c r="C54" s="2" t="s">
        <v>77</v>
      </c>
      <c r="D54" s="2" t="s">
        <v>9</v>
      </c>
      <c r="E54" s="2" t="s">
        <v>7</v>
      </c>
      <c r="G54" s="20" t="s">
        <v>14</v>
      </c>
      <c r="H54" s="13"/>
    </row>
    <row r="55" spans="1:8" ht="16.5" customHeight="1" x14ac:dyDescent="0.55000000000000004">
      <c r="A55" s="1" t="s">
        <v>55</v>
      </c>
      <c r="B55" s="2" t="s">
        <v>66</v>
      </c>
      <c r="C55" s="2" t="s">
        <v>78</v>
      </c>
      <c r="D55" s="2" t="s">
        <v>9</v>
      </c>
      <c r="E55" s="2" t="s">
        <v>7</v>
      </c>
      <c r="G55" s="20"/>
      <c r="H55" s="13"/>
    </row>
    <row r="56" spans="1:8" ht="16.5" customHeight="1" x14ac:dyDescent="0.55000000000000004">
      <c r="A56" s="1" t="s">
        <v>55</v>
      </c>
      <c r="B56" s="2" t="s">
        <v>79</v>
      </c>
      <c r="C56" s="1" t="s">
        <v>80</v>
      </c>
      <c r="D56" s="2" t="s">
        <v>9</v>
      </c>
      <c r="E56" s="2" t="s">
        <v>7</v>
      </c>
      <c r="G56" s="20" t="s">
        <v>14</v>
      </c>
      <c r="H56" s="13"/>
    </row>
    <row r="57" spans="1:8" ht="16.5" customHeight="1" x14ac:dyDescent="0.55000000000000004">
      <c r="A57" s="1" t="s">
        <v>55</v>
      </c>
      <c r="B57" s="2" t="s">
        <v>79</v>
      </c>
      <c r="C57" s="1" t="s">
        <v>81</v>
      </c>
      <c r="D57" s="2" t="s">
        <v>9</v>
      </c>
      <c r="E57" s="2" t="s">
        <v>7</v>
      </c>
      <c r="G57" s="20" t="s">
        <v>14</v>
      </c>
      <c r="H57" s="13"/>
    </row>
    <row r="58" spans="1:8" ht="16.5" customHeight="1" x14ac:dyDescent="0.55000000000000004">
      <c r="A58" s="1" t="s">
        <v>55</v>
      </c>
      <c r="B58" s="2" t="s">
        <v>79</v>
      </c>
      <c r="C58" s="2" t="s">
        <v>82</v>
      </c>
      <c r="D58" s="2" t="s">
        <v>9</v>
      </c>
      <c r="E58" s="2" t="s">
        <v>7</v>
      </c>
      <c r="G58" s="20" t="s">
        <v>14</v>
      </c>
      <c r="H58" s="13"/>
    </row>
    <row r="59" spans="1:8" ht="16.5" customHeight="1" x14ac:dyDescent="0.55000000000000004">
      <c r="A59" s="1" t="s">
        <v>55</v>
      </c>
      <c r="B59" s="2" t="s">
        <v>79</v>
      </c>
      <c r="C59" s="1" t="s">
        <v>83</v>
      </c>
      <c r="D59" s="2" t="s">
        <v>9</v>
      </c>
      <c r="E59" s="2" t="s">
        <v>7</v>
      </c>
      <c r="G59" s="20" t="s">
        <v>14</v>
      </c>
      <c r="H59" s="13"/>
    </row>
    <row r="60" spans="1:8" ht="16.5" customHeight="1" x14ac:dyDescent="0.55000000000000004">
      <c r="A60" s="1" t="s">
        <v>55</v>
      </c>
      <c r="B60" s="2" t="s">
        <v>79</v>
      </c>
      <c r="C60" s="2" t="s">
        <v>84</v>
      </c>
      <c r="D60" s="2" t="s">
        <v>9</v>
      </c>
      <c r="E60" s="2" t="s">
        <v>7</v>
      </c>
      <c r="G60" s="20" t="s">
        <v>14</v>
      </c>
      <c r="H60" s="13"/>
    </row>
    <row r="61" spans="1:8" ht="16.5" customHeight="1" x14ac:dyDescent="0.55000000000000004">
      <c r="A61" s="1" t="s">
        <v>55</v>
      </c>
      <c r="B61" s="2" t="s">
        <v>79</v>
      </c>
      <c r="C61" s="2" t="s">
        <v>85</v>
      </c>
      <c r="D61" s="2" t="s">
        <v>9</v>
      </c>
      <c r="E61" s="2" t="s">
        <v>7</v>
      </c>
      <c r="G61" s="20" t="s">
        <v>14</v>
      </c>
      <c r="H61" s="13"/>
    </row>
    <row r="62" spans="1:8" ht="16.5" customHeight="1" x14ac:dyDescent="0.55000000000000004">
      <c r="A62" s="1" t="s">
        <v>55</v>
      </c>
      <c r="B62" s="2" t="s">
        <v>79</v>
      </c>
      <c r="C62" s="2" t="s">
        <v>86</v>
      </c>
      <c r="D62" s="2" t="s">
        <v>9</v>
      </c>
      <c r="E62" s="2" t="s">
        <v>7</v>
      </c>
      <c r="G62" s="20" t="s">
        <v>14</v>
      </c>
      <c r="H62" s="13"/>
    </row>
    <row r="63" spans="1:8" ht="16.5" customHeight="1" x14ac:dyDescent="0.55000000000000004">
      <c r="A63" s="1" t="s">
        <v>55</v>
      </c>
      <c r="B63" s="2" t="s">
        <v>79</v>
      </c>
      <c r="C63" s="2" t="s">
        <v>87</v>
      </c>
      <c r="D63" s="2" t="s">
        <v>9</v>
      </c>
      <c r="E63" s="2" t="s">
        <v>7</v>
      </c>
      <c r="G63" s="20" t="s">
        <v>14</v>
      </c>
      <c r="H63" s="13"/>
    </row>
    <row r="64" spans="1:8" ht="16.5" customHeight="1" x14ac:dyDescent="0.55000000000000004">
      <c r="A64" s="1" t="s">
        <v>55</v>
      </c>
      <c r="B64" s="2" t="s">
        <v>79</v>
      </c>
      <c r="C64" s="2" t="s">
        <v>88</v>
      </c>
      <c r="D64" s="2" t="s">
        <v>9</v>
      </c>
      <c r="E64" s="2" t="s">
        <v>7</v>
      </c>
      <c r="F64" s="1"/>
      <c r="G64" s="20" t="s">
        <v>14</v>
      </c>
      <c r="H64" s="13"/>
    </row>
    <row r="65" spans="1:8" ht="16.5" customHeight="1" x14ac:dyDescent="0.55000000000000004">
      <c r="A65" s="1" t="s">
        <v>55</v>
      </c>
      <c r="B65" s="2" t="s">
        <v>89</v>
      </c>
      <c r="C65" s="1" t="s">
        <v>90</v>
      </c>
      <c r="D65" s="2" t="s">
        <v>9</v>
      </c>
      <c r="E65" s="2" t="s">
        <v>7</v>
      </c>
      <c r="G65" s="20" t="s">
        <v>14</v>
      </c>
      <c r="H65" s="13"/>
    </row>
    <row r="66" spans="1:8" ht="16.5" customHeight="1" x14ac:dyDescent="0.55000000000000004">
      <c r="A66" s="1" t="s">
        <v>55</v>
      </c>
      <c r="B66" s="2" t="s">
        <v>89</v>
      </c>
      <c r="C66" s="2" t="s">
        <v>91</v>
      </c>
      <c r="D66" s="2" t="s">
        <v>9</v>
      </c>
      <c r="E66" s="2" t="s">
        <v>7</v>
      </c>
      <c r="G66" s="20" t="s">
        <v>14</v>
      </c>
      <c r="H66" s="13"/>
    </row>
    <row r="67" spans="1:8" ht="16.5" customHeight="1" x14ac:dyDescent="0.55000000000000004">
      <c r="A67" s="1" t="s">
        <v>55</v>
      </c>
      <c r="B67" s="2" t="s">
        <v>89</v>
      </c>
      <c r="C67" s="2" t="s">
        <v>92</v>
      </c>
      <c r="D67" s="2" t="s">
        <v>9</v>
      </c>
      <c r="E67" s="2" t="s">
        <v>7</v>
      </c>
      <c r="G67" s="20" t="s">
        <v>14</v>
      </c>
      <c r="H67" s="13"/>
    </row>
    <row r="68" spans="1:8" ht="16.5" customHeight="1" x14ac:dyDescent="0.55000000000000004">
      <c r="A68" s="1" t="s">
        <v>55</v>
      </c>
      <c r="B68" s="2" t="s">
        <v>89</v>
      </c>
      <c r="C68" s="2" t="s">
        <v>93</v>
      </c>
      <c r="D68" s="2" t="s">
        <v>9</v>
      </c>
      <c r="E68" s="2" t="s">
        <v>7</v>
      </c>
      <c r="G68" s="20" t="s">
        <v>14</v>
      </c>
      <c r="H68" s="13"/>
    </row>
    <row r="69" spans="1:8" ht="16.5" customHeight="1" x14ac:dyDescent="0.55000000000000004">
      <c r="A69" s="1" t="s">
        <v>55</v>
      </c>
      <c r="B69" s="2" t="s">
        <v>89</v>
      </c>
      <c r="C69" s="2" t="s">
        <v>94</v>
      </c>
      <c r="D69" s="2" t="s">
        <v>9</v>
      </c>
      <c r="E69" s="2" t="s">
        <v>7</v>
      </c>
      <c r="G69" s="20" t="s">
        <v>14</v>
      </c>
      <c r="H69" s="13"/>
    </row>
    <row r="70" spans="1:8" ht="16.5" customHeight="1" x14ac:dyDescent="0.55000000000000004">
      <c r="A70" s="1" t="s">
        <v>55</v>
      </c>
      <c r="B70" s="2" t="s">
        <v>89</v>
      </c>
      <c r="C70" s="2" t="s">
        <v>95</v>
      </c>
      <c r="D70" s="2" t="s">
        <v>9</v>
      </c>
      <c r="E70" s="2" t="s">
        <v>7</v>
      </c>
      <c r="G70" s="20" t="s">
        <v>14</v>
      </c>
      <c r="H70" s="13"/>
    </row>
    <row r="71" spans="1:8" ht="16.5" customHeight="1" x14ac:dyDescent="0.55000000000000004">
      <c r="A71" s="1" t="s">
        <v>55</v>
      </c>
      <c r="B71" s="2" t="s">
        <v>89</v>
      </c>
      <c r="C71" s="2" t="s">
        <v>96</v>
      </c>
      <c r="D71" s="2" t="s">
        <v>9</v>
      </c>
      <c r="E71" s="2" t="s">
        <v>7</v>
      </c>
      <c r="G71" s="20" t="s">
        <v>14</v>
      </c>
      <c r="H71" s="13"/>
    </row>
    <row r="72" spans="1:8" ht="16.5" customHeight="1" x14ac:dyDescent="0.55000000000000004">
      <c r="A72" s="1" t="s">
        <v>55</v>
      </c>
      <c r="B72" s="2" t="s">
        <v>89</v>
      </c>
      <c r="C72" s="2" t="s">
        <v>97</v>
      </c>
      <c r="D72" s="2" t="s">
        <v>9</v>
      </c>
      <c r="E72" s="2" t="s">
        <v>7</v>
      </c>
      <c r="G72" s="20" t="s">
        <v>14</v>
      </c>
      <c r="H72" s="13"/>
    </row>
    <row r="73" spans="1:8" ht="16.5" customHeight="1" x14ac:dyDescent="0.55000000000000004">
      <c r="A73" s="1" t="s">
        <v>55</v>
      </c>
      <c r="B73" s="2" t="s">
        <v>89</v>
      </c>
      <c r="C73" s="2" t="s">
        <v>98</v>
      </c>
      <c r="D73" s="2" t="s">
        <v>9</v>
      </c>
      <c r="E73" s="2" t="s">
        <v>7</v>
      </c>
      <c r="G73" s="20" t="s">
        <v>14</v>
      </c>
      <c r="H73" s="13"/>
    </row>
    <row r="74" spans="1:8" ht="16.5" customHeight="1" x14ac:dyDescent="0.55000000000000004">
      <c r="A74" s="1" t="s">
        <v>55</v>
      </c>
      <c r="B74" s="2" t="s">
        <v>89</v>
      </c>
      <c r="C74" s="2" t="s">
        <v>99</v>
      </c>
      <c r="D74" s="2" t="s">
        <v>9</v>
      </c>
      <c r="E74" s="2" t="s">
        <v>7</v>
      </c>
      <c r="G74" s="20" t="s">
        <v>14</v>
      </c>
      <c r="H74" s="13"/>
    </row>
    <row r="75" spans="1:8" ht="16.5" customHeight="1" x14ac:dyDescent="0.55000000000000004">
      <c r="A75" s="1" t="s">
        <v>55</v>
      </c>
      <c r="B75" s="2" t="s">
        <v>89</v>
      </c>
      <c r="C75" s="2" t="s">
        <v>100</v>
      </c>
      <c r="D75" s="2" t="s">
        <v>9</v>
      </c>
      <c r="E75" s="2" t="s">
        <v>7</v>
      </c>
      <c r="F75" s="1"/>
      <c r="G75" s="20" t="s">
        <v>14</v>
      </c>
      <c r="H75" s="13"/>
    </row>
    <row r="76" spans="1:8" ht="16.5" customHeight="1" x14ac:dyDescent="0.55000000000000004">
      <c r="A76" s="1" t="s">
        <v>55</v>
      </c>
      <c r="B76" s="2" t="s">
        <v>101</v>
      </c>
      <c r="C76" s="2" t="s">
        <v>102</v>
      </c>
      <c r="D76" s="2" t="s">
        <v>9</v>
      </c>
      <c r="E76" s="2" t="s">
        <v>7</v>
      </c>
      <c r="G76" s="20" t="s">
        <v>14</v>
      </c>
      <c r="H76" s="13"/>
    </row>
    <row r="77" spans="1:8" ht="16.5" customHeight="1" x14ac:dyDescent="0.55000000000000004">
      <c r="A77" s="1" t="s">
        <v>55</v>
      </c>
      <c r="B77" s="2" t="s">
        <v>101</v>
      </c>
      <c r="C77" s="2" t="s">
        <v>103</v>
      </c>
      <c r="D77" s="2" t="s">
        <v>9</v>
      </c>
      <c r="E77" s="2" t="s">
        <v>7</v>
      </c>
      <c r="G77" s="20" t="s">
        <v>14</v>
      </c>
      <c r="H77" s="13"/>
    </row>
    <row r="78" spans="1:8" ht="16.5" customHeight="1" x14ac:dyDescent="0.55000000000000004">
      <c r="A78" s="1" t="s">
        <v>55</v>
      </c>
      <c r="B78" s="2" t="s">
        <v>101</v>
      </c>
      <c r="C78" s="2" t="s">
        <v>104</v>
      </c>
      <c r="D78" s="2" t="s">
        <v>9</v>
      </c>
      <c r="E78" s="2" t="s">
        <v>7</v>
      </c>
      <c r="G78" s="20" t="s">
        <v>14</v>
      </c>
      <c r="H78" s="13"/>
    </row>
    <row r="79" spans="1:8" ht="16.5" customHeight="1" x14ac:dyDescent="0.55000000000000004">
      <c r="A79" s="1" t="s">
        <v>55</v>
      </c>
      <c r="B79" s="2" t="s">
        <v>101</v>
      </c>
      <c r="C79" s="2" t="s">
        <v>105</v>
      </c>
      <c r="D79" s="2" t="s">
        <v>9</v>
      </c>
      <c r="E79" s="2" t="s">
        <v>7</v>
      </c>
      <c r="G79" s="20" t="s">
        <v>14</v>
      </c>
      <c r="H79" s="13"/>
    </row>
    <row r="80" spans="1:8" ht="16.5" customHeight="1" x14ac:dyDescent="0.55000000000000004">
      <c r="A80" s="1" t="s">
        <v>55</v>
      </c>
      <c r="B80" s="2" t="s">
        <v>101</v>
      </c>
      <c r="C80" s="2" t="s">
        <v>106</v>
      </c>
      <c r="D80" s="2" t="s">
        <v>9</v>
      </c>
      <c r="E80" s="2" t="s">
        <v>7</v>
      </c>
      <c r="G80" s="20" t="s">
        <v>14</v>
      </c>
      <c r="H80" s="13"/>
    </row>
    <row r="81" spans="1:8" ht="16.5" customHeight="1" x14ac:dyDescent="0.55000000000000004">
      <c r="A81" s="1" t="s">
        <v>55</v>
      </c>
      <c r="B81" s="2" t="s">
        <v>101</v>
      </c>
      <c r="C81" s="1" t="s">
        <v>107</v>
      </c>
      <c r="D81" s="2" t="s">
        <v>9</v>
      </c>
      <c r="E81" s="2" t="s">
        <v>7</v>
      </c>
      <c r="G81" s="20" t="s">
        <v>14</v>
      </c>
      <c r="H81" s="13"/>
    </row>
    <row r="82" spans="1:8" ht="16.5" customHeight="1" x14ac:dyDescent="0.55000000000000004">
      <c r="A82" s="1" t="s">
        <v>55</v>
      </c>
      <c r="B82" s="2" t="s">
        <v>101</v>
      </c>
      <c r="C82" s="2" t="s">
        <v>108</v>
      </c>
      <c r="D82" s="2" t="s">
        <v>9</v>
      </c>
      <c r="E82" s="2" t="s">
        <v>7</v>
      </c>
      <c r="G82" s="13" t="s">
        <v>14</v>
      </c>
      <c r="H82" s="13"/>
    </row>
    <row r="83" spans="1:8" ht="16.5" customHeight="1" x14ac:dyDescent="0.55000000000000004">
      <c r="A83" s="1" t="s">
        <v>55</v>
      </c>
      <c r="B83" s="2" t="s">
        <v>101</v>
      </c>
      <c r="C83" s="2" t="s">
        <v>109</v>
      </c>
      <c r="D83" s="2" t="s">
        <v>9</v>
      </c>
      <c r="E83" s="2" t="s">
        <v>7</v>
      </c>
      <c r="G83" s="13" t="s">
        <v>14</v>
      </c>
      <c r="H83" s="13"/>
    </row>
    <row r="84" spans="1:8" ht="16.5" customHeight="1" x14ac:dyDescent="0.55000000000000004">
      <c r="A84" s="1" t="s">
        <v>55</v>
      </c>
      <c r="B84" s="2" t="s">
        <v>110</v>
      </c>
      <c r="C84" s="2" t="s">
        <v>111</v>
      </c>
      <c r="D84" s="2" t="s">
        <v>9</v>
      </c>
      <c r="E84" s="2" t="s">
        <v>7</v>
      </c>
      <c r="G84" s="13" t="s">
        <v>14</v>
      </c>
      <c r="H84" s="13"/>
    </row>
    <row r="85" spans="1:8" ht="16.5" customHeight="1" x14ac:dyDescent="0.55000000000000004">
      <c r="A85" s="1" t="s">
        <v>55</v>
      </c>
      <c r="B85" s="2" t="s">
        <v>110</v>
      </c>
      <c r="C85" s="1" t="s">
        <v>112</v>
      </c>
      <c r="D85" s="2" t="s">
        <v>9</v>
      </c>
      <c r="E85" s="2" t="s">
        <v>7</v>
      </c>
      <c r="G85" s="13" t="s">
        <v>14</v>
      </c>
      <c r="H85" s="13"/>
    </row>
    <row r="86" spans="1:8" ht="16.5" customHeight="1" x14ac:dyDescent="0.55000000000000004">
      <c r="A86" s="1" t="s">
        <v>55</v>
      </c>
      <c r="B86" s="2" t="s">
        <v>110</v>
      </c>
      <c r="C86" s="2" t="s">
        <v>113</v>
      </c>
      <c r="D86" s="2" t="s">
        <v>9</v>
      </c>
      <c r="E86" s="2" t="s">
        <v>7</v>
      </c>
      <c r="G86" s="13" t="s">
        <v>14</v>
      </c>
      <c r="H86" s="13"/>
    </row>
    <row r="87" spans="1:8" ht="16.5" customHeight="1" x14ac:dyDescent="0.55000000000000004">
      <c r="A87" s="1" t="s">
        <v>55</v>
      </c>
      <c r="B87" s="2" t="s">
        <v>110</v>
      </c>
      <c r="C87" s="1" t="s">
        <v>114</v>
      </c>
      <c r="D87" s="2" t="s">
        <v>9</v>
      </c>
      <c r="E87" s="2" t="s">
        <v>7</v>
      </c>
      <c r="G87" s="13" t="s">
        <v>14</v>
      </c>
      <c r="H87" s="13"/>
    </row>
    <row r="88" spans="1:8" ht="16.5" customHeight="1" x14ac:dyDescent="0.55000000000000004">
      <c r="A88" s="1" t="s">
        <v>55</v>
      </c>
      <c r="B88" s="2" t="s">
        <v>110</v>
      </c>
      <c r="C88" s="2" t="s">
        <v>115</v>
      </c>
      <c r="D88" s="2" t="s">
        <v>9</v>
      </c>
      <c r="E88" s="2" t="s">
        <v>7</v>
      </c>
      <c r="G88" s="13" t="s">
        <v>14</v>
      </c>
      <c r="H88" s="13"/>
    </row>
    <row r="89" spans="1:8" ht="16.5" customHeight="1" x14ac:dyDescent="0.55000000000000004">
      <c r="A89" s="1" t="s">
        <v>55</v>
      </c>
      <c r="B89" s="2" t="s">
        <v>110</v>
      </c>
      <c r="C89" s="2" t="s">
        <v>116</v>
      </c>
      <c r="D89" s="2" t="s">
        <v>9</v>
      </c>
      <c r="E89" s="2" t="s">
        <v>7</v>
      </c>
      <c r="G89" s="13" t="s">
        <v>14</v>
      </c>
      <c r="H89" s="13"/>
    </row>
    <row r="90" spans="1:8" ht="16.5" customHeight="1" x14ac:dyDescent="0.55000000000000004">
      <c r="A90" s="1" t="s">
        <v>55</v>
      </c>
      <c r="B90" s="2" t="s">
        <v>110</v>
      </c>
      <c r="C90" s="2" t="s">
        <v>117</v>
      </c>
      <c r="D90" s="2" t="s">
        <v>9</v>
      </c>
      <c r="E90" s="2" t="s">
        <v>7</v>
      </c>
      <c r="G90" s="13" t="s">
        <v>14</v>
      </c>
      <c r="H90" s="13"/>
    </row>
    <row r="91" spans="1:8" ht="16.5" customHeight="1" x14ac:dyDescent="0.55000000000000004">
      <c r="A91" s="1" t="s">
        <v>55</v>
      </c>
      <c r="B91" s="2" t="s">
        <v>110</v>
      </c>
      <c r="C91" s="2" t="s">
        <v>118</v>
      </c>
      <c r="D91" s="2" t="s">
        <v>9</v>
      </c>
      <c r="E91" s="2" t="s">
        <v>7</v>
      </c>
      <c r="G91" s="13" t="s">
        <v>14</v>
      </c>
      <c r="H91" s="13"/>
    </row>
    <row r="92" spans="1:8" ht="15.75" customHeight="1" x14ac:dyDescent="0.55000000000000004">
      <c r="A92" s="1" t="s">
        <v>55</v>
      </c>
      <c r="B92" s="2" t="s">
        <v>110</v>
      </c>
      <c r="C92" s="1" t="s">
        <v>119</v>
      </c>
      <c r="D92" s="2" t="s">
        <v>9</v>
      </c>
      <c r="E92" s="2" t="s">
        <v>7</v>
      </c>
      <c r="G92" s="13" t="s">
        <v>14</v>
      </c>
      <c r="H92" s="13"/>
    </row>
    <row r="93" spans="1:8" ht="16.5" customHeight="1" x14ac:dyDescent="0.55000000000000004">
      <c r="A93" s="1" t="s">
        <v>55</v>
      </c>
      <c r="B93" s="2" t="s">
        <v>120</v>
      </c>
      <c r="C93" s="2" t="s">
        <v>121</v>
      </c>
      <c r="D93" s="2" t="s">
        <v>9</v>
      </c>
      <c r="E93" s="2" t="s">
        <v>7</v>
      </c>
      <c r="G93" s="13" t="s">
        <v>14</v>
      </c>
      <c r="H93" s="13"/>
    </row>
    <row r="94" spans="1:8" ht="16.5" customHeight="1" x14ac:dyDescent="0.55000000000000004">
      <c r="A94" s="1" t="s">
        <v>55</v>
      </c>
      <c r="B94" s="2" t="s">
        <v>120</v>
      </c>
      <c r="C94" s="2" t="s">
        <v>122</v>
      </c>
      <c r="D94" s="2" t="s">
        <v>9</v>
      </c>
      <c r="E94" s="2" t="s">
        <v>7</v>
      </c>
      <c r="G94" s="13" t="s">
        <v>14</v>
      </c>
      <c r="H94" s="13"/>
    </row>
    <row r="95" spans="1:8" ht="16.5" customHeight="1" x14ac:dyDescent="0.55000000000000004">
      <c r="A95" s="1" t="s">
        <v>55</v>
      </c>
      <c r="B95" s="2" t="s">
        <v>120</v>
      </c>
      <c r="C95" s="2" t="s">
        <v>123</v>
      </c>
      <c r="D95" s="2" t="s">
        <v>9</v>
      </c>
      <c r="E95" s="2" t="s">
        <v>7</v>
      </c>
      <c r="G95" s="13" t="s">
        <v>14</v>
      </c>
      <c r="H95" s="13"/>
    </row>
    <row r="96" spans="1:8" ht="16.5" customHeight="1" x14ac:dyDescent="0.55000000000000004">
      <c r="A96" s="1" t="s">
        <v>55</v>
      </c>
      <c r="B96" s="2" t="s">
        <v>120</v>
      </c>
      <c r="C96" s="2" t="s">
        <v>124</v>
      </c>
      <c r="D96" s="2" t="s">
        <v>9</v>
      </c>
      <c r="E96" s="2" t="s">
        <v>7</v>
      </c>
      <c r="G96" s="13" t="s">
        <v>14</v>
      </c>
      <c r="H96" s="13"/>
    </row>
    <row r="97" spans="1:8" ht="16.5" customHeight="1" x14ac:dyDescent="0.55000000000000004">
      <c r="A97" s="1" t="s">
        <v>55</v>
      </c>
      <c r="B97" s="2" t="s">
        <v>120</v>
      </c>
      <c r="C97" s="2" t="s">
        <v>125</v>
      </c>
      <c r="D97" s="2" t="s">
        <v>9</v>
      </c>
      <c r="E97" s="2" t="s">
        <v>7</v>
      </c>
      <c r="G97" s="13" t="s">
        <v>14</v>
      </c>
      <c r="H97" s="13"/>
    </row>
    <row r="98" spans="1:8" ht="16.5" customHeight="1" x14ac:dyDescent="0.55000000000000004">
      <c r="A98" s="1" t="s">
        <v>55</v>
      </c>
      <c r="B98" s="2" t="s">
        <v>120</v>
      </c>
      <c r="C98" s="2" t="s">
        <v>126</v>
      </c>
      <c r="D98" s="2" t="s">
        <v>9</v>
      </c>
      <c r="E98" s="2" t="s">
        <v>7</v>
      </c>
      <c r="G98" s="13" t="s">
        <v>14</v>
      </c>
      <c r="H98" s="13"/>
    </row>
    <row r="99" spans="1:8" ht="16.5" customHeight="1" x14ac:dyDescent="0.55000000000000004">
      <c r="A99" s="1" t="s">
        <v>55</v>
      </c>
      <c r="B99" s="2" t="s">
        <v>120</v>
      </c>
      <c r="C99" s="2" t="s">
        <v>127</v>
      </c>
      <c r="D99" s="2" t="s">
        <v>9</v>
      </c>
      <c r="E99" s="2" t="s">
        <v>7</v>
      </c>
      <c r="G99" s="13" t="s">
        <v>14</v>
      </c>
      <c r="H99" s="13"/>
    </row>
    <row r="100" spans="1:8" ht="16.5" customHeight="1" x14ac:dyDescent="0.55000000000000004">
      <c r="A100" s="1" t="s">
        <v>55</v>
      </c>
      <c r="B100" s="2" t="s">
        <v>120</v>
      </c>
      <c r="C100" s="2" t="s">
        <v>128</v>
      </c>
      <c r="D100" s="2" t="s">
        <v>9</v>
      </c>
      <c r="E100" s="2" t="s">
        <v>7</v>
      </c>
      <c r="G100" s="13" t="s">
        <v>14</v>
      </c>
      <c r="H100" s="13"/>
    </row>
    <row r="101" spans="1:8" ht="16.5" customHeight="1" x14ac:dyDescent="0.55000000000000004">
      <c r="A101" s="1" t="s">
        <v>55</v>
      </c>
      <c r="B101" s="2" t="s">
        <v>129</v>
      </c>
      <c r="C101" s="2" t="s">
        <v>130</v>
      </c>
      <c r="D101" s="2" t="s">
        <v>9</v>
      </c>
      <c r="E101" s="2" t="s">
        <v>7</v>
      </c>
      <c r="G101" s="13" t="s">
        <v>14</v>
      </c>
      <c r="H101" s="13"/>
    </row>
    <row r="102" spans="1:8" ht="16.5" customHeight="1" x14ac:dyDescent="0.55000000000000004">
      <c r="A102" s="1" t="s">
        <v>55</v>
      </c>
      <c r="B102" s="2" t="s">
        <v>129</v>
      </c>
      <c r="C102" s="2" t="s">
        <v>131</v>
      </c>
      <c r="D102" s="2" t="s">
        <v>9</v>
      </c>
      <c r="E102" s="2" t="s">
        <v>7</v>
      </c>
      <c r="G102" s="13" t="s">
        <v>14</v>
      </c>
      <c r="H102" s="13"/>
    </row>
    <row r="103" spans="1:8" ht="16.5" customHeight="1" x14ac:dyDescent="0.55000000000000004">
      <c r="A103" s="1" t="s">
        <v>55</v>
      </c>
      <c r="B103" s="2" t="s">
        <v>129</v>
      </c>
      <c r="C103" s="2" t="s">
        <v>132</v>
      </c>
      <c r="D103" s="2" t="s">
        <v>9</v>
      </c>
      <c r="E103" s="2" t="s">
        <v>7</v>
      </c>
      <c r="G103" s="13" t="s">
        <v>14</v>
      </c>
      <c r="H103" s="13"/>
    </row>
    <row r="104" spans="1:8" ht="16.5" customHeight="1" x14ac:dyDescent="0.55000000000000004">
      <c r="A104" s="1" t="s">
        <v>55</v>
      </c>
      <c r="B104" s="2" t="s">
        <v>129</v>
      </c>
      <c r="C104" s="2" t="s">
        <v>133</v>
      </c>
      <c r="D104" s="2" t="s">
        <v>9</v>
      </c>
      <c r="E104" s="2" t="s">
        <v>7</v>
      </c>
      <c r="G104" s="13" t="s">
        <v>14</v>
      </c>
      <c r="H104" s="13"/>
    </row>
    <row r="105" spans="1:8" ht="16.5" customHeight="1" x14ac:dyDescent="0.55000000000000004">
      <c r="A105" s="1" t="s">
        <v>55</v>
      </c>
      <c r="B105" s="2" t="s">
        <v>129</v>
      </c>
      <c r="C105" s="2" t="s">
        <v>134</v>
      </c>
      <c r="D105" s="2" t="s">
        <v>9</v>
      </c>
      <c r="E105" s="2" t="s">
        <v>7</v>
      </c>
      <c r="G105" s="13" t="s">
        <v>14</v>
      </c>
      <c r="H105" s="13"/>
    </row>
    <row r="106" spans="1:8" ht="16.5" customHeight="1" x14ac:dyDescent="0.55000000000000004">
      <c r="A106" s="1" t="s">
        <v>55</v>
      </c>
      <c r="B106" s="2" t="s">
        <v>129</v>
      </c>
      <c r="C106" s="2" t="s">
        <v>135</v>
      </c>
      <c r="D106" s="2" t="s">
        <v>9</v>
      </c>
      <c r="E106" s="2" t="s">
        <v>7</v>
      </c>
      <c r="G106" s="13" t="s">
        <v>14</v>
      </c>
      <c r="H106" s="13"/>
    </row>
    <row r="107" spans="1:8" ht="16.5" customHeight="1" x14ac:dyDescent="0.55000000000000004">
      <c r="A107" s="1" t="s">
        <v>55</v>
      </c>
      <c r="B107" s="2" t="s">
        <v>129</v>
      </c>
      <c r="C107" s="2" t="s">
        <v>136</v>
      </c>
      <c r="D107" s="2" t="s">
        <v>9</v>
      </c>
      <c r="E107" s="2" t="s">
        <v>7</v>
      </c>
      <c r="F107" s="1"/>
      <c r="G107" s="13" t="s">
        <v>14</v>
      </c>
      <c r="H107" s="13"/>
    </row>
    <row r="108" spans="1:8" ht="16.5" customHeight="1" x14ac:dyDescent="0.55000000000000004">
      <c r="A108" s="1" t="s">
        <v>55</v>
      </c>
      <c r="B108" s="2" t="s">
        <v>137</v>
      </c>
      <c r="C108" s="2" t="s">
        <v>138</v>
      </c>
      <c r="D108" s="2" t="s">
        <v>9</v>
      </c>
      <c r="E108" s="2" t="s">
        <v>7</v>
      </c>
      <c r="G108" s="13" t="s">
        <v>14</v>
      </c>
      <c r="H108" s="13"/>
    </row>
    <row r="109" spans="1:8" ht="16.5" customHeight="1" x14ac:dyDescent="0.55000000000000004">
      <c r="A109" s="1" t="s">
        <v>55</v>
      </c>
      <c r="B109" s="2" t="s">
        <v>137</v>
      </c>
      <c r="C109" s="2" t="s">
        <v>139</v>
      </c>
      <c r="D109" s="2" t="s">
        <v>9</v>
      </c>
      <c r="E109" s="2" t="s">
        <v>7</v>
      </c>
      <c r="G109" s="13" t="s">
        <v>14</v>
      </c>
      <c r="H109" s="13"/>
    </row>
    <row r="110" spans="1:8" ht="16.5" customHeight="1" x14ac:dyDescent="0.55000000000000004">
      <c r="A110" s="1" t="s">
        <v>55</v>
      </c>
      <c r="B110" s="2" t="s">
        <v>137</v>
      </c>
      <c r="C110" s="2" t="s">
        <v>140</v>
      </c>
      <c r="D110" s="2" t="s">
        <v>9</v>
      </c>
      <c r="E110" s="2" t="s">
        <v>7</v>
      </c>
      <c r="G110" s="13" t="s">
        <v>14</v>
      </c>
      <c r="H110" s="13"/>
    </row>
    <row r="111" spans="1:8" ht="16.5" customHeight="1" x14ac:dyDescent="0.55000000000000004">
      <c r="A111" s="1" t="s">
        <v>55</v>
      </c>
      <c r="B111" s="2" t="s">
        <v>141</v>
      </c>
      <c r="C111" s="2" t="s">
        <v>142</v>
      </c>
      <c r="D111" s="2" t="s">
        <v>9</v>
      </c>
      <c r="E111" s="2" t="s">
        <v>7</v>
      </c>
      <c r="G111" s="13" t="s">
        <v>14</v>
      </c>
      <c r="H111" s="13"/>
    </row>
    <row r="112" spans="1:8" ht="16.5" customHeight="1" x14ac:dyDescent="0.55000000000000004">
      <c r="A112" s="1" t="s">
        <v>55</v>
      </c>
      <c r="B112" s="2" t="s">
        <v>141</v>
      </c>
      <c r="C112" s="2" t="s">
        <v>143</v>
      </c>
      <c r="D112" s="2" t="s">
        <v>9</v>
      </c>
      <c r="E112" s="2" t="s">
        <v>7</v>
      </c>
      <c r="G112" s="13" t="s">
        <v>14</v>
      </c>
      <c r="H112" s="13"/>
    </row>
    <row r="113" spans="1:8" ht="16.5" customHeight="1" x14ac:dyDescent="0.55000000000000004">
      <c r="A113" s="1" t="s">
        <v>55</v>
      </c>
      <c r="B113" s="2" t="s">
        <v>141</v>
      </c>
      <c r="C113" s="2" t="s">
        <v>144</v>
      </c>
      <c r="D113" s="2" t="s">
        <v>9</v>
      </c>
      <c r="E113" s="2" t="s">
        <v>7</v>
      </c>
      <c r="G113" s="13" t="s">
        <v>14</v>
      </c>
      <c r="H113" s="13"/>
    </row>
    <row r="114" spans="1:8" ht="16.5" customHeight="1" x14ac:dyDescent="0.55000000000000004">
      <c r="A114" s="1" t="s">
        <v>55</v>
      </c>
      <c r="B114" s="2" t="s">
        <v>141</v>
      </c>
      <c r="C114" s="2" t="s">
        <v>145</v>
      </c>
      <c r="D114" s="2" t="s">
        <v>9</v>
      </c>
      <c r="E114" s="2" t="s">
        <v>7</v>
      </c>
      <c r="F114" s="1"/>
      <c r="G114" s="13" t="s">
        <v>14</v>
      </c>
      <c r="H114" s="13"/>
    </row>
    <row r="115" spans="1:8" ht="16.5" customHeight="1" x14ac:dyDescent="0.55000000000000004">
      <c r="A115" s="1" t="s">
        <v>146</v>
      </c>
      <c r="B115" s="2" t="s">
        <v>147</v>
      </c>
      <c r="C115" s="2" t="s">
        <v>148</v>
      </c>
      <c r="D115" s="2" t="s">
        <v>9</v>
      </c>
      <c r="E115" s="2" t="s">
        <v>7</v>
      </c>
      <c r="G115" s="13" t="s">
        <v>14</v>
      </c>
      <c r="H115" s="13"/>
    </row>
    <row r="116" spans="1:8" ht="16.5" customHeight="1" x14ac:dyDescent="0.55000000000000004">
      <c r="A116" s="1" t="s">
        <v>146</v>
      </c>
      <c r="B116" s="2" t="s">
        <v>147</v>
      </c>
      <c r="C116" s="2" t="s">
        <v>149</v>
      </c>
      <c r="D116" s="2" t="s">
        <v>9</v>
      </c>
      <c r="E116" s="2" t="s">
        <v>7</v>
      </c>
      <c r="G116" s="13"/>
      <c r="H116" s="13"/>
    </row>
    <row r="117" spans="1:8" ht="16.5" customHeight="1" x14ac:dyDescent="0.55000000000000004">
      <c r="A117" s="1" t="s">
        <v>146</v>
      </c>
      <c r="B117" s="2" t="s">
        <v>147</v>
      </c>
      <c r="C117" s="2" t="s">
        <v>150</v>
      </c>
      <c r="D117" s="2" t="s">
        <v>9</v>
      </c>
      <c r="E117" s="2" t="s">
        <v>7</v>
      </c>
      <c r="F117" s="1"/>
      <c r="G117" s="13"/>
      <c r="H117" s="13"/>
    </row>
    <row r="118" spans="1:8" ht="16.5" customHeight="1" x14ac:dyDescent="0.55000000000000004">
      <c r="A118" s="1" t="s">
        <v>146</v>
      </c>
      <c r="B118" s="2" t="s">
        <v>147</v>
      </c>
      <c r="C118" s="2" t="s">
        <v>151</v>
      </c>
      <c r="D118" s="2" t="s">
        <v>9</v>
      </c>
      <c r="E118" s="2" t="s">
        <v>7</v>
      </c>
      <c r="G118" s="13" t="s">
        <v>14</v>
      </c>
      <c r="H118" s="13"/>
    </row>
    <row r="119" spans="1:8" ht="16.5" customHeight="1" x14ac:dyDescent="0.55000000000000004">
      <c r="A119" s="1" t="s">
        <v>146</v>
      </c>
      <c r="B119" s="2" t="s">
        <v>147</v>
      </c>
      <c r="C119" s="2" t="s">
        <v>152</v>
      </c>
      <c r="D119" s="2" t="s">
        <v>9</v>
      </c>
      <c r="E119" s="2" t="s">
        <v>7</v>
      </c>
      <c r="G119" s="13" t="s">
        <v>14</v>
      </c>
      <c r="H119" s="13"/>
    </row>
    <row r="120" spans="1:8" ht="16.5" customHeight="1" x14ac:dyDescent="0.55000000000000004">
      <c r="A120" s="1" t="s">
        <v>146</v>
      </c>
      <c r="B120" s="2" t="s">
        <v>147</v>
      </c>
      <c r="C120" s="2" t="s">
        <v>153</v>
      </c>
      <c r="D120" s="2" t="s">
        <v>9</v>
      </c>
      <c r="E120" s="2" t="s">
        <v>7</v>
      </c>
      <c r="F120" s="1"/>
      <c r="G120" s="13" t="s">
        <v>14</v>
      </c>
      <c r="H120" s="13"/>
    </row>
    <row r="121" spans="1:8" ht="16.5" customHeight="1" x14ac:dyDescent="0.55000000000000004">
      <c r="A121" s="1" t="s">
        <v>146</v>
      </c>
      <c r="B121" s="2" t="s">
        <v>147</v>
      </c>
      <c r="C121" s="2" t="s">
        <v>154</v>
      </c>
      <c r="D121" s="2" t="s">
        <v>9</v>
      </c>
      <c r="E121" s="2" t="s">
        <v>7</v>
      </c>
      <c r="G121" s="13" t="s">
        <v>14</v>
      </c>
      <c r="H121" s="13"/>
    </row>
    <row r="122" spans="1:8" ht="16.5" customHeight="1" x14ac:dyDescent="0.55000000000000004">
      <c r="A122" s="1" t="s">
        <v>146</v>
      </c>
      <c r="B122" s="2" t="s">
        <v>147</v>
      </c>
      <c r="C122" s="2" t="s">
        <v>155</v>
      </c>
      <c r="D122" s="2" t="s">
        <v>9</v>
      </c>
      <c r="E122" s="2" t="s">
        <v>7</v>
      </c>
      <c r="G122" s="13" t="s">
        <v>14</v>
      </c>
      <c r="H122" s="13"/>
    </row>
    <row r="123" spans="1:8" ht="16.5" customHeight="1" x14ac:dyDescent="0.55000000000000004">
      <c r="A123" s="1" t="s">
        <v>146</v>
      </c>
      <c r="B123" s="2" t="s">
        <v>147</v>
      </c>
      <c r="C123" s="2" t="s">
        <v>156</v>
      </c>
      <c r="D123" s="2" t="s">
        <v>9</v>
      </c>
      <c r="E123" s="2" t="s">
        <v>7</v>
      </c>
      <c r="G123" s="13" t="s">
        <v>14</v>
      </c>
      <c r="H123" s="13"/>
    </row>
    <row r="124" spans="1:8" ht="16.5" customHeight="1" x14ac:dyDescent="0.55000000000000004">
      <c r="A124" s="1" t="s">
        <v>146</v>
      </c>
      <c r="B124" s="2" t="s">
        <v>147</v>
      </c>
      <c r="C124" s="2" t="s">
        <v>157</v>
      </c>
      <c r="D124" s="2" t="s">
        <v>9</v>
      </c>
      <c r="E124" s="2" t="s">
        <v>7</v>
      </c>
      <c r="F124" s="1"/>
      <c r="G124" s="13" t="s">
        <v>14</v>
      </c>
      <c r="H124" s="13"/>
    </row>
    <row r="125" spans="1:8" ht="16.5" customHeight="1" x14ac:dyDescent="0.55000000000000004">
      <c r="A125" s="1" t="s">
        <v>146</v>
      </c>
      <c r="B125" s="2" t="s">
        <v>147</v>
      </c>
      <c r="C125" s="2" t="s">
        <v>158</v>
      </c>
      <c r="D125" s="2" t="s">
        <v>9</v>
      </c>
      <c r="E125" s="2" t="s">
        <v>7</v>
      </c>
      <c r="F125" s="1"/>
      <c r="G125" s="13" t="s">
        <v>14</v>
      </c>
      <c r="H125" s="13"/>
    </row>
    <row r="126" spans="1:8" ht="16.5" customHeight="1" x14ac:dyDescent="0.55000000000000004">
      <c r="A126" s="1" t="s">
        <v>146</v>
      </c>
      <c r="B126" s="2" t="s">
        <v>147</v>
      </c>
      <c r="C126" s="2" t="s">
        <v>159</v>
      </c>
      <c r="D126" s="2" t="s">
        <v>9</v>
      </c>
      <c r="E126" s="2" t="s">
        <v>7</v>
      </c>
      <c r="F126" s="1"/>
      <c r="G126" s="13" t="s">
        <v>14</v>
      </c>
      <c r="H126" s="13"/>
    </row>
    <row r="127" spans="1:8" ht="16.5" customHeight="1" x14ac:dyDescent="0.55000000000000004">
      <c r="A127" s="1" t="s">
        <v>146</v>
      </c>
      <c r="B127" s="2" t="s">
        <v>147</v>
      </c>
      <c r="C127" s="2" t="s">
        <v>160</v>
      </c>
      <c r="D127" s="2" t="s">
        <v>9</v>
      </c>
      <c r="E127" s="2" t="s">
        <v>7</v>
      </c>
      <c r="F127" s="1"/>
      <c r="G127" s="13" t="s">
        <v>14</v>
      </c>
      <c r="H127" s="13"/>
    </row>
    <row r="128" spans="1:8" ht="16.5" customHeight="1" x14ac:dyDescent="0.55000000000000004">
      <c r="A128" s="1" t="s">
        <v>146</v>
      </c>
      <c r="B128" s="2" t="s">
        <v>147</v>
      </c>
      <c r="C128" s="2" t="s">
        <v>161</v>
      </c>
      <c r="D128" s="2" t="s">
        <v>9</v>
      </c>
      <c r="E128" s="2" t="s">
        <v>7</v>
      </c>
      <c r="G128" s="13" t="s">
        <v>14</v>
      </c>
      <c r="H128" s="13"/>
    </row>
    <row r="129" spans="1:8" ht="16.5" customHeight="1" x14ac:dyDescent="0.55000000000000004">
      <c r="A129" s="1" t="s">
        <v>146</v>
      </c>
      <c r="B129" s="2" t="s">
        <v>147</v>
      </c>
      <c r="C129" s="2" t="s">
        <v>162</v>
      </c>
      <c r="D129" s="2" t="s">
        <v>9</v>
      </c>
      <c r="E129" s="2" t="s">
        <v>7</v>
      </c>
      <c r="F129" s="1"/>
      <c r="G129" s="13" t="s">
        <v>14</v>
      </c>
      <c r="H129" s="13"/>
    </row>
    <row r="130" spans="1:8" ht="16.5" customHeight="1" x14ac:dyDescent="0.55000000000000004">
      <c r="A130" s="1" t="s">
        <v>146</v>
      </c>
      <c r="B130" s="2" t="s">
        <v>147</v>
      </c>
      <c r="C130" s="2" t="s">
        <v>163</v>
      </c>
      <c r="D130" s="2" t="s">
        <v>9</v>
      </c>
      <c r="E130" s="2" t="s">
        <v>7</v>
      </c>
      <c r="F130" s="1"/>
      <c r="G130" s="13" t="s">
        <v>14</v>
      </c>
      <c r="H130" s="13"/>
    </row>
    <row r="131" spans="1:8" ht="16.5" customHeight="1" x14ac:dyDescent="0.55000000000000004">
      <c r="A131" s="1" t="s">
        <v>146</v>
      </c>
      <c r="B131" s="2" t="s">
        <v>147</v>
      </c>
      <c r="C131" s="2" t="s">
        <v>164</v>
      </c>
      <c r="D131" s="2" t="s">
        <v>9</v>
      </c>
      <c r="E131" s="2" t="s">
        <v>7</v>
      </c>
      <c r="F131" s="1"/>
      <c r="G131" s="13" t="s">
        <v>14</v>
      </c>
      <c r="H131" s="13"/>
    </row>
    <row r="132" spans="1:8" ht="16.5" customHeight="1" x14ac:dyDescent="0.55000000000000004">
      <c r="A132" s="1" t="s">
        <v>146</v>
      </c>
      <c r="B132" s="2" t="s">
        <v>147</v>
      </c>
      <c r="C132" s="2" t="s">
        <v>165</v>
      </c>
      <c r="D132" s="2" t="s">
        <v>9</v>
      </c>
      <c r="E132" s="2" t="s">
        <v>7</v>
      </c>
      <c r="F132" s="1"/>
      <c r="G132" s="13" t="s">
        <v>14</v>
      </c>
      <c r="H132" s="13"/>
    </row>
    <row r="133" spans="1:8" ht="16.5" customHeight="1" x14ac:dyDescent="0.55000000000000004">
      <c r="A133" s="1" t="s">
        <v>146</v>
      </c>
      <c r="B133" s="2" t="s">
        <v>147</v>
      </c>
      <c r="C133" s="2" t="s">
        <v>166</v>
      </c>
      <c r="D133" s="2" t="s">
        <v>9</v>
      </c>
      <c r="E133" s="2" t="s">
        <v>7</v>
      </c>
      <c r="G133" s="13" t="s">
        <v>14</v>
      </c>
      <c r="H133" s="13"/>
    </row>
    <row r="134" spans="1:8" ht="16.5" customHeight="1" x14ac:dyDescent="0.55000000000000004">
      <c r="A134" s="1" t="s">
        <v>167</v>
      </c>
      <c r="B134" s="2" t="s">
        <v>168</v>
      </c>
      <c r="C134" s="2" t="s">
        <v>169</v>
      </c>
      <c r="D134" s="2" t="s">
        <v>6</v>
      </c>
      <c r="E134" s="2" t="s">
        <v>7</v>
      </c>
      <c r="G134" s="13"/>
      <c r="H134" s="13"/>
    </row>
    <row r="135" spans="1:8" ht="16.5" customHeight="1" x14ac:dyDescent="0.55000000000000004">
      <c r="A135" s="1" t="s">
        <v>167</v>
      </c>
      <c r="B135" s="2" t="s">
        <v>168</v>
      </c>
      <c r="C135" s="2" t="s">
        <v>170</v>
      </c>
      <c r="D135" s="2" t="s">
        <v>9</v>
      </c>
      <c r="E135" s="2" t="s">
        <v>7</v>
      </c>
      <c r="F135" s="1"/>
      <c r="G135" s="13" t="s">
        <v>14</v>
      </c>
      <c r="H135" s="13"/>
    </row>
    <row r="136" spans="1:8" ht="16.5" customHeight="1" x14ac:dyDescent="0.55000000000000004">
      <c r="A136" s="1" t="s">
        <v>167</v>
      </c>
      <c r="B136" s="2" t="s">
        <v>168</v>
      </c>
      <c r="C136" s="2" t="s">
        <v>171</v>
      </c>
      <c r="D136" s="2" t="s">
        <v>9</v>
      </c>
      <c r="E136" s="2" t="s">
        <v>7</v>
      </c>
      <c r="G136" s="13" t="s">
        <v>14</v>
      </c>
      <c r="H136" s="13"/>
    </row>
    <row r="137" spans="1:8" ht="16.5" customHeight="1" x14ac:dyDescent="0.55000000000000004">
      <c r="A137" s="1" t="s">
        <v>167</v>
      </c>
      <c r="B137" s="2" t="s">
        <v>168</v>
      </c>
      <c r="C137" s="2" t="s">
        <v>172</v>
      </c>
      <c r="D137" s="2" t="s">
        <v>9</v>
      </c>
      <c r="E137" s="2" t="s">
        <v>7</v>
      </c>
      <c r="G137" s="13" t="s">
        <v>14</v>
      </c>
      <c r="H137" s="13"/>
    </row>
    <row r="138" spans="1:8" ht="16.5" customHeight="1" x14ac:dyDescent="0.55000000000000004">
      <c r="A138" s="1" t="s">
        <v>167</v>
      </c>
      <c r="B138" s="2" t="s">
        <v>168</v>
      </c>
      <c r="C138" s="2" t="s">
        <v>173</v>
      </c>
      <c r="D138" s="2" t="s">
        <v>9</v>
      </c>
      <c r="E138" s="2" t="s">
        <v>7</v>
      </c>
      <c r="G138" s="13" t="s">
        <v>14</v>
      </c>
      <c r="H138" s="13"/>
    </row>
    <row r="139" spans="1:8" ht="16.5" customHeight="1" x14ac:dyDescent="0.55000000000000004">
      <c r="A139" s="1" t="s">
        <v>167</v>
      </c>
      <c r="B139" s="2" t="s">
        <v>168</v>
      </c>
      <c r="C139" s="2" t="s">
        <v>174</v>
      </c>
      <c r="D139" s="2" t="s">
        <v>9</v>
      </c>
      <c r="E139" s="2" t="s">
        <v>7</v>
      </c>
      <c r="G139" s="13" t="s">
        <v>14</v>
      </c>
      <c r="H139" s="13"/>
    </row>
    <row r="140" spans="1:8" ht="16.5" customHeight="1" x14ac:dyDescent="0.55000000000000004">
      <c r="A140" s="1" t="s">
        <v>167</v>
      </c>
      <c r="B140" s="2" t="s">
        <v>168</v>
      </c>
      <c r="C140" s="2" t="s">
        <v>175</v>
      </c>
      <c r="D140" s="2" t="s">
        <v>9</v>
      </c>
      <c r="E140" s="2" t="s">
        <v>7</v>
      </c>
      <c r="G140" s="13" t="s">
        <v>14</v>
      </c>
      <c r="H140" s="13"/>
    </row>
    <row r="141" spans="1:8" ht="16.5" customHeight="1" x14ac:dyDescent="0.55000000000000004">
      <c r="A141" s="1" t="s">
        <v>167</v>
      </c>
      <c r="B141" s="2" t="s">
        <v>168</v>
      </c>
      <c r="C141" s="2" t="s">
        <v>176</v>
      </c>
      <c r="D141" s="2" t="s">
        <v>9</v>
      </c>
      <c r="E141" s="2" t="s">
        <v>7</v>
      </c>
      <c r="G141" s="13" t="s">
        <v>14</v>
      </c>
      <c r="H141" s="13"/>
    </row>
    <row r="142" spans="1:8" ht="16.5" customHeight="1" x14ac:dyDescent="0.55000000000000004">
      <c r="A142" s="1" t="s">
        <v>167</v>
      </c>
      <c r="B142" s="2" t="s">
        <v>168</v>
      </c>
      <c r="C142" s="2" t="s">
        <v>177</v>
      </c>
      <c r="D142" s="2" t="s">
        <v>9</v>
      </c>
      <c r="E142" s="2" t="s">
        <v>7</v>
      </c>
      <c r="G142" s="13" t="s">
        <v>14</v>
      </c>
      <c r="H142" s="13"/>
    </row>
    <row r="143" spans="1:8" ht="16.5" customHeight="1" x14ac:dyDescent="0.55000000000000004">
      <c r="A143" s="1" t="s">
        <v>167</v>
      </c>
      <c r="B143" s="2" t="s">
        <v>168</v>
      </c>
      <c r="C143" s="2" t="s">
        <v>178</v>
      </c>
      <c r="D143" s="2" t="s">
        <v>9</v>
      </c>
      <c r="E143" s="2" t="s">
        <v>7</v>
      </c>
      <c r="G143" s="13" t="s">
        <v>14</v>
      </c>
      <c r="H143" s="13"/>
    </row>
    <row r="144" spans="1:8" ht="16.5" customHeight="1" x14ac:dyDescent="0.55000000000000004">
      <c r="A144" s="1" t="s">
        <v>167</v>
      </c>
      <c r="B144" s="2" t="s">
        <v>168</v>
      </c>
      <c r="C144" s="2" t="s">
        <v>179</v>
      </c>
      <c r="D144" s="2" t="s">
        <v>9</v>
      </c>
      <c r="E144" s="2" t="s">
        <v>7</v>
      </c>
      <c r="G144" s="13" t="s">
        <v>14</v>
      </c>
      <c r="H144" s="13"/>
    </row>
    <row r="145" spans="1:8" ht="16.5" customHeight="1" x14ac:dyDescent="0.55000000000000004">
      <c r="A145" s="1" t="s">
        <v>167</v>
      </c>
      <c r="B145" s="2" t="s">
        <v>168</v>
      </c>
      <c r="C145" s="2" t="s">
        <v>180</v>
      </c>
      <c r="D145" s="2" t="s">
        <v>9</v>
      </c>
      <c r="E145" s="2" t="s">
        <v>7</v>
      </c>
      <c r="G145" s="13" t="s">
        <v>14</v>
      </c>
      <c r="H145" s="13"/>
    </row>
    <row r="146" spans="1:8" ht="16.5" customHeight="1" x14ac:dyDescent="0.55000000000000004">
      <c r="A146" s="1" t="s">
        <v>167</v>
      </c>
      <c r="B146" s="2" t="s">
        <v>168</v>
      </c>
      <c r="C146" s="2" t="s">
        <v>181</v>
      </c>
      <c r="D146" s="2" t="s">
        <v>9</v>
      </c>
      <c r="E146" s="2" t="s">
        <v>7</v>
      </c>
      <c r="G146" s="13" t="s">
        <v>14</v>
      </c>
      <c r="H146" s="13"/>
    </row>
    <row r="147" spans="1:8" ht="16.5" customHeight="1" x14ac:dyDescent="0.55000000000000004">
      <c r="A147" s="1" t="s">
        <v>167</v>
      </c>
      <c r="B147" s="2" t="s">
        <v>182</v>
      </c>
      <c r="C147" s="2" t="s">
        <v>183</v>
      </c>
      <c r="D147" s="2" t="s">
        <v>6</v>
      </c>
      <c r="E147" s="2" t="s">
        <v>7</v>
      </c>
      <c r="G147" s="13"/>
      <c r="H147" s="13"/>
    </row>
    <row r="148" spans="1:8" ht="16.5" customHeight="1" x14ac:dyDescent="0.55000000000000004">
      <c r="A148" s="1" t="s">
        <v>167</v>
      </c>
      <c r="B148" s="2" t="s">
        <v>182</v>
      </c>
      <c r="C148" s="2" t="s">
        <v>184</v>
      </c>
      <c r="D148" s="2" t="s">
        <v>9</v>
      </c>
      <c r="E148" s="2" t="s">
        <v>7</v>
      </c>
      <c r="G148" s="13" t="s">
        <v>14</v>
      </c>
      <c r="H148" s="13"/>
    </row>
    <row r="149" spans="1:8" ht="16.5" customHeight="1" x14ac:dyDescent="0.55000000000000004">
      <c r="A149" s="1" t="s">
        <v>167</v>
      </c>
      <c r="B149" s="2" t="s">
        <v>182</v>
      </c>
      <c r="C149" s="2" t="s">
        <v>185</v>
      </c>
      <c r="D149" s="2" t="s">
        <v>9</v>
      </c>
      <c r="E149" s="2" t="s">
        <v>7</v>
      </c>
      <c r="F149" s="1"/>
      <c r="G149" s="13" t="s">
        <v>14</v>
      </c>
      <c r="H149" s="13"/>
    </row>
    <row r="150" spans="1:8" ht="16.5" customHeight="1" x14ac:dyDescent="0.55000000000000004">
      <c r="A150" s="1" t="s">
        <v>167</v>
      </c>
      <c r="B150" s="2" t="s">
        <v>182</v>
      </c>
      <c r="C150" s="2" t="s">
        <v>186</v>
      </c>
      <c r="D150" s="2" t="s">
        <v>9</v>
      </c>
      <c r="E150" s="2" t="s">
        <v>7</v>
      </c>
      <c r="F150" s="1"/>
      <c r="G150" s="13" t="s">
        <v>14</v>
      </c>
      <c r="H150" s="13"/>
    </row>
    <row r="151" spans="1:8" ht="16.5" customHeight="1" x14ac:dyDescent="0.55000000000000004">
      <c r="A151" s="1" t="s">
        <v>167</v>
      </c>
      <c r="B151" s="2" t="s">
        <v>182</v>
      </c>
      <c r="C151" s="2" t="s">
        <v>187</v>
      </c>
      <c r="D151" s="2" t="s">
        <v>9</v>
      </c>
      <c r="E151" s="2" t="s">
        <v>7</v>
      </c>
      <c r="F151" s="1"/>
      <c r="G151" s="13" t="s">
        <v>14</v>
      </c>
      <c r="H151" s="13"/>
    </row>
    <row r="152" spans="1:8" ht="16.5" customHeight="1" x14ac:dyDescent="0.55000000000000004">
      <c r="A152" s="1" t="s">
        <v>167</v>
      </c>
      <c r="B152" s="2" t="s">
        <v>182</v>
      </c>
      <c r="C152" s="1" t="s">
        <v>188</v>
      </c>
      <c r="D152" s="2" t="s">
        <v>9</v>
      </c>
      <c r="E152" s="2" t="s">
        <v>7</v>
      </c>
      <c r="F152" s="1"/>
      <c r="G152" s="13" t="s">
        <v>14</v>
      </c>
      <c r="H152" s="13"/>
    </row>
    <row r="153" spans="1:8" ht="16.5" customHeight="1" x14ac:dyDescent="0.55000000000000004">
      <c r="A153" s="1" t="s">
        <v>167</v>
      </c>
      <c r="B153" s="2" t="s">
        <v>182</v>
      </c>
      <c r="C153" s="1" t="s">
        <v>189</v>
      </c>
      <c r="D153" s="2" t="s">
        <v>9</v>
      </c>
      <c r="E153" s="2" t="s">
        <v>7</v>
      </c>
      <c r="F153" s="1"/>
      <c r="G153" s="13" t="s">
        <v>14</v>
      </c>
      <c r="H153" s="13"/>
    </row>
    <row r="154" spans="1:8" ht="16.5" customHeight="1" x14ac:dyDescent="0.55000000000000004">
      <c r="A154" s="1" t="s">
        <v>167</v>
      </c>
      <c r="B154" s="2" t="s">
        <v>182</v>
      </c>
      <c r="C154" s="1" t="s">
        <v>190</v>
      </c>
      <c r="D154" s="2" t="s">
        <v>9</v>
      </c>
      <c r="E154" s="2" t="s">
        <v>7</v>
      </c>
      <c r="F154" s="1"/>
      <c r="G154" s="13" t="s">
        <v>14</v>
      </c>
      <c r="H154" s="13"/>
    </row>
    <row r="155" spans="1:8" ht="16.5" customHeight="1" x14ac:dyDescent="0.55000000000000004">
      <c r="A155" s="1" t="s">
        <v>167</v>
      </c>
      <c r="B155" s="2" t="s">
        <v>182</v>
      </c>
      <c r="C155" s="2" t="s">
        <v>191</v>
      </c>
      <c r="D155" s="2" t="s">
        <v>9</v>
      </c>
      <c r="E155" s="2" t="s">
        <v>7</v>
      </c>
      <c r="F155" s="1"/>
      <c r="G155" s="13" t="s">
        <v>14</v>
      </c>
      <c r="H155" s="13"/>
    </row>
    <row r="156" spans="1:8" ht="16.5" customHeight="1" x14ac:dyDescent="0.55000000000000004">
      <c r="A156" s="1" t="s">
        <v>167</v>
      </c>
      <c r="B156" s="2" t="s">
        <v>182</v>
      </c>
      <c r="C156" s="2" t="s">
        <v>192</v>
      </c>
      <c r="D156" s="2" t="s">
        <v>9</v>
      </c>
      <c r="E156" s="2" t="s">
        <v>7</v>
      </c>
      <c r="F156" s="1"/>
      <c r="G156" s="13" t="s">
        <v>14</v>
      </c>
      <c r="H156" s="13"/>
    </row>
    <row r="157" spans="1:8" ht="16.5" customHeight="1" x14ac:dyDescent="0.55000000000000004">
      <c r="A157" s="1" t="s">
        <v>167</v>
      </c>
      <c r="B157" s="2" t="s">
        <v>182</v>
      </c>
      <c r="C157" s="2" t="s">
        <v>193</v>
      </c>
      <c r="D157" s="2" t="s">
        <v>9</v>
      </c>
      <c r="E157" s="2" t="s">
        <v>7</v>
      </c>
      <c r="F157" s="1"/>
      <c r="G157" s="13" t="s">
        <v>14</v>
      </c>
      <c r="H157" s="13"/>
    </row>
    <row r="158" spans="1:8" ht="16.5" customHeight="1" x14ac:dyDescent="0.55000000000000004">
      <c r="A158" s="1" t="s">
        <v>167</v>
      </c>
      <c r="B158" s="2" t="s">
        <v>167</v>
      </c>
      <c r="C158" s="2" t="s">
        <v>194</v>
      </c>
      <c r="D158" s="2" t="s">
        <v>9</v>
      </c>
      <c r="E158" s="2" t="s">
        <v>7</v>
      </c>
      <c r="F158" s="1"/>
      <c r="G158" s="13" t="s">
        <v>14</v>
      </c>
      <c r="H158" s="13"/>
    </row>
    <row r="159" spans="1:8" ht="16.5" customHeight="1" x14ac:dyDescent="0.55000000000000004">
      <c r="A159" s="1" t="s">
        <v>167</v>
      </c>
      <c r="B159" s="2" t="s">
        <v>167</v>
      </c>
      <c r="C159" s="2" t="s">
        <v>195</v>
      </c>
      <c r="D159" s="2" t="s">
        <v>9</v>
      </c>
      <c r="E159" s="2" t="s">
        <v>7</v>
      </c>
      <c r="F159" s="1"/>
      <c r="G159" s="13" t="s">
        <v>14</v>
      </c>
      <c r="H159" s="13"/>
    </row>
    <row r="160" spans="1:8" ht="16.5" customHeight="1" x14ac:dyDescent="0.55000000000000004">
      <c r="A160" s="1" t="s">
        <v>167</v>
      </c>
      <c r="B160" s="2" t="s">
        <v>167</v>
      </c>
      <c r="C160" s="2" t="s">
        <v>196</v>
      </c>
      <c r="D160" s="2" t="s">
        <v>9</v>
      </c>
      <c r="E160" s="2" t="s">
        <v>7</v>
      </c>
      <c r="G160" s="13" t="s">
        <v>14</v>
      </c>
      <c r="H160" s="13"/>
    </row>
    <row r="161" spans="1:8" ht="16.5" customHeight="1" x14ac:dyDescent="0.55000000000000004">
      <c r="A161" s="1" t="s">
        <v>167</v>
      </c>
      <c r="B161" s="2" t="s">
        <v>167</v>
      </c>
      <c r="C161" s="2" t="s">
        <v>197</v>
      </c>
      <c r="D161" s="2" t="s">
        <v>9</v>
      </c>
      <c r="E161" s="2" t="s">
        <v>7</v>
      </c>
      <c r="G161" s="13" t="s">
        <v>14</v>
      </c>
      <c r="H161" s="13"/>
    </row>
    <row r="162" spans="1:8" ht="16.5" customHeight="1" x14ac:dyDescent="0.55000000000000004">
      <c r="A162" s="1" t="s">
        <v>167</v>
      </c>
      <c r="B162" s="2" t="s">
        <v>167</v>
      </c>
      <c r="C162" s="2" t="s">
        <v>198</v>
      </c>
      <c r="D162" s="2" t="s">
        <v>9</v>
      </c>
      <c r="E162" s="2" t="s">
        <v>7</v>
      </c>
      <c r="G162" s="13" t="s">
        <v>14</v>
      </c>
      <c r="H162" s="13"/>
    </row>
    <row r="163" spans="1:8" ht="16.5" customHeight="1" x14ac:dyDescent="0.55000000000000004">
      <c r="A163" s="1" t="s">
        <v>167</v>
      </c>
      <c r="B163" s="2" t="s">
        <v>167</v>
      </c>
      <c r="C163" s="2" t="s">
        <v>199</v>
      </c>
      <c r="D163" s="2" t="s">
        <v>9</v>
      </c>
      <c r="E163" s="2" t="s">
        <v>7</v>
      </c>
      <c r="G163" s="13" t="s">
        <v>14</v>
      </c>
      <c r="H163" s="13"/>
    </row>
    <row r="164" spans="1:8" ht="16.5" customHeight="1" x14ac:dyDescent="0.55000000000000004">
      <c r="A164" s="1" t="s">
        <v>167</v>
      </c>
      <c r="B164" s="2" t="s">
        <v>167</v>
      </c>
      <c r="C164" s="2" t="s">
        <v>200</v>
      </c>
      <c r="D164" s="2" t="s">
        <v>9</v>
      </c>
      <c r="E164" s="2" t="s">
        <v>7</v>
      </c>
      <c r="F164" s="1"/>
      <c r="G164" s="13" t="s">
        <v>14</v>
      </c>
      <c r="H164" s="13"/>
    </row>
    <row r="165" spans="1:8" ht="16.5" customHeight="1" x14ac:dyDescent="0.55000000000000004">
      <c r="A165" s="1" t="s">
        <v>167</v>
      </c>
      <c r="B165" s="2" t="s">
        <v>167</v>
      </c>
      <c r="C165" s="2" t="s">
        <v>201</v>
      </c>
      <c r="D165" s="2" t="s">
        <v>9</v>
      </c>
      <c r="E165" s="2" t="s">
        <v>7</v>
      </c>
      <c r="G165" s="13" t="s">
        <v>14</v>
      </c>
      <c r="H165" s="13"/>
    </row>
    <row r="166" spans="1:8" ht="16.5" customHeight="1" x14ac:dyDescent="0.55000000000000004">
      <c r="A166" s="1" t="s">
        <v>167</v>
      </c>
      <c r="B166" s="2" t="s">
        <v>167</v>
      </c>
      <c r="C166" s="2" t="s">
        <v>202</v>
      </c>
      <c r="D166" s="2" t="s">
        <v>9</v>
      </c>
      <c r="E166" s="2" t="s">
        <v>7</v>
      </c>
      <c r="G166" s="13" t="s">
        <v>14</v>
      </c>
      <c r="H166" s="13"/>
    </row>
    <row r="167" spans="1:8" ht="16.5" customHeight="1" x14ac:dyDescent="0.55000000000000004">
      <c r="A167" s="2"/>
      <c r="B167" s="2"/>
      <c r="G167" s="3"/>
    </row>
    <row r="168" spans="1:8" ht="16.5" customHeight="1" x14ac:dyDescent="0.55000000000000004">
      <c r="A168" s="2"/>
      <c r="B168" s="2"/>
      <c r="G168" s="3"/>
    </row>
    <row r="169" spans="1:8" ht="16.5" customHeight="1" x14ac:dyDescent="0.55000000000000004"/>
    <row r="170" spans="1:8" ht="16.5" customHeight="1" x14ac:dyDescent="0.55000000000000004"/>
    <row r="171" spans="1:8" ht="16.5" customHeight="1" x14ac:dyDescent="0.55000000000000004"/>
    <row r="172" spans="1:8" ht="16.5" customHeight="1" x14ac:dyDescent="0.55000000000000004"/>
    <row r="173" spans="1:8" ht="16.5" customHeight="1" x14ac:dyDescent="0.55000000000000004"/>
    <row r="174" spans="1:8" ht="16.5" customHeight="1" x14ac:dyDescent="0.55000000000000004"/>
    <row r="175" spans="1:8" ht="16.5" customHeight="1" x14ac:dyDescent="0.55000000000000004"/>
    <row r="176" spans="1:8" ht="16.5" customHeight="1" x14ac:dyDescent="0.55000000000000004"/>
    <row r="177" ht="16.5" customHeight="1" x14ac:dyDescent="0.55000000000000004"/>
    <row r="178" ht="16.5" customHeight="1" x14ac:dyDescent="0.55000000000000004"/>
    <row r="179" ht="16.5" customHeight="1" x14ac:dyDescent="0.55000000000000004"/>
    <row r="180" ht="16.5" customHeight="1" x14ac:dyDescent="0.55000000000000004"/>
    <row r="181" ht="16.5" customHeight="1" x14ac:dyDescent="0.55000000000000004"/>
    <row r="182" ht="16.5" customHeight="1" x14ac:dyDescent="0.55000000000000004"/>
    <row r="183" ht="16.5" customHeight="1" x14ac:dyDescent="0.55000000000000004"/>
    <row r="184" ht="16.5" customHeight="1" x14ac:dyDescent="0.55000000000000004"/>
    <row r="185" ht="16.5" customHeight="1" x14ac:dyDescent="0.55000000000000004"/>
    <row r="186" ht="16.5" customHeight="1" x14ac:dyDescent="0.55000000000000004"/>
    <row r="187" ht="16.5" customHeight="1" x14ac:dyDescent="0.55000000000000004"/>
    <row r="188" ht="16.5" customHeight="1" x14ac:dyDescent="0.55000000000000004"/>
    <row r="189" ht="16.5" customHeight="1" x14ac:dyDescent="0.55000000000000004"/>
    <row r="190" ht="16.5" customHeight="1" x14ac:dyDescent="0.55000000000000004"/>
    <row r="191" ht="16.5" customHeight="1" x14ac:dyDescent="0.55000000000000004"/>
    <row r="192" ht="16.5" customHeight="1" x14ac:dyDescent="0.55000000000000004"/>
    <row r="193" ht="16.5" customHeight="1" x14ac:dyDescent="0.55000000000000004"/>
    <row r="194" ht="16.5" customHeight="1" x14ac:dyDescent="0.55000000000000004"/>
    <row r="195" ht="16.5" customHeight="1" x14ac:dyDescent="0.55000000000000004"/>
    <row r="196" ht="16.5" customHeight="1" x14ac:dyDescent="0.55000000000000004"/>
    <row r="197" ht="16.5" customHeight="1" x14ac:dyDescent="0.55000000000000004"/>
    <row r="198" ht="16.5" customHeight="1" x14ac:dyDescent="0.55000000000000004"/>
    <row r="199" ht="16.5" customHeight="1" x14ac:dyDescent="0.55000000000000004"/>
    <row r="200" ht="16.5" customHeight="1" x14ac:dyDescent="0.55000000000000004"/>
    <row r="201" ht="16.5" customHeight="1" x14ac:dyDescent="0.55000000000000004"/>
    <row r="202" ht="16.5" customHeight="1" x14ac:dyDescent="0.55000000000000004"/>
    <row r="203" ht="16.5" customHeight="1" x14ac:dyDescent="0.55000000000000004"/>
    <row r="204" ht="16.5" customHeight="1" x14ac:dyDescent="0.55000000000000004"/>
    <row r="205" ht="16.5" customHeight="1" x14ac:dyDescent="0.55000000000000004"/>
    <row r="206" ht="16.5" customHeight="1" x14ac:dyDescent="0.55000000000000004"/>
    <row r="207" ht="16.5" customHeight="1" x14ac:dyDescent="0.55000000000000004"/>
    <row r="208" ht="16.5" customHeight="1" x14ac:dyDescent="0.55000000000000004"/>
    <row r="209" ht="16.5" customHeight="1" x14ac:dyDescent="0.55000000000000004"/>
    <row r="210" ht="16.5" customHeight="1" x14ac:dyDescent="0.55000000000000004"/>
    <row r="211" ht="16.5" customHeight="1" x14ac:dyDescent="0.55000000000000004"/>
    <row r="212" ht="16.5" customHeight="1" x14ac:dyDescent="0.55000000000000004"/>
    <row r="213" ht="16.5" customHeight="1" x14ac:dyDescent="0.55000000000000004"/>
    <row r="214" ht="16.5" customHeight="1" x14ac:dyDescent="0.55000000000000004"/>
    <row r="215" ht="16.5" customHeight="1" x14ac:dyDescent="0.55000000000000004"/>
    <row r="216" ht="16.5" customHeight="1" x14ac:dyDescent="0.55000000000000004"/>
    <row r="217" ht="16.5" customHeight="1" x14ac:dyDescent="0.55000000000000004"/>
    <row r="218" ht="16.5" customHeight="1" x14ac:dyDescent="0.55000000000000004"/>
    <row r="219" ht="16.5" customHeight="1" x14ac:dyDescent="0.55000000000000004"/>
    <row r="220" ht="16.5" customHeight="1" x14ac:dyDescent="0.55000000000000004"/>
    <row r="221" ht="16.5" customHeight="1" x14ac:dyDescent="0.55000000000000004"/>
  </sheetData>
  <autoFilter ref="A4:H166"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5" r:id="rId1" tooltip="https://docs.microsoft.com/azure/active-directory/roles/security-emergency-access" xr:uid="{537E794F-7C75-4B95-A3FD-9854579151F1}"/>
    <hyperlink ref="G6" r:id="rId2" tooltip="https://docs.microsoft.com/azure/role-based-access-control/overview" xr:uid="{289A7D2F-1BF8-42BB-8E88-FF2E253ACADE}"/>
    <hyperlink ref="G7" r:id="rId3" tooltip="https://docs.microsoft.com/azure/active-directory/conditional-access/overview" xr:uid="{8B6CBDD3-B13F-47C6-88FF-04F9A014D9FF}"/>
    <hyperlink ref="G8" r:id="rId4" tooltip="https://docs.microsoft.com/azure/active-directory/authentication/concept-mfa-howitworks" xr:uid="{FEAF0C28-8592-408D-95A9-11CB87F767E7}"/>
    <hyperlink ref="G9" r:id="rId5" tooltip="https://docs.microsoft.com/azure/role-based-access-control/overview" xr:uid="{39FDE9EE-4535-4D8D-99C8-2D75C83ABF11}"/>
    <hyperlink ref="G10" r:id="rId6" tooltip="https://docs.microsoft.com/azure/active-directory/privileged-identity-management/pim-configure" xr:uid="{A0751109-E52F-4D01-BC1A-6FEACE3F9C0C}"/>
    <hyperlink ref="G11" r:id="rId7" tooltip="https://docs.microsoft.com/azure/active-directory-b2c/user-overview" xr:uid="{FFD19E95-1EFE-400B-9331-063B21F9FB11}"/>
    <hyperlink ref="G12" r:id="rId8" tooltip="https://docs.microsoft.com/azure/active-directory/fundamentals/active-directory-groups-create-azure-portal" xr:uid="{E4A27A1D-40FB-456A-8962-B718A1912C58}"/>
    <hyperlink ref="G13" r:id="rId9" tooltip="https://docs.microsoft.com/azure/role-based-access-control/custom-roles" xr:uid="{108C0EF6-29DB-4A53-AD69-B1100B03CC61}"/>
    <hyperlink ref="G14" r:id="rId10" tooltip="https://azure.microsoft.com/resources/achieving-compliant-data-residency-and-security-with-azure/" xr:uid="{0A763024-8125-41C4-B267-AD74D6E00430}"/>
    <hyperlink ref="G15" r:id="rId11" tooltip="https://docs.microsoft.com/azure/active-directory-domain-services/overview" xr:uid="{327BA628-0E8D-4560-9CE1-A6C5C6050320}"/>
    <hyperlink ref="G16" r:id="rId12" tooltip="https://docs.microsoft.com/azure/active-directory-domain-services/overview" xr:uid="{84A41FDB-E649-48F1-93B1-6510110D7D18}"/>
    <hyperlink ref="G17" r:id="rId13" tooltip="https://docs.microsoft.com/azure/architecture/reference-architectures/identity/adds-extend-domain" xr:uid="{3320DE11-7844-44F2-9616-873B9EB6AB90}"/>
    <hyperlink ref="G18" r:id="rId14" tooltip="https://docs.microsoft.com/azure/active-directory/app-proxy/application-proxy" xr:uid="{E5853A09-3324-4B24-9D18-557827E768B4}"/>
    <hyperlink ref="G19" r:id="rId15" tooltip="https://docs.microsoft.com/azure/governance/management-groups/overview" xr:uid="{286CEFB6-D4EC-4B98-B742-1662C7F042F8}"/>
    <hyperlink ref="G20" r:id="rId16" tooltip="https://docs.microsoft.com/azure/cloud-adoption-framework/decision-guides/resource-tagging/?toc=/azure/azure-resource-manager/management/toc.json" xr:uid="{5325A586-7E1D-49C5-BCC8-FA04B8A95E01}"/>
    <hyperlink ref="G21" r:id="rId17" tooltip="https://docs.microsoft.com/azure/governance/management-groups/overview" xr:uid="{3862AEB6-887B-4401-993F-39CD85C50D62}"/>
    <hyperlink ref="G22" r:id="rId18" tooltip="https://docs.microsoft.com/azure/governance/management-groups/overview" xr:uid="{DE3739FC-035F-4EFC-AB12-80E88D70EB98}"/>
    <hyperlink ref="G23" r:id="rId19" tooltip="https://docs.microsoft.com/azure/governance/management-groups/overview" xr:uid="{3D1AE753-8B44-482A-91E4-04F248074CD6}"/>
    <hyperlink ref="G24" r:id="rId20" tooltip="https://docs.microsoft.com/azure/governance/management-groups/overview" xr:uid="{952106BD-005B-4D53-A9C4-B1C386DE5995}"/>
    <hyperlink ref="G25" r:id="rId21" tooltip="https://docs.microsoft.com/azure/governance/management-groups/overview" xr:uid="{7AA088AD-DD5A-45DE-81B8-8BEA4D170C34}"/>
    <hyperlink ref="G26" r:id="rId22" tooltip="https://docs.microsoft.com/azure/governance/management-groups/overview" xr:uid="{AB675FA0-73A5-41CF-8B73-15934365DC37}"/>
    <hyperlink ref="G27" r:id="rId23" tooltip="https://docs.microsoft.com/azure/governance/management-groups/overview" xr:uid="{A715BD2B-54E8-4CDB-9466-805FC9EBF870}"/>
    <hyperlink ref="G28" r:id="rId24" tooltip="https://docs.microsoft.com/azure/azure-resource-manager/management/azure-subscription-service-limits" xr:uid="{6D367537-E5EC-477C-A2A5-9D0D64C774E2}"/>
    <hyperlink ref="G29" r:id="rId25" tooltip="https://docs.microsoft.com/azure/cost-management-billing/reservations/save-compute-costs-reservations" xr:uid="{D1148C08-9A68-43FC-B3C8-70632379CE90}"/>
    <hyperlink ref="G30" r:id="rId26" tooltip="https://docs.microsoft.com/azure/architecture/framework/scalability/design-capacity" xr:uid="{03FB6B18-2F65-491F-9171-88D163F6C540}"/>
    <hyperlink ref="G31" r:id="rId27" tooltip="https://azure.microsoft.com/global-infrastructure/services/" xr:uid="{D4EA9F90-0F94-462A-BAA5-3A07602A8A43}"/>
    <hyperlink ref="G32" r:id="rId28" tooltip="https://docs.microsoft.com/azure/cost-management-billing/cost-management-billing-overview" xr:uid="{08F3E2E9-B23B-489C-B261-DDB52D3AB983}"/>
    <hyperlink ref="G33" r:id="rId29" tooltip="https://docs.microsoft.com/azure/governance/management-groups/overview" xr:uid="{70108B4F-9D10-4AD1-BD35-1C8794C04AAA}"/>
    <hyperlink ref="G34" r:id="rId30" tooltip="https://docs.microsoft.com/azure/cloud-adoption-framework/decision-guides/resource-tagging/?toc=/azure/azure-resource-manager/management/toc.json" xr:uid="{4AD8610E-94AC-4DD1-B083-F92FFA5F5983}"/>
    <hyperlink ref="G35" r:id="rId31" tooltip="https://docs.microsoft.com/azure/cloud-adoption-framework/ready/azure-best-practices/plan-for-ip-addressing" xr:uid="{26376D37-0489-4A9F-9FB5-34C94A2E2FF1}"/>
    <hyperlink ref="G36" r:id="rId32" tooltip="https://docs.microsoft.com/azure/cloud-adoption-framework/ready/azure-best-practices/plan-for-ip-addressing" xr:uid="{940D812A-E41F-4BEB-9389-884FC40A5E95}"/>
    <hyperlink ref="G37" r:id="rId33" tooltip="https://docs.microsoft.com/azure/cloud-adoption-framework/ready/azure-best-practices/plan-for-ip-addressing" xr:uid="{664ADFD1-93EF-41B1-A3A8-1775B4A5FE12}"/>
    <hyperlink ref="G38" r:id="rId34" tooltip="https://docs.microsoft.com/azure/cloud-adoption-framework/ready/azure-best-practices/plan-for-ip-addressing" xr:uid="{40CAA59B-028D-4601-AF16-063CE3664DE1}"/>
    <hyperlink ref="G39" r:id="rId35" tooltip="https://docs.microsoft.com/azure/virtual-network/virtual-networks-name-resolution-for-vms-and-role-instances" xr:uid="{AADE04FF-6947-490F-9C22-51872DAA97A9}"/>
    <hyperlink ref="G40" r:id="rId36" tooltip="https://docs.microsoft.com/azure/virtual-network/virtual-networks-name-resolution-for-vms-and-role-instances" xr:uid="{CE29BC16-8685-406C-865C-814AEBB65AC5}"/>
    <hyperlink ref="G41" r:id="rId37" tooltip="https://docs.microsoft.com/azure/virtual-network/virtual-networks-name-resolution-for-vms-and-role-instances" xr:uid="{EC2324D6-B787-4BEE-A867-0426C8AADB69}"/>
    <hyperlink ref="G42" r:id="rId38" tooltip="https://docs.microsoft.com/azure/virtual-network/virtual-networks-name-resolution-for-vms-and-role-instances" xr:uid="{48BC56E9-9C40-41EF-99FF-B4D39B1405BC}"/>
    <hyperlink ref="G44" r:id="rId39" tooltip="https://docs.microsoft.com/azure/virtual-wan/virtual-wan-about" xr:uid="{69CD9EC0-0376-433D-95BB-2D88D472260A}"/>
    <hyperlink ref="G45" r:id="rId40" tooltip="https://docs.microsoft.com/azure/virtual-wan/virtual-wan-about" xr:uid="{80CCD48E-8277-47EC-B395-2545804E11DB}"/>
    <hyperlink ref="G46" r:id="rId41" tooltip="https://docs.microsoft.com/azure/virtual-wan/virtual-wan-about" xr:uid="{F4A371CC-2CCF-4F5E-98C8-44E064F6BB32}"/>
    <hyperlink ref="G47" r:id="rId42" tooltip="https://docs.microsoft.com/azure/virtual-wan/virtual-wan-about" xr:uid="{846EEA3D-D54D-421C-97A2-E977BCFB1198}"/>
    <hyperlink ref="G48" r:id="rId43" tooltip="https://docs.microsoft.com/azure/virtual-wan/virtual-wan-about" xr:uid="{2DE24569-A1DE-4C7C-919B-88F0C19DD096}"/>
    <hyperlink ref="G49" r:id="rId44" tooltip="https://docs.microsoft.com/azure/virtual-wan/virtual-wan-about" xr:uid="{3898BA7D-7A35-42FC-8F29-077CE2B117E0}"/>
    <hyperlink ref="G50" r:id="rId45" tooltip="https://docs.microsoft.com/azure/virtual-wan/virtual-wan-about" xr:uid="{B7E70109-90CE-4395-8D7C-E76980064B02}"/>
    <hyperlink ref="G51" r:id="rId46" tooltip="https://docs.microsoft.com/azure/virtual-wan/virtual-wan-about" xr:uid="{DAE16F0D-B734-4537-988A-EF875B97666A}"/>
    <hyperlink ref="G52" r:id="rId47" tooltip="https://docs.microsoft.com/azure/virtual-wan/virtual-wan-about" xr:uid="{D08DC8A8-2C25-4685-B2B9-70465CC4A3C3}"/>
    <hyperlink ref="G53" r:id="rId48" tooltip="https://docs.microsoft.com/azure/virtual-wan/virtual-wan-about" xr:uid="{674FE950-6CE8-456F-A172-C94E3981F9E1}"/>
    <hyperlink ref="G54" r:id="rId49" tooltip="https://docs.microsoft.com/azure/virtual-wan/virtual-wan-about" xr:uid="{146CF09B-4961-4A80-A8B4-B6B0963650B2}"/>
    <hyperlink ref="G56" r:id="rId50" tooltip="https://docs.microsoft.com/azure/cloud-adoption-framework/ready/enterprise-scale/network-topology-and-connectivity" xr:uid="{0175DEF4-5246-4777-AE7F-C6FE4B0265DE}"/>
    <hyperlink ref="G57" r:id="rId51" tooltip="https://docs.microsoft.com/azure/architecture/reference-architectures/hybrid-networking/expressroute" xr:uid="{F993CC82-2699-4D5A-A839-0C2C7CB6AD96}"/>
    <hyperlink ref="G58" r:id="rId52" tooltip="https://docs.microsoft.com/azure/cloud-adoption-framework/ready/enterprise-scale/network-topology-and-connectivity" xr:uid="{2485B2B4-C2C6-451F-B1E2-909BB978F51A}"/>
    <hyperlink ref="G59" r:id="rId53" tooltip="https://azure.microsoft.com/solutions/network-appliances/" xr:uid="{F6CE6053-1DF5-4374-A172-BC58FD647DC2}"/>
    <hyperlink ref="G60" r:id="rId54" tooltip="https://azure.microsoft.com/solutions/network-appliances/" xr:uid="{F9BB564E-F764-49E5-A2A7-B0BB98F1674F}"/>
    <hyperlink ref="G61" r:id="rId55" tooltip="https://docs.microsoft.com/azure/expressroute/expressroute-faqs" xr:uid="{4286C24E-2637-4F70-AAC4-93D2CFDCE98B}"/>
    <hyperlink ref="G62" r:id="rId56" tooltip="https://docs.microsoft.com/azure/expressroute/expressroute-faqs" xr:uid="{8073C007-C0F4-4BD8-9184-222F0585EE08}"/>
    <hyperlink ref="G63" r:id="rId57" tooltip="https://docs.microsoft.com/azure/expressroute/expressroute-faqs" xr:uid="{6D5CCD14-51BE-4D39-8E33-384030CE2168}"/>
    <hyperlink ref="G64" r:id="rId58" tooltip="https://docs.microsoft.com/azure/azure-monitor/insights/network-insights-overview" xr:uid="{E88DA000-25EA-4D33-97A9-23310A77E104}"/>
    <hyperlink ref="G65" r:id="rId59" tooltip="https://docs.microsoft.com/azure/architecture/reference-architectures/hybrid-networking/hub-spoke?tabs=cli" xr:uid="{47C7E97A-9FDD-4049-AC09-032114B1F6A8}"/>
    <hyperlink ref="G66" r:id="rId60" tooltip="https://docs.microsoft.com/azure/expressroute/expressroute-routing" xr:uid="{EDA5D3E9-F012-4306-8302-786F3319E1D8}"/>
    <hyperlink ref="G67" r:id="rId61" tooltip="https://docs.microsoft.com/azure/expressroute/expressroute-routing" xr:uid="{9D3285F2-AB3B-4ACE-9338-A3B4CF6399FC}"/>
    <hyperlink ref="G68" r:id="rId62" tooltip="https://docs.microsoft.com/azure/expressroute/expressroute-about-virtual-network-gateways" xr:uid="{93845B18-3283-4CA0-A7B0-D73A2826E554}"/>
    <hyperlink ref="G69" r:id="rId63" tooltip="https://docs.microsoft.com/azure/networking/" xr:uid="{F551A231-A63A-4564-8095-96C401B03EE9}"/>
    <hyperlink ref="G70" r:id="rId64" tooltip="https://docs.microsoft.com/azure/expressroute/expressroute-routing" xr:uid="{C0BCAF55-9BD5-4D68-8F97-BCD671C4D470}"/>
    <hyperlink ref="G71" r:id="rId65" tooltip="https://docs.microsoft.com/azure/expressroute/expressroute-routing" xr:uid="{D89DA530-C251-4988-B7C0-FF31E3005244}"/>
    <hyperlink ref="G72" r:id="rId66" tooltip="https://docs.microsoft.com/azure/networking/" xr:uid="{1FC25CBD-F176-480E-A94D-1B0277B8B54E}"/>
    <hyperlink ref="G73" r:id="rId67" tooltip="https://docs.microsoft.com/azure/networking/" xr:uid="{56A6450A-C489-4346-9F04-A462B225869C}"/>
    <hyperlink ref="G74" r:id="rId68" tooltip="https://docs.microsoft.com/azure/networking/" xr:uid="{119A83B1-F948-48B2-8D94-5FA1D030743C}"/>
    <hyperlink ref="G75" r:id="rId69" tooltip="https://docs.microsoft.com/azure/networking/" xr:uid="{875AE2C2-B2D3-4DB5-87B2-868E686241C6}"/>
    <hyperlink ref="G76" r:id="rId70" tooltip="https://docs.microsoft.com/azure/networking/" xr:uid="{0E2AAFF1-F2C4-422E-9B3E-B1D9127BB2B0}"/>
    <hyperlink ref="G77" r:id="rId71" tooltip="https://docs.microsoft.com/azure/app-service/networking-features" xr:uid="{1F2A6397-03BE-4A85-9852-E7F3DD4C051C}"/>
    <hyperlink ref="G78" r:id="rId72" tooltip="https://docs.microsoft.com/azure/app-service/networking-features" xr:uid="{BA4F3F14-50B7-4E21-B5EA-1F083F948B41}"/>
    <hyperlink ref="G79" r:id="rId73" tooltip="https://docs.microsoft.com/azure/app-service/networking-features" xr:uid="{883FCC88-6862-4653-8E11-D56215C7C904}"/>
    <hyperlink ref="G80" r:id="rId74" tooltip="https://docs.microsoft.com/azure/app-service/networking-features" xr:uid="{017FAA21-2223-446A-8C99-7B70F4658059}"/>
    <hyperlink ref="H34" r:id="rId75" tooltip="https://docs.microsoft.com/learn/paths/implement-resource-mgmt-security/" xr:uid="{75776511-84F5-4385-B60C-E87BF18E66F1}"/>
    <hyperlink ref="G81" r:id="rId76" tooltip="https://docs.microsoft.com/azure/app-service/networking-features" xr:uid="{FDCB2B0C-7F0A-4E32-BE54-BF7847ED01A3}"/>
    <hyperlink ref="G82" r:id="rId77" tooltip="https://docs.microsoft.com/azure/app-service/networking-features" xr:uid="{8E95E0B3-6E54-4D70-B565-6B2B414905E1}"/>
    <hyperlink ref="G83" r:id="rId78" tooltip="https://docs.microsoft.com/azure/app-service/networking-features" xr:uid="{3C12F06E-B9D3-47D1-A0FF-28A049535318}"/>
    <hyperlink ref="G84" r:id="rId79" tooltip="https://docs.microsoft.com/azure/app-service/networking-features" xr:uid="{5EAEE532-BB9A-47F7-8FA8-74D72A6A00E4}"/>
    <hyperlink ref="G85" r:id="rId80" tooltip="https://docs.microsoft.com/azure/firewall/" xr:uid="{1D4E8FDB-BE4C-4340-BF35-D2C0A62C1CCF}"/>
    <hyperlink ref="G86" r:id="rId81" tooltip="https://docs.microsoft.com/azure/firewall/" xr:uid="{719E5507-9C16-4D7F-AF03-B649C0D480D0}"/>
    <hyperlink ref="G87" r:id="rId82" tooltip="https://docs.microsoft.com/azure/firewall/" xr:uid="{A9F05038-095E-4735-8DD7-76CEACE3B8E6}"/>
    <hyperlink ref="G88" r:id="rId83" tooltip="https://docs.microsoft.com/azure/firewall/" xr:uid="{D7EEB137-4F39-4AF7-BC96-96797112E1FB}"/>
    <hyperlink ref="G89" r:id="rId84" tooltip="https://docs.microsoft.com/azure/web-application-firewall/ag/ag-overview" xr:uid="{032AF94C-085B-4B56-993F-83FD8ABC4C19}"/>
    <hyperlink ref="G90" r:id="rId85" tooltip="https://docs.microsoft.com/azure/web-application-firewall/ag/ag-overview" xr:uid="{5A8968C3-7BDC-4B7C-856B-2BDCA62CE90B}"/>
    <hyperlink ref="G91" r:id="rId86" tooltip="https://docs.microsoft.com/azure/web-application-firewall/ag/ag-overview" xr:uid="{6337B369-FAFE-4434-8CDC-B6399D5AE4A7}"/>
    <hyperlink ref="G92" r:id="rId87" tooltip="https://azure.microsoft.com/solutions/network-appliances/" xr:uid="{7DA4BF34-7C84-4413-9D62-482E242DA6AC}"/>
    <hyperlink ref="G93" r:id="rId88" tooltip="https://azure.microsoft.com/solutions/network-appliances/" xr:uid="{000819C1-E2AC-49EC-A54F-C79D0A3E30F4}"/>
    <hyperlink ref="G94" r:id="rId89" tooltip="https://docs.microsoft.com/azure/ddos-protection/ddos-protection-overview" xr:uid="{4802C6CB-A1B4-4216-9E0B-81DA24BBCBDB}"/>
    <hyperlink ref="G95" r:id="rId90" tooltip="https://docs.microsoft.com/azure/cloud-adoption-framework/ready/azure-setup-guide/organize-resources?tabs=AzureManagementGroupsAndHierarchy" xr:uid="{2E8C76D4-7C00-4644-8DA9-E293F5C090D7}"/>
    <hyperlink ref="G96" r:id="rId91" tooltip="https://docs.microsoft.com/azure/web-application-firewall/ag/ag-overview" xr:uid="{49A97211-ECCC-4B99-9152-01E98C8FBC60}"/>
    <hyperlink ref="G97" r:id="rId92" tooltip="https://docs.microsoft.com/azure/web-application-firewall/ag/ag-overview" xr:uid="{AFECEE49-2627-47F5-AAC5-EDFBA7588BA9}"/>
    <hyperlink ref="G98" r:id="rId93" tooltip="https://docs.microsoft.com/azure/web-application-firewall/ag/ag-overview" xr:uid="{9557730B-ADD9-4AE8-8FD1-6713CA36DB7D}"/>
    <hyperlink ref="G99" r:id="rId94" tooltip="https://docs.microsoft.com/azure/ddos-protection/ddos-protection-overview" xr:uid="{A4AA6A75-DD6D-43B4-88FF-E0EB8961BC62}"/>
    <hyperlink ref="G100" r:id="rId95" tooltip="https://docs.microsoft.com/azure/web-application-firewall/ag/ag-overview" xr:uid="{9AE417E5-48D6-4126-B184-C6A743966CDA}"/>
    <hyperlink ref="G101" r:id="rId96" tooltip="https://docs.microsoft.com/azure/web-application-firewall/ag/ag-overview" xr:uid="{C6962F6D-FCF8-4CF8-9ABC-45ACE6BC345A}"/>
    <hyperlink ref="G102" r:id="rId97" tooltip="https://docs.microsoft.com/azure/web-application-firewall/ag/ag-overview" xr:uid="{24162444-517A-4D26-9776-0F826E11E92D}"/>
    <hyperlink ref="G103" r:id="rId98" tooltip="https://docs.microsoft.com/azure/cloud-adoption-framework/ready/azure-setup-guide/organize-resources?tabs=AzureManagementGroupsAndHierarchy" xr:uid="{0E256FF7-A405-4208-94B0-D047E866D265}"/>
    <hyperlink ref="G104" r:id="rId99" tooltip="https://docs.microsoft.com/azure/virtual-network/network-security-group-how-it-works" xr:uid="{BD5D2088-517D-43A3-A82B-21CFB3E1B5FB}"/>
    <hyperlink ref="G105" r:id="rId100" tooltip="https://docs.microsoft.com/azure/virtual-network/network-security-group-how-it-works" xr:uid="{1CF91081-5C6C-4C42-9759-5D3D75D061D1}"/>
    <hyperlink ref="G106" r:id="rId101" tooltip="https://docs.microsoft.com/azure/virtual-network/network-security-group-how-it-works" xr:uid="{058CB06F-18B9-4077-B8CD-116CC884DD9E}"/>
    <hyperlink ref="G107" r:id="rId102" tooltip="https://docs.microsoft.com/azure/virtual-network/network-security-group-how-it-works" xr:uid="{6DC570BB-1A58-4F6A-9868-4691ED621550}"/>
    <hyperlink ref="G108" r:id="rId103" tooltip="https://docs.microsoft.com/azure/virtual-network/network-security-group-how-it-works" xr:uid="{40897159-5781-4CE0-813C-B28E82103029}"/>
    <hyperlink ref="G109" r:id="rId104" tooltip="https://docs.microsoft.com/azure/firewall/" xr:uid="{4A31C1B8-8326-458E-8CEB-14A39A5D966D}"/>
    <hyperlink ref="G110" r:id="rId105" tooltip="https://docs.microsoft.com/azure/expressroute/expressroute-erdirect-about" xr:uid="{0D79543B-4D55-4993-983D-E0CCAD771E8F}"/>
    <hyperlink ref="G111" r:id="rId106" tooltip="https://docs.microsoft.com/azure/virtual-network/virtual-network-peering-overview" xr:uid="{E544E133-89A2-4A1D-AA95-7C05082730AD}"/>
    <hyperlink ref="G112" r:id="rId107" tooltip="https://docs.microsoft.com/azure/virtual-wan/virtual-wan-about" xr:uid="{19E10506-3C5B-426F-A591-F930AB415327}"/>
    <hyperlink ref="G113" r:id="rId108" tooltip="https://docs.microsoft.com/azure/network-watcher/network-watcher-monitoring-overview" xr:uid="{AD105CB2-CC82-44E6-A887-99592E893C21}"/>
    <hyperlink ref="G114" r:id="rId109" tooltip="https://docs.microsoft.com/azure/virtual-network/network-security-group-how-it-works" xr:uid="{BFB0A64A-2BE9-46A1-9541-3FC8F2349477}"/>
    <hyperlink ref="G115" r:id="rId110" tooltip="https://docs.microsoft.com/azure/private-link/inspect-traffic-with-azure-firewall" xr:uid="{C7470E3C-5490-4410-B01C-D0896A029B78}"/>
    <hyperlink ref="G118" r:id="rId111" tooltip="https://docs.microsoft.com/azure/azure-monitor/logs/design-logs-deployment" xr:uid="{83C357FA-2AE3-4050-8D7B-DD9906267C8A}"/>
    <hyperlink ref="G119" r:id="rId112" tooltip="https://docs.microsoft.com/azure/azure-monitor/logs/design-logs-deployment" xr:uid="{8BDD0D99-0F97-4B98-9F89-020C49B5FFD3}"/>
    <hyperlink ref="G120" r:id="rId113" tooltip="https://docs.microsoft.com/azure/azure-monitor/logs/design-logs-deployment" xr:uid="{8A547F81-C26D-4A2B-A174-53073CA47C37}"/>
    <hyperlink ref="G121" r:id="rId114" tooltip="https://docs.microsoft.com/azure/azure-monitor/logs/design-logs-deployment" xr:uid="{4695F962-5BF5-44D7-A0CE-5071D1FD1BDF}"/>
    <hyperlink ref="G122" r:id="rId115" tooltip="https://docs.microsoft.com/azure/governance/policy/how-to/guest-configuration-create" xr:uid="{90B1DC0C-C317-49A2-893C-EF87980B1C43}"/>
    <hyperlink ref="G123" r:id="rId116" tooltip="https://docs.microsoft.com/azure/automation/update-management/overview" xr:uid="{63C11EC6-0878-4EC7-8B13-FB57A9BFEA31}"/>
    <hyperlink ref="G124" r:id="rId117" tooltip="https://docs.microsoft.com/azure/network-watcher/network-watcher-monitoring-overview" xr:uid="{21CEA3FD-572D-460F-9B1C-9A8C1010610A}"/>
    <hyperlink ref="G125" r:id="rId118" tooltip="https://docs.microsoft.com/azure/azure-resource-manager/management/lock-resources?tabs=json" xr:uid="{AC8D3B5B-79F8-466D-BCD6-CE7A86D7EDA5}"/>
    <hyperlink ref="G126" r:id="rId119" tooltip="https://docs.microsoft.com/azure/governance/policy/overview" xr:uid="{7CA36A7D-0536-433B-A875-BB52F9AFDC7E}"/>
    <hyperlink ref="G127" r:id="rId120" tooltip="https://docs.microsoft.com/azure/?product=featured" xr:uid="{6BD4CAC8-14E2-4E17-B5A3-A7F351251B11}"/>
    <hyperlink ref="G128" r:id="rId121" tooltip="https://docs.microsoft.com/azure/sentinel/quickstart-onboard" xr:uid="{6A3A2062-89AB-4165-9F2D-400F6F585F15}"/>
    <hyperlink ref="G129" r:id="rId122" tooltip="https://docs.microsoft.com/azure/azure-monitor/logs/design-logs-deployment" xr:uid="{6B4D378F-81E4-467C-9DC0-A509999A7773}"/>
    <hyperlink ref="G130" r:id="rId123" tooltip="https://docs.microsoft.com/azure/cloud-adoption-framework/ready/azure-setup-guide/monitoring-reporting?tabs=AzureMonitor" xr:uid="{89F827AB-A981-4101-89AA-7180D593795D}"/>
    <hyperlink ref="G131" r:id="rId124" tooltip="https://docs.microsoft.com/azure/azure-monitor/agents/diagnostics-extension-overview" xr:uid="{7761D985-0C3D-4105-9063-79710CD425DD}"/>
    <hyperlink ref="G132" r:id="rId125" tooltip="https://docs.microsoft.com/azure/azure-monitor/alerts/alerts-overview" xr:uid="{96B3132C-BBC4-46E2-ADF8-0F908C091D22}"/>
    <hyperlink ref="G133" r:id="rId126" tooltip="https://docs.microsoft.com/azure/backup/backup-center-overview" xr:uid="{C4CFBCBD-1A15-4408-9ADC-A4E74EA34691}"/>
    <hyperlink ref="G135" r:id="rId127" tooltip="https://docs.microsoft.com/azure/backup/backup-center-overview" xr:uid="{8220E7D3-7CED-4D68-B059-E70EFEC1F7FA}"/>
    <hyperlink ref="G136" r:id="rId128" tooltip="https://docs.microsoft.com/azure/key-vault/general/best-practices" xr:uid="{50E03EC7-5973-48A6-9C50-9A4A1D833897}"/>
    <hyperlink ref="G137" r:id="rId129" tooltip="https://docs.microsoft.com/azure/key-vault/general/best-practices" xr:uid="{9CF228FD-F524-46CD-9298-2F9CEA15B396}"/>
    <hyperlink ref="G138" r:id="rId130" tooltip="https://docs.microsoft.com/azure/key-vault/general/best-practices" xr:uid="{821B145A-E7E5-475D-919F-207A811AEE3A}"/>
    <hyperlink ref="G139" r:id="rId131" tooltip="https://docs.microsoft.com/azure/key-vault/general/best-practices" xr:uid="{D0132D7F-C6D3-43F9-9E6B-B8BE7D035255}"/>
    <hyperlink ref="G140" r:id="rId132" tooltip="https://docs.microsoft.com/azure/key-vault/general/best-practices" xr:uid="{C4B4D67D-5A5F-4E47-8D30-5607471E0574}"/>
    <hyperlink ref="G141" r:id="rId133" tooltip="https://docs.microsoft.com/azure/key-vault/general/best-practices" xr:uid="{7D027B08-D250-4707-A27D-7B2A13C1EE58}"/>
    <hyperlink ref="G142" r:id="rId134" tooltip="https://docs.microsoft.com/azure/key-vault/general/best-practices" xr:uid="{11F7AA05-A47F-4706-BE91-9DCE65211831}"/>
    <hyperlink ref="G143" r:id="rId135" tooltip="https://docs.microsoft.com/azure/key-vault/general/best-practices" xr:uid="{364CD7A1-EE80-44D1-89ED-D64F49386F06}"/>
    <hyperlink ref="G144" r:id="rId136" tooltip="https://docs.microsoft.com/azure/key-vault/general/best-practices" xr:uid="{F92666BE-6795-4690-A765-33E23C37FE59}"/>
    <hyperlink ref="G145" r:id="rId137" tooltip="https://docs.microsoft.com/azure/key-vault/general/best-practices" xr:uid="{3D9D0D95-DEFD-4710-80C8-8EEDDFA60471}"/>
    <hyperlink ref="G146" r:id="rId138" tooltip="https://docs.microsoft.com/azure/key-vault/general/best-practices" xr:uid="{F3C6CE91-47A6-415E-A1BB-0515712D5B48}"/>
    <hyperlink ref="G148" r:id="rId139" tooltip="https://docs.microsoft.com/azure/key-vault/general/best-practices" xr:uid="{A2EB9317-96B9-44F3-BA57-862E5D425C53}"/>
    <hyperlink ref="G149" r:id="rId140" tooltip="https://docs.microsoft.com/azure/governance/policy/overview" xr:uid="{E9597AD9-4A7A-4BCB-BD09-67A34BD010E0}"/>
    <hyperlink ref="G150" r:id="rId141" tooltip="https://docs.microsoft.com/azure/cloud-adoption-framework/decision-guides/resource-tagging/?toc=/azure/azure-resource-manager/management/toc.json" xr:uid="{F6770DFB-4BBD-4489-B739-3441F7F9D2CC}"/>
    <hyperlink ref="G151" r:id="rId142" tooltip="https://docs.microsoft.com/azure/governance/policy/overview" xr:uid="{B6263F83-AF30-4FF3-A36E-AA5553DBB3EC}"/>
    <hyperlink ref="G152" r:id="rId143" tooltip="https://docs.microsoft.com/azure/governance/policy/overview" xr:uid="{71275E74-3162-4256-A5F3-2BA8615380F0}"/>
    <hyperlink ref="G153" r:id="rId144" tooltip="https://docs.microsoft.com/azure/governance/policy/overview" xr:uid="{99562AA1-B795-4D8E-B99E-0DADF3AC97BD}"/>
    <hyperlink ref="G154" r:id="rId145" tooltip="https://docs.microsoft.com/azure/governance/policy/overview" xr:uid="{01CDCD99-83FB-4850-A2FA-88CB67871F57}"/>
    <hyperlink ref="G155" r:id="rId146" tooltip="https://docs.microsoft.com/azure/governance/policy/overview" xr:uid="{920A7905-1CBA-468B-A343-5B4343A4DF00}"/>
    <hyperlink ref="G156" r:id="rId147" tooltip="https://docs.microsoft.com/azure/governance/policy/overview" xr:uid="{1237DAEC-ECE8-43DA-95B0-CE11EBCA1163}"/>
    <hyperlink ref="G157" r:id="rId148" tooltip="https://docs.microsoft.com/azure/governance/policy/overview" xr:uid="{C97B79C2-8F92-4B7D-B20E-5D4F0BD1F550}"/>
    <hyperlink ref="G158" r:id="rId149" tooltip="https://docs.microsoft.com/azure/governance/policy/overview" xr:uid="{294C9586-D534-4CCE-B391-FF9093D7FD08}"/>
    <hyperlink ref="G159" r:id="rId150" tooltip="https://docs.microsoft.com/azure/governance/policy/overview" xr:uid="{68BED556-CF12-4B21-87C2-3B56B47FE0E2}"/>
    <hyperlink ref="G160" r:id="rId151" tooltip="https://docs.microsoft.com/azure/active-directory/reports-monitoring/overview-reports" xr:uid="{0A9B182F-036D-4F21-9B49-D360FA9A48FC}"/>
    <hyperlink ref="G161" r:id="rId152" tooltip="https://docs.microsoft.com/azure/azure-monitor/logs/logs-data-export?tabs=portal" xr:uid="{39329473-1000-41F8-BC15-1E63544F67AA}"/>
    <hyperlink ref="G162" r:id="rId153" tooltip="https://docs.microsoft.com/azure/security-center/" xr:uid="{8D5F3CFE-5264-449E-AD0F-7ED4B9447DB4}"/>
    <hyperlink ref="G163" r:id="rId154" tooltip="https://docs.microsoft.com/azure/security-center/" xr:uid="{EB17FD14-27BA-41B6-BAD4-53ECA5E3F65A}"/>
    <hyperlink ref="G164" r:id="rId155" tooltip="https://docs.microsoft.com/azure/azure-monitor/logs/design-logs-deployment" xr:uid="{0CB35F72-0887-4A52-BBA2-79DE3F16B12F}"/>
    <hyperlink ref="G165" r:id="rId156" tooltip="https://docs.microsoft.com/security/benchmark/azure/security-control-incident-response" xr:uid="{5CDF2746-19C7-499D-B057-F5721CF3BBC4}"/>
    <hyperlink ref="G166" r:id="rId157" tooltip="https://www.microsoft.com/itshowcase/implementing-a-zero-trust-security-model-at-microsoft" xr:uid="{44692DBB-D476-4C95-85EE-EB4A83EF9A49}"/>
  </hyperlinks>
  <pageMargins left="0.7" right="0.7" top="0.75" bottom="0.75" header="0.3" footer="0.3"/>
  <pageSetup paperSize="9" orientation="portrait" horizontalDpi="4294967293" r:id="rId158"/>
  <drawing r:id="rId159"/>
  <legacyDrawing r:id="rId160"/>
  <mc:AlternateContent xmlns:mc="http://schemas.openxmlformats.org/markup-compatibility/2006">
    <mc:Choice Requires="x14">
      <controls>
        <mc:AlternateContent xmlns:mc="http://schemas.openxmlformats.org/markup-compatibility/2006">
          <mc:Choice Requires="x14">
            <control shapeId="1025" r:id="rId161" name="Button 1">
              <controlPr defaultSize="0" print="0" autoFill="0" autoPict="0" macro="[0]!Sheet1.export_json">
                <anchor moveWithCells="1" sizeWithCells="1">
                  <from>
                    <xdr:col>2</xdr:col>
                    <xdr:colOff>8458200</xdr:colOff>
                    <xdr:row>0</xdr:row>
                    <xdr:rowOff>800100</xdr:rowOff>
                  </from>
                  <to>
                    <xdr:col>3</xdr:col>
                    <xdr:colOff>201930</xdr:colOff>
                    <xdr:row>0</xdr:row>
                    <xdr:rowOff>1040130</xdr:rowOff>
                  </to>
                </anchor>
              </controlPr>
            </control>
          </mc:Choice>
        </mc:AlternateContent>
        <mc:AlternateContent xmlns:mc="http://schemas.openxmlformats.org/markup-compatibility/2006">
          <mc:Choice Requires="x14">
            <control shapeId="1027" r:id="rId162" name="Button 3">
              <controlPr defaultSize="0" print="0" autoFill="0" autoPict="0" macro="[0]!Sheet1.import_checklist">
                <anchor moveWithCells="1">
                  <from>
                    <xdr:col>2</xdr:col>
                    <xdr:colOff>8458200</xdr:colOff>
                    <xdr:row>0</xdr:row>
                    <xdr:rowOff>400050</xdr:rowOff>
                  </from>
                  <to>
                    <xdr:col>3</xdr:col>
                    <xdr:colOff>190500</xdr:colOff>
                    <xdr:row>0</xdr:row>
                    <xdr:rowOff>678180</xdr:rowOff>
                  </to>
                </anchor>
              </controlPr>
            </control>
          </mc:Choice>
        </mc:AlternateContent>
        <mc:AlternateContent xmlns:mc="http://schemas.openxmlformats.org/markup-compatibility/2006">
          <mc:Choice Requires="x14">
            <control shapeId="1028" r:id="rId163" name="Button 4">
              <controlPr defaultSize="0" print="0" autoFill="0" autoPict="0" macro="[0]!Sheet1.import_checklist_fromurl">
                <anchor moveWithCells="1" sizeWithCells="1">
                  <from>
                    <xdr:col>2</xdr:col>
                    <xdr:colOff>5920740</xdr:colOff>
                    <xdr:row>0</xdr:row>
                    <xdr:rowOff>266700</xdr:rowOff>
                  </from>
                  <to>
                    <xdr:col>2</xdr:col>
                    <xdr:colOff>7795260</xdr:colOff>
                    <xdr:row>0</xdr:row>
                    <xdr:rowOff>510540</xdr:rowOff>
                  </to>
                </anchor>
              </controlPr>
            </control>
          </mc:Choice>
        </mc:AlternateContent>
        <mc:AlternateContent xmlns:mc="http://schemas.openxmlformats.org/markup-compatibility/2006">
          <mc:Choice Requires="x14">
            <control shapeId="1029" r:id="rId164" name="Group Box 5">
              <controlPr defaultSize="0" autoFill="0" autoPict="0">
                <anchor moveWithCells="1">
                  <from>
                    <xdr:col>2</xdr:col>
                    <xdr:colOff>8183880</xdr:colOff>
                    <xdr:row>0</xdr:row>
                    <xdr:rowOff>144780</xdr:rowOff>
                  </from>
                  <to>
                    <xdr:col>3</xdr:col>
                    <xdr:colOff>601980</xdr:colOff>
                    <xdr:row>0</xdr:row>
                    <xdr:rowOff>1276350</xdr:rowOff>
                  </to>
                </anchor>
              </controlPr>
            </control>
          </mc:Choice>
        </mc:AlternateContent>
        <mc:AlternateContent xmlns:mc="http://schemas.openxmlformats.org/markup-compatibility/2006">
          <mc:Choice Requires="x14">
            <control shapeId="1030" r:id="rId165" name="Group Box 6">
              <controlPr defaultSize="0" autoFill="0" autoPict="0">
                <anchor moveWithCells="1">
                  <from>
                    <xdr:col>2</xdr:col>
                    <xdr:colOff>5574030</xdr:colOff>
                    <xdr:row>0</xdr:row>
                    <xdr:rowOff>144780</xdr:rowOff>
                  </from>
                  <to>
                    <xdr:col>2</xdr:col>
                    <xdr:colOff>8001000</xdr:colOff>
                    <xdr:row>0</xdr:row>
                    <xdr:rowOff>1295400</xdr:rowOff>
                  </to>
                </anchor>
              </controlPr>
            </control>
          </mc:Choice>
        </mc:AlternateContent>
        <mc:AlternateContent xmlns:mc="http://schemas.openxmlformats.org/markup-compatibility/2006">
          <mc:Choice Requires="x14">
            <control shapeId="1031" r:id="rId166" name="Group Box 7">
              <controlPr defaultSize="0" autoFill="0" autoPict="0">
                <anchor moveWithCells="1">
                  <from>
                    <xdr:col>2</xdr:col>
                    <xdr:colOff>6995160</xdr:colOff>
                    <xdr:row>0</xdr:row>
                    <xdr:rowOff>640080</xdr:rowOff>
                  </from>
                  <to>
                    <xdr:col>2</xdr:col>
                    <xdr:colOff>7894320</xdr:colOff>
                    <xdr:row>0</xdr:row>
                    <xdr:rowOff>1253490</xdr:rowOff>
                  </to>
                </anchor>
              </controlPr>
            </control>
          </mc:Choice>
        </mc:AlternateContent>
        <mc:AlternateContent xmlns:mc="http://schemas.openxmlformats.org/markup-compatibility/2006">
          <mc:Choice Requires="x14">
            <control shapeId="1032" r:id="rId167" name="Option Button 8">
              <controlPr defaultSize="0" autoFill="0" autoLine="0" autoPict="0" macro="[0]!Sheet1.set_english">
                <anchor moveWithCells="1">
                  <from>
                    <xdr:col>2</xdr:col>
                    <xdr:colOff>7113270</xdr:colOff>
                    <xdr:row>0</xdr:row>
                    <xdr:rowOff>815340</xdr:rowOff>
                  </from>
                  <to>
                    <xdr:col>2</xdr:col>
                    <xdr:colOff>8027670</xdr:colOff>
                    <xdr:row>0</xdr:row>
                    <xdr:rowOff>1036320</xdr:rowOff>
                  </to>
                </anchor>
              </controlPr>
            </control>
          </mc:Choice>
        </mc:AlternateContent>
        <mc:AlternateContent xmlns:mc="http://schemas.openxmlformats.org/markup-compatibility/2006">
          <mc:Choice Requires="x14">
            <control shapeId="1033" r:id="rId168" name="Option Button 9">
              <controlPr defaultSize="0" autoFill="0" autoLine="0" autoPict="0" macro="[0]!Sheet1.set_japanese">
                <anchor moveWithCells="1">
                  <from>
                    <xdr:col>2</xdr:col>
                    <xdr:colOff>7113270</xdr:colOff>
                    <xdr:row>0</xdr:row>
                    <xdr:rowOff>956310</xdr:rowOff>
                  </from>
                  <to>
                    <xdr:col>2</xdr:col>
                    <xdr:colOff>8027670</xdr:colOff>
                    <xdr:row>0</xdr:row>
                    <xdr:rowOff>1173480</xdr:rowOff>
                  </to>
                </anchor>
              </controlPr>
            </control>
          </mc:Choice>
        </mc:AlternateContent>
        <mc:AlternateContent xmlns:mc="http://schemas.openxmlformats.org/markup-compatibility/2006">
          <mc:Choice Requires="x14">
            <control shapeId="1034" r:id="rId169" name="Group Box 10">
              <controlPr defaultSize="0" autoFill="0" autoPict="0">
                <anchor moveWithCells="1">
                  <from>
                    <xdr:col>2</xdr:col>
                    <xdr:colOff>5775960</xdr:colOff>
                    <xdr:row>0</xdr:row>
                    <xdr:rowOff>624840</xdr:rowOff>
                  </from>
                  <to>
                    <xdr:col>2</xdr:col>
                    <xdr:colOff>6675120</xdr:colOff>
                    <xdr:row>0</xdr:row>
                    <xdr:rowOff>1238250</xdr:rowOff>
                  </to>
                </anchor>
              </controlPr>
            </control>
          </mc:Choice>
        </mc:AlternateContent>
        <mc:AlternateContent xmlns:mc="http://schemas.openxmlformats.org/markup-compatibility/2006">
          <mc:Choice Requires="x14">
            <control shapeId="1037" r:id="rId170" name="Option Button 13">
              <controlPr defaultSize="0" autoFill="0" autoLine="0" autoPict="0" macro="[0]!Sheet1.set_lz">
                <anchor moveWithCells="1">
                  <from>
                    <xdr:col>2</xdr:col>
                    <xdr:colOff>5817870</xdr:colOff>
                    <xdr:row>0</xdr:row>
                    <xdr:rowOff>750570</xdr:rowOff>
                  </from>
                  <to>
                    <xdr:col>2</xdr:col>
                    <xdr:colOff>6781800</xdr:colOff>
                    <xdr:row>0</xdr:row>
                    <xdr:rowOff>971550</xdr:rowOff>
                  </to>
                </anchor>
              </controlPr>
            </control>
          </mc:Choice>
        </mc:AlternateContent>
        <mc:AlternateContent xmlns:mc="http://schemas.openxmlformats.org/markup-compatibility/2006">
          <mc:Choice Requires="x14">
            <control shapeId="1038" r:id="rId171" name="Option Button 14">
              <controlPr defaultSize="0" autoFill="0" autoLine="0" autoPict="0" macro="[0]!Sheet1.set_aks">
                <anchor moveWithCells="1">
                  <from>
                    <xdr:col>2</xdr:col>
                    <xdr:colOff>5821680</xdr:colOff>
                    <xdr:row>0</xdr:row>
                    <xdr:rowOff>910590</xdr:rowOff>
                  </from>
                  <to>
                    <xdr:col>2</xdr:col>
                    <xdr:colOff>6789420</xdr:colOff>
                    <xdr:row>0</xdr:row>
                    <xdr:rowOff>1131570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6"/>
  <sheetViews>
    <sheetView workbookViewId="0">
      <selection activeCell="A2" sqref="A2"/>
    </sheetView>
  </sheetViews>
  <sheetFormatPr defaultRowHeight="14.4" x14ac:dyDescent="0.55000000000000004"/>
  <cols>
    <col min="2" max="2" width="10" bestFit="1" customWidth="1"/>
  </cols>
  <sheetData>
    <row r="1" spans="1:4" x14ac:dyDescent="0.55000000000000004">
      <c r="A1" t="s">
        <v>3</v>
      </c>
      <c r="B1" t="s">
        <v>4</v>
      </c>
      <c r="C1" t="s">
        <v>16</v>
      </c>
      <c r="D1" t="s">
        <v>21</v>
      </c>
    </row>
    <row r="2" spans="1:4" x14ac:dyDescent="0.55000000000000004">
      <c r="A2" t="s">
        <v>6</v>
      </c>
      <c r="B2" s="12" t="s">
        <v>7</v>
      </c>
      <c r="C2" t="s">
        <v>23</v>
      </c>
      <c r="D2" s="22" t="s">
        <v>22</v>
      </c>
    </row>
    <row r="3" spans="1:4" x14ac:dyDescent="0.55000000000000004">
      <c r="A3" t="s">
        <v>9</v>
      </c>
      <c r="B3" s="9" t="s">
        <v>10</v>
      </c>
      <c r="C3" t="s">
        <v>55</v>
      </c>
    </row>
    <row r="4" spans="1:4" x14ac:dyDescent="0.55000000000000004">
      <c r="A4" t="s">
        <v>8</v>
      </c>
      <c r="B4" s="10" t="s">
        <v>11</v>
      </c>
      <c r="C4" t="s">
        <v>167</v>
      </c>
    </row>
    <row r="5" spans="1:4" x14ac:dyDescent="0.55000000000000004">
      <c r="B5" s="11" t="s">
        <v>12</v>
      </c>
      <c r="C5" t="s">
        <v>146</v>
      </c>
    </row>
    <row r="6" spans="1:4" x14ac:dyDescent="0.55000000000000004">
      <c r="C6" t="s">
        <v>38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2021-10-13T16:27:45Z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