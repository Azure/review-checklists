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533B85E0-16D4-46FC-87D9-4BBBE4599D5E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<sst xmlns="http://schemas.openxmlformats.org/spreadsheetml/2006/main" count="536" uniqueCount="165">
  <si>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</si>
  <si>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</si>
  <si>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</si>
  <si>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</si>
  <si>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</si>
  <si>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</si>
  <si>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</si>
  <si>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</si>
  <si>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</si>
  <si>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</si>
  <si>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</si>
  <si>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</si>
  <si>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</si>
  <si>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</si>
  <si>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</si>
  <si>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</si>
  <si>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</si>
  <si>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</si>
  <si>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</si>
  <si>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</si>
  <si>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</si>
  <si>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</si>
  <si>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</si>
  <si>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</si>
  <si>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</si>
  <si>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</si>
  <si>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</si>
  <si>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</si>
  <si>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</si>
  <si>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</si>
  <si>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</si>
  <si>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</si>
  <si>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</si>
  <si>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</si>
  <si>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</si>
  <si>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</si>
  <si>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</si>
  <si>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</si>
  <si>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</si>
  <si>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</si>
  <si>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</si>
  <si>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</si>
  <si>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</si>
  <si>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</si>
  <si>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</si>
  <si>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</si>
  <si>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</si>
  <si>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</si>
  <si>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</si>
  <si>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</si>
  <si>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</si>
  <si>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</si>
  <si>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</si>
  <si>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</si>
  <si>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</si>
  <si>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</si>
  <si>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</si>
  <si>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</si>
  <si>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</si>
  <si>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</si>
  <si>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</si>
  <si>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</si>
  <si>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</si>
  <si>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</si>
  <si>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</si>
  <si>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</si>
  <si>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</si>
  <si>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</si>
  <si>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</si>
  <si>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</si>
  <si>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</si>
  <si>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</si>
  <si>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</si>
  <si>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</si>
  <si>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</si>
  <si>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</si>
  <si>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</si>
  <si>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</si>
  <si>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</si>
  <si>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</si>
  <si>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</si>
  <si>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</si>
  <si>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</si>
  <si>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</si>
  <si>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</si>
  <si>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</si>
  <si>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</si>
  <si>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</si>
  <si>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</si>
  <si>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</si>
  <si>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</si>
  <si>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Alerting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</si>
  <si>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</si>
  <si>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</si>
  <si>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</si>
  <si>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</si>
  <si>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</si>
  <si>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</si>
  <si>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</si>
  <si>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</si>
  <si>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</si>
  <si>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</si>
  <si>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</si>
  <si>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</si>
  <si>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</si>
  <si>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</si>
  <si>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</si>
  <si>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</si>
  <si>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</si>
  <si>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</si>
  <si>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</si>
  <si>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</si>
  <si>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</si>
  <si>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</si>
  <si>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</si>
  <si>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</si>
  <si>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</si>
  <si>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</si>
  <si>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</si>
  <si>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</si>
  <si>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</si>
  <si>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</si>
  <si>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</si>
  <si>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</si>
  <si>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</si>
  <si>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</si>
  <si>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</si>
  <si>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</si>
  <si>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</si>
  <si>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Disaster Recovery</t>
  </si>
  <si>
    <t>High Availability</t>
  </si>
  <si>
    <t>Infrastructure as Code</t>
  </si>
  <si>
    <t>Azure AKS Review</t>
  </si>
  <si>
    <t>where type=='microsoft.containerservice/managedclusters' | project resourceGroup,name,pools=properties.agentPoolProfiles | mvexpand pools | where pools.osDiskType=='Managed' | project name=strcat(name,'-',pools.name), resourceGroup</t>
  </si>
  <si>
    <t>where type=='microsoft.containerservice/managedclusters' | project resourceGroup,name,pools=properties.agentPoolProfiles | mvexpand pools | where pools.osDiskType=='Ephemeral' | project name=strcat(name,'-',pools.name), resourceGroup</t>
  </si>
  <si>
    <t>where type=='microsoft.containerservice/managedclusters' | project resourceGroup,name,pools=properties.agentPoolProfiles | project name,resourceGroup,poolcount=array_length(pools) | where poolcount &gt; 1</t>
  </si>
  <si>
    <t>where type=='microsoft.containerservice/managedclusters' | project resourceGroup,name,pools=properties.agentPoolProfiles | project name,resourceGroup,poolcount=array_length(pools) | where poolcount == 1</t>
  </si>
  <si>
    <t>where type=='microsoft.containerservice/managedclusters' | where isnull(zones) | distinct name,resourceGroup</t>
  </si>
  <si>
    <t>where type=='microsoft.containerservice/managedclusters' | where isnotnull(zones) | distinct name,resourceGroup</t>
  </si>
  <si>
    <t>where type=='microsoft.containerservice/managedclusters' | where properties.servicePrincipalProfile.clientId=='msi' | distinct name,resourceGroup</t>
  </si>
  <si>
    <t>where type=='microsoft.containerservice/managedclusters' | where properties.servicePrincipalProfile.clientId!='msi' | distinct name,resourceGroup</t>
  </si>
  <si>
    <t>where type=='microsoft.containerservice/managedclusters' | where isnull(properties.aadProfile) | distinct name,resourceGroup</t>
  </si>
  <si>
    <t>where type=='microsoft.containerservice/managedclusters' | where isnotnull(properties.aadProfile) | distinct name,resourceGroup</t>
  </si>
  <si>
    <t>where type=='microsoft.containerservice/managedclusters' | where isnotnull(properties.apiServerAccessProfile.enablePrivateCluster) | distinct name,resourceGroup</t>
  </si>
  <si>
    <t>where type=='microsoft.containerservice/managedclusters' | where isnull(properties.apiServerAccessProfile.enablePrivateCluster) | distinct name,resourceGroup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</si>
  <si>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'false'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</si>
  <si>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'true'</t>
  </si>
  <si>
    <t>Monitor your cluster metrics with Container Insights (or other tools like Prometheus)</t>
  </si>
  <si>
    <t>Store and analyze your cluster logs with Container Insights (or other tools like Telegraf/ElasticSearch)</t>
  </si>
  <si>
    <t>Configure alerts on the most critical metrics (see Container Insights for recommendations)</t>
  </si>
  <si>
    <t>Configure Diagnostic Settins in your clusters to send API logs to Azure Monitor</t>
  </si>
  <si>
    <t>where type=='microsoft.containerservice/managedclusters' | where isnotnull(properties.austoscalerProfile) | distinct name,resourceGroup</t>
  </si>
  <si>
    <t>where type=='microsoft.containerservice/managedclusters' | where isnull(properties.austoscalerProfile) | distinct name,resourceGroup</t>
  </si>
  <si>
    <t>Configure requests and limits in your pod specs</t>
  </si>
  <si>
    <t>where type=='microsoft.containerservice/managedclusters' | where properties.nodeResourceGroup !startswith 'MC_' | distinct name,resourceGroup</t>
  </si>
  <si>
    <t>where type=='microsoft.containerservice/managedclusters' | where properties.nodeResourceGroup startswith 'MC_' | distinct name,resourceGroup</t>
  </si>
  <si>
    <t>Consider AKS virtual node for quick bursting</t>
  </si>
  <si>
    <t>where type=='microsoft.containerservice/managedclusters' | where isnotnull(properties.addonProfiles.aciConnectorLinux) and properties.addonProfiles.aciConnectorLinux.enabled==true | distinct name,resourceGroup</t>
  </si>
  <si>
    <t>where type=='microsoft.containerservice/managedclusters' | where isnull(properties.addonProfiles.aciConnectorLinux) or properties.addonProfiles.aciConnectorLinux.enabled==false | distinct name,resourceGroup</t>
  </si>
  <si>
    <t>where type=='microsoft.containerservice/managedclusters' | where isnotnull(properties.addonProfiles.azurepolicy) and properties.addonProfiles.azurepolicy.enabled==true | distinct name,resourceGroup</t>
  </si>
  <si>
    <t>where type=='microsoft.containerservice/managedclusters' | where isnull(properties.addonProfiles.azurepolicy) or properties.addonProfiles.azurepolicy.enabled==false | distinct name,resourceGroup</t>
  </si>
  <si>
    <t>where type=='microsoft.containerservice/managedclusters' | where isnull(properties.addonProfiles.httpApplicationRouting) or properties.addonProfiles.httpApplicationRouting.enabled==false | distinct name,resourceGroup</t>
  </si>
  <si>
    <t>where type=='microsoft.containerservice/managedclusters' | where isnotnull(properties.addonProfiles.httpApplicationRouting) and properties.addonProfiles.httpApplicationRouting.enabled==true | distinct name,resourceGroup</t>
  </si>
  <si>
    <t>where type=='microsoft.containerservice/managedclusters' | where isnotnull(properties.addonProfiles.omsagent) and properties.addonProfiles.omsagent.enabled==true | distinct name,resourceGroup</t>
  </si>
  <si>
    <t>where type=='microsoft.containerservice/managedclusters' | where isnull(properties.addonProfiles.omsagent) or properties.addonProfiles.omsagent.enabled==false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</si>
</sst>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3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678180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601980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7898130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8031480</xdr:colOff>
          <xdr:row>0</xdr:row>
          <xdr:rowOff>982980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6678930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6793230</xdr:colOff>
          <xdr:row>0</xdr:row>
          <xdr:rowOff>1078230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8164830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4.xml"/><Relationship Id="rId89" Type="http://schemas.openxmlformats.org/officeDocument/2006/relationships/ctrlProp" Target="../ctrlProps/ctrlProp9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drawing" Target="../drawings/drawing2.x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0.xm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vmlDrawing" Target="../drawings/vmlDrawing1.vml"/><Relationship Id="rId85" Type="http://schemas.openxmlformats.org/officeDocument/2006/relationships/ctrlProp" Target="../ctrlProps/ctrlProp5.xml"/><Relationship Id="rId93" Type="http://schemas.openxmlformats.org/officeDocument/2006/relationships/ctrlProp" Target="../ctrlProps/ctrlProp13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3.xml"/><Relationship Id="rId88" Type="http://schemas.openxmlformats.org/officeDocument/2006/relationships/ctrlProp" Target="../ctrlProps/ctrlProp8.xml"/><Relationship Id="rId91" Type="http://schemas.openxmlformats.org/officeDocument/2006/relationships/ctrlProp" Target="../ctrlProps/ctrlProp11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printerSettings" Target="../printerSettings/printerSettings1.bin"/><Relationship Id="rId81" Type="http://schemas.openxmlformats.org/officeDocument/2006/relationships/ctrlProp" Target="../ctrlProps/ctrlProp1.xml"/><Relationship Id="rId86" Type="http://schemas.openxmlformats.org/officeDocument/2006/relationships/ctrlProp" Target="../ctrlProps/ctrlProp6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2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7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2.xml"/><Relationship Id="rId19" Type="http://schemas.openxmlformats.org/officeDocument/2006/relationships/hyperlink" Target="https://docs.microsoft.com/azure/aks/api-server-authorized-ip-ranges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56" Type="http://schemas.openxmlformats.org/officeDocument/2006/relationships/hyperlink" Target="https://docs.microsoft.com/azure/aks/cluster-configuration" TargetMode="External"/><Relationship Id="rId77" Type="http://schemas.openxmlformats.org/officeDocument/2006/relationships/hyperlink" Target="https://docs.microsoft.com/azure/aks/monitor-ak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SUMPRODUCT(--(Checklist!$D$5:$G$501=$A6)*--(Checklist!$E$5:$E$501=B$5))</f>
        <v>28</v>
      </c>
      <c r="C6" cm="1">
        <f t="array" ref="C6">SUMPRODUCT(--(Checklist!$D$5:$G$501=$A6)*--(Checklist!$E$5:$E$501=C$5))</f>
        <v>0</v>
      </c>
      <c r="D6" cm="1">
        <f t="array" ref="D6">SUMPRODUCT(--(Checklist!$D$5:$G$501=$A6)*--(Checklist!$E$5:$E$501=D$5))</f>
        <v>0</v>
      </c>
      <c r="E6" cm="1">
        <f t="array" ref="E6">SUMPRODUCT(--(Checklist!$D$5:$G$501=$A6)*--(Checklist!$E$5:$E$501=E$5))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IF($H6="","",SUMPRODUCT(--(Checklist!$A$5:$A$501=$H6)*--(Checklist!$E$5:$E$501=I$5)))</f>
        <v>6</v>
      </c>
      <c r="J6" cm="1">
        <f t="array" ref="J6">IF($H6="","",SUMPRODUCT(--(Checklist!$A$5:$A$501=$H6)*--(Checklist!$E$5:$E$501=J$5)))</f>
        <v>0</v>
      </c>
      <c r="K6" cm="1">
        <f t="array" ref="K6">IF($H6="","",SUMPRODUCT(--(Checklist!$A$5:$A$501=$H6)*--(Checklist!$E$5:$E$501=K$5)))</f>
        <v>0</v>
      </c>
      <c r="L6" cm="1">
        <f t="array" ref="L6">IF($H6="","",SUMPRODUCT(--(Checklist!$A$5:$A$501=$H6)*--(Checklist!$E$5:$E$501=L$5)))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SUMPRODUCT(--(Checklist!$D$5:$G$501=$A7)*--(Checklist!$E$5:$E$501=B$5))</f>
        <v>33</v>
      </c>
      <c r="C7" cm="1">
        <f t="array" ref="C7">SUMPRODUCT(--(Checklist!$D$5:$G$501=$A7)*--(Checklist!$E$5:$E$501=C$5))</f>
        <v>0</v>
      </c>
      <c r="D7" cm="1">
        <f t="array" ref="D7">SUMPRODUCT(--(Checklist!$D$5:$G$501=$A7)*--(Checklist!$E$5:$E$501=D$5))</f>
        <v>0</v>
      </c>
      <c r="E7" cm="1">
        <f t="array" ref="E7">SUMPRODUCT(--(Checklist!$D$5:$G$501=$A7)*--(Checklist!$E$5:$E$501=E$5))</f>
        <v>0</v>
      </c>
      <c r="F7">
        <f>SUM(B7:E7)</f>
        <v>33</v>
      </c>
      <c r="H7" s="15" t="str">
        <f>IF(Values!$C3="","",Values!$C3)</f>
        <v>Network Topology and Connectivity</v>
      </c>
      <c r="I7" cm="1">
        <f t="array" ref="I7">IF($H7="","",SUMPRODUCT(--(Checklist!$A$5:$A$501=$H7)*--(Checklist!$E$5:$E$501=I$5)))</f>
        <v>17</v>
      </c>
      <c r="J7" cm="1">
        <f t="array" ref="J7">IF($H7="","",SUMPRODUCT(--(Checklist!$A$5:$A$501=$H7)*--(Checklist!$E$5:$E$501=J$5)))</f>
        <v>0</v>
      </c>
      <c r="K7" cm="1">
        <f t="array" ref="K7">IF($H7="","",SUMPRODUCT(--(Checklist!$A$5:$A$501=$H7)*--(Checklist!$E$5:$E$501=K$5)))</f>
        <v>0</v>
      </c>
      <c r="L7" cm="1">
        <f t="array" ref="L7">IF($H7="","",SUMPRODUCT(--(Checklist!$A$5:$A$501=$H7)*--(Checklist!$E$5:$E$501=L$5)))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SUMPRODUCT(--(Checklist!$D$5:$G$501=$A8)*--(Checklist!$E$5:$E$501=B$5))</f>
        <v>16</v>
      </c>
      <c r="C8" cm="1">
        <f t="array" ref="C8">SUMPRODUCT(--(Checklist!$D$5:$G$501=$A8)*--(Checklist!$E$5:$E$501=C$5))</f>
        <v>0</v>
      </c>
      <c r="D8" cm="1">
        <f t="array" ref="D8">SUMPRODUCT(--(Checklist!$D$5:$G$501=$A8)*--(Checklist!$E$5:$E$501=D$5))</f>
        <v>0</v>
      </c>
      <c r="E8" cm="1">
        <f t="array" ref="E8">SUMPRODUCT(--(Checklist!$D$5:$G$501=$A8)*--(Checklist!$E$5:$E$501=E$5))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IF($H8="","",SUMPRODUCT(--(Checklist!$A$5:$A$501=$H8)*--(Checklist!$E$5:$E$501=I$5)))</f>
        <v>7</v>
      </c>
      <c r="J8" cm="1">
        <f t="array" ref="J8">IF($H8="","",SUMPRODUCT(--(Checklist!$A$5:$A$501=$H8)*--(Checklist!$E$5:$E$501=J$5)))</f>
        <v>0</v>
      </c>
      <c r="K8" cm="1">
        <f t="array" ref="K8">IF($H8="","",SUMPRODUCT(--(Checklist!$A$5:$A$501=$H8)*--(Checklist!$E$5:$E$501=K$5)))</f>
        <v>0</v>
      </c>
      <c r="L8" cm="1">
        <f t="array" ref="L8">IF($H8="","",SUMPRODUCT(--(Checklist!$A$5:$A$501=$H8)*--(Checklist!$E$5:$E$501=L$5)))</f>
        <v>0</v>
      </c>
      <c r="M8">
        <f t="shared" si="0"/>
        <v>7</v>
      </c>
    </row>
    <row r="9" spans="1:13" x14ac:dyDescent="0.55000000000000004">
      <c r="B9">
        <f>SUM(B6:B8)</f>
        <v>77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77</v>
      </c>
      <c r="H9" s="15" t="str">
        <f>IF(Values!$C5="","",Values!$C5)</f>
        <v>Governance and Security</v>
      </c>
      <c r="I9" cm="1">
        <f t="array" ref="I9">IF($H9="","",SUMPRODUCT(--(Checklist!$A$5:$A$501=$H9)*--(Checklist!$E$5:$E$501=I$5)))</f>
        <v>9</v>
      </c>
      <c r="J9" cm="1">
        <f t="array" ref="J9">IF($H9="","",SUMPRODUCT(--(Checklist!$A$5:$A$501=$H9)*--(Checklist!$E$5:$E$501=J$5)))</f>
        <v>0</v>
      </c>
      <c r="K9" cm="1">
        <f t="array" ref="K9">IF($H9="","",SUMPRODUCT(--(Checklist!$A$5:$A$501=$H9)*--(Checklist!$E$5:$E$501=K$5)))</f>
        <v>0</v>
      </c>
      <c r="L9" cm="1">
        <f t="array" ref="L9">IF($H9="","",SUMPRODUCT(--(Checklist!$A$5:$A$501=$H9)*--(Checklist!$E$5:$E$501=L$5)))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IF($H10="","",SUMPRODUCT(--(Checklist!$A$5:$A$501=$H10)*--(Checklist!$E$5:$E$501=I$5)))</f>
        <v>1</v>
      </c>
      <c r="J10" cm="1">
        <f t="array" ref="J10">IF($H10="","",SUMPRODUCT(--(Checklist!$A$5:$A$501=$H10)*--(Checklist!$E$5:$E$501=J$5)))</f>
        <v>0</v>
      </c>
      <c r="K10" cm="1">
        <f t="array" ref="K10">IF($H10="","",SUMPRODUCT(--(Checklist!$A$5:$A$501=$H10)*--(Checklist!$E$5:$E$501=K$5)))</f>
        <v>0</v>
      </c>
      <c r="L10" cm="1">
        <f t="array" ref="L10">IF($H10="","",SUMPRODUCT(--(Checklist!$A$5:$A$501=$H10)*--(Checklist!$E$5:$E$501=L$5)))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IF($H11="","",SUMPRODUCT(--(Checklist!$A$5:$A$501=$H11)*--(Checklist!$E$5:$E$501=I$5)))</f>
        <v>33</v>
      </c>
      <c r="J11" cm="1">
        <f t="array" ref="J11">IF($H11="","",SUMPRODUCT(--(Checklist!$A$5:$A$501=$H11)*--(Checklist!$E$5:$E$501=J$5)))</f>
        <v>0</v>
      </c>
      <c r="K11" cm="1">
        <f t="array" ref="K11">IF($H11="","",SUMPRODUCT(--(Checklist!$A$5:$A$501=$H11)*--(Checklist!$E$5:$E$501=K$5)))</f>
        <v>0</v>
      </c>
      <c r="L11" cm="1">
        <f t="array" ref="L11">IF($H11="","",SUMPRODUCT(--(Checklist!$A$5:$A$501=$H11)*--(Checklist!$E$5:$E$501=L$5)))</f>
        <v>0</v>
      </c>
      <c r="M11">
        <f t="shared" si="0"/>
        <v>33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IF($H12="","",SUMPRODUCT(--(Checklist!$A$5:$A$501=$H12)*--(Checklist!$E$5:$E$501=I$5)))</f>
        <v>4</v>
      </c>
      <c r="J12" cm="1">
        <f t="array" ref="J12">IF($H12="","",SUMPRODUCT(--(Checklist!$A$5:$A$501=$H12)*--(Checklist!$E$5:$E$501=J$5)))</f>
        <v>0</v>
      </c>
      <c r="K12" cm="1">
        <f t="array" ref="K12">IF($H12="","",SUMPRODUCT(--(Checklist!$A$5:$A$501=$H12)*--(Checklist!$E$5:$E$501=K$5)))</f>
        <v>0</v>
      </c>
      <c r="L12" cm="1">
        <f t="array" ref="L12">IF($H12="","",SUMPRODUCT(--(Checklist!$A$5:$A$501=$H12)*--(Checklist!$E$5:$E$501=L$5)))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IF($H13="","",SUMPRODUCT(--(Checklist!$A$5:$A$501=$H13)*--(Checklist!$E$5:$E$501=I$5)))</f>
        <v/>
      </c>
      <c r="J13" t="str" cm="1">
        <f t="array" ref="J13">IF($H13="","",SUMPRODUCT(--(Checklist!$A$5:$A$501=$H13)*--(Checklist!$E$5:$E$501=J$5)))</f>
        <v/>
      </c>
      <c r="K13" t="str" cm="1">
        <f t="array" ref="K13">IF($H13="","",SUMPRODUCT(--(Checklist!$A$5:$A$501=$H13)*--(Checklist!$E$5:$E$501=K$5)))</f>
        <v/>
      </c>
      <c r="L13" t="str" cm="1">
        <f t="array" ref="L13">IF($H13="","",SUMPRODUCT(--(Checklist!$A$5:$A$501=$H13)*--(Checklist!$E$5:$E$501=L$5)))</f>
        <v/>
      </c>
      <c r="M13" t="str">
        <f>IF($H13="","",SUM(I13:L13))</f>
        <v/>
      </c>
    </row>
    <row r="14" spans="1:13" x14ac:dyDescent="0.55000000000000004">
      <c r="I14">
        <f>SUM(I6:I13)</f>
        <v>77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77</v>
      </c>
    </row>
    <row r="20" spans="14:19" x14ac:dyDescent="0.55000000000000004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IF($N21="","",SUMPRODUCT(--(Checklist!$A$5:$A$501=$N21)*--(Checklist!$E$5:$E$501=O$20)))</f>
        <v>6</v>
      </c>
      <c r="P21" cm="1">
        <f t="array" ref="P21">IF($N21="","",SUMPRODUCT(--(Checklist!$A$5:$A$501=$N21)*--(Checklist!$E$5:$E$501=P$20)))</f>
        <v>0</v>
      </c>
      <c r="Q21" cm="1">
        <f t="array" ref="Q21">IF($N21="","",SUMPRODUCT(--(Checklist!$A$5:$A$501=$N21)*(--(Checklist!$E$5:$E$501=Values!$B$4)+--(Checklist!$E$5:$E$501=Values!$B$5))))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IF($N22="","",SUMPRODUCT(--(Checklist!$A$5:$A$501=$N22)*--(Checklist!$E$5:$E$501=O$20)))</f>
        <v>17</v>
      </c>
      <c r="P22" cm="1">
        <f t="array" ref="P22">IF($N22="","",SUMPRODUCT(--(Checklist!$A$5:$A$501=$N22)*--(Checklist!$E$5:$E$501=P$20)))</f>
        <v>0</v>
      </c>
      <c r="Q22" cm="1">
        <f t="array" ref="Q22">IF($N22="","",SUMPRODUCT(--(Checklist!$A$5:$A$501=$N22)*(--(Checklist!$E$5:$E$501=Values!$B$4)+--(Checklist!$E$5:$E$501=Values!$B$5))))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IF($N23="","",SUMPRODUCT(--(Checklist!$A$5:$A$501=$N23)*--(Checklist!$E$5:$E$501=O$20)))</f>
        <v>7</v>
      </c>
      <c r="P23" cm="1">
        <f t="array" ref="P23">IF($N23="","",SUMPRODUCT(--(Checklist!$A$5:$A$501=$N23)*--(Checklist!$E$5:$E$501=P$20)))</f>
        <v>0</v>
      </c>
      <c r="Q23" cm="1">
        <f t="array" ref="Q23">IF($N23="","",SUMPRODUCT(--(Checklist!$A$5:$A$501=$N23)*(--(Checklist!$E$5:$E$501=Values!$B$4)+--(Checklist!$E$5:$E$501=Values!$B$5))))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IF($N24="","",SUMPRODUCT(--(Checklist!$A$5:$A$501=$N24)*--(Checklist!$E$5:$E$501=O$20)))</f>
        <v>9</v>
      </c>
      <c r="P24" cm="1">
        <f t="array" ref="P24">IF($N24="","",SUMPRODUCT(--(Checklist!$A$5:$A$501=$N24)*--(Checklist!$E$5:$E$501=P$20)))</f>
        <v>0</v>
      </c>
      <c r="Q24" cm="1">
        <f t="array" ref="Q24">IF($N24="","",SUMPRODUCT(--(Checklist!$A$5:$A$501=$N24)*(--(Checklist!$E$5:$E$501=Values!$B$4)+--(Checklist!$E$5:$E$501=Values!$B$5))))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IF($N25="","",SUMPRODUCT(--(Checklist!$A$5:$A$501=$N25)*--(Checklist!$E$5:$E$501=O$20)))</f>
        <v>1</v>
      </c>
      <c r="P25" cm="1">
        <f t="array" ref="P25">IF($N25="","",SUMPRODUCT(--(Checklist!$A$5:$A$501=$N25)*--(Checklist!$E$5:$E$501=P$20)))</f>
        <v>0</v>
      </c>
      <c r="Q25" cm="1">
        <f t="array" ref="Q25">IF($N25="","",SUMPRODUCT(--(Checklist!$A$5:$A$501=$N25)*(--(Checklist!$E$5:$E$501=Values!$B$4)+--(Checklist!$E$5:$E$501=Values!$B$5))))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IF($N26="","",SUMPRODUCT(--(Checklist!$A$5:$A$501=$N26)*--(Checklist!$E$5:$E$501=O$20)))</f>
        <v>33</v>
      </c>
      <c r="P26" cm="1">
        <f t="array" ref="P26">IF($N26="","",SUMPRODUCT(--(Checklist!$A$5:$A$501=$N26)*--(Checklist!$E$5:$E$501=P$20)))</f>
        <v>0</v>
      </c>
      <c r="Q26" cm="1">
        <f t="array" ref="Q26">IF($N26="","",SUMPRODUCT(--(Checklist!$A$5:$A$501=$N26)*(--(Checklist!$E$5:$E$501=Values!$B$4)+--(Checklist!$E$5:$E$501=Values!$B$5))))</f>
        <v>0</v>
      </c>
      <c r="R26">
        <f t="shared" si="1"/>
        <v>33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IF($N27="","",SUMPRODUCT(--(Checklist!$A$5:$A$501=$N27)*--(Checklist!$E$5:$E$501=O$20)))</f>
        <v>4</v>
      </c>
      <c r="P27" cm="1">
        <f t="array" ref="P27">IF($N27="","",SUMPRODUCT(--(Checklist!$A$5:$A$501=$N27)*--(Checklist!$E$5:$E$501=P$20)))</f>
        <v>0</v>
      </c>
      <c r="Q27" cm="1">
        <f t="array" ref="Q27">IF($N27="","",SUMPRODUCT(--(Checklist!$A$5:$A$501=$N27)*(--(Checklist!$E$5:$E$501=Values!$B$4)+--(Checklist!$E$5:$E$501=Values!$B$5))))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IF($N28="","",SUMPRODUCT(--(Checklist!$A$5:$A$501=$N28)*--(Checklist!$E$5:$E$501=O$20)))</f>
        <v/>
      </c>
      <c r="P28" t="str" cm="1">
        <f t="array" ref="P28">IF($N28="","",SUMPRODUCT(--(Checklist!$A$5:$A$501=$N28)*--(Checklist!$E$5:$E$501=P$20)))</f>
        <v/>
      </c>
      <c r="Q28" t="str" cm="1">
        <f t="array" ref="Q28">IF($N28="","",SUMPRODUCT(--(Checklist!$A$5:$A$501=$N28)*(--(Checklist!$E$5:$E$501=Values!$B$4)+--(Checklist!$E$5:$E$501=Values!$B$5))))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77</v>
      </c>
      <c r="P29">
        <f>SUM(P21:P28)</f>
        <v>0</v>
      </c>
      <c r="Q29">
        <f>SUM(Q21:Q28)</f>
        <v>0</v>
      </c>
      <c r="R29" s="15">
        <f>SUM(R21:R28)</f>
        <v>77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4"/>
  <sheetViews>
    <sheetView showGridLines="0" tabSelected="1" zoomScale="90" zoomScaleNormal="90" workbookViewId="0">
      <selection activeCell="A8" sqref="A8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132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31</v>
      </c>
      <c r="B5" s="2" t="s">
        <v>26</v>
      </c>
      <c r="C5" s="2" t="s">
        <v>32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customHeight="1" x14ac:dyDescent="0.55000000000000004">
      <c r="A6" s="2" t="s">
        <v>31</v>
      </c>
      <c r="B6" s="2" t="s">
        <v>129</v>
      </c>
      <c r="C6" s="2" t="s">
        <v>33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customHeight="1" x14ac:dyDescent="0.55000000000000004">
      <c r="A7" s="2" t="s">
        <v>31</v>
      </c>
      <c r="B7" s="2" t="s">
        <v>130</v>
      </c>
      <c r="C7" s="2" t="s">
        <v>34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customHeight="1" x14ac:dyDescent="0.55000000000000004">
      <c r="A8" s="2" t="s">
        <v>31</v>
      </c>
      <c r="B8" s="2" t="s">
        <v>130</v>
      </c>
      <c r="C8" s="2" t="s">
        <v>36</v>
      </c>
      <c r="D8" s="2" t="s">
        <v>9</v>
      </c>
      <c r="E8" s="2" t="s">
        <v>7</v>
      </c>
      <c r="F8" s="1"/>
      <c r="G8" s="20" t="s">
        <v>14</v>
      </c>
      <c r="H8" s="13"/>
      <c r="I8" s="23" t="s">
        <v>138</v>
      </c>
      <c r="J8" s="23" t="s">
        <v>137</v>
      </c>
    </row>
    <row r="9" spans="1:11" ht="16.5" customHeight="1" x14ac:dyDescent="0.55000000000000004">
      <c r="A9" s="2" t="s">
        <v>31</v>
      </c>
      <c r="B9" s="2" t="s">
        <v>130</v>
      </c>
      <c r="C9" s="2" t="s">
        <v>37</v>
      </c>
      <c r="D9" s="2" t="s">
        <v>6</v>
      </c>
      <c r="E9" s="2" t="s">
        <v>7</v>
      </c>
      <c r="G9" s="20" t="s">
        <v>14</v>
      </c>
      <c r="H9" s="13"/>
      <c r="I9" s="23" t="s">
        <v>119</v>
      </c>
      <c r="J9" s="23" t="s">
        <v>120</v>
      </c>
    </row>
    <row r="10" spans="1:11" ht="16.5" customHeight="1" x14ac:dyDescent="0.55000000000000004">
      <c r="A10" s="2" t="s">
        <v>31</v>
      </c>
      <c r="B10" s="2" t="s">
        <v>130</v>
      </c>
      <c r="C10" s="2" t="s">
        <v>38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customHeight="1" x14ac:dyDescent="0.55000000000000004">
      <c r="A11" s="2" t="s">
        <v>31</v>
      </c>
      <c r="B11" s="2" t="s">
        <v>130</v>
      </c>
      <c r="C11" s="2" t="s">
        <v>39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customHeight="1" x14ac:dyDescent="0.55000000000000004">
      <c r="A12" s="2" t="s">
        <v>40</v>
      </c>
      <c r="B12" s="2" t="s">
        <v>23</v>
      </c>
      <c r="C12" s="2" t="s">
        <v>41</v>
      </c>
      <c r="D12" s="2" t="s">
        <v>6</v>
      </c>
      <c r="E12" s="2" t="s">
        <v>7</v>
      </c>
      <c r="G12" s="20" t="s">
        <v>14</v>
      </c>
      <c r="H12" s="13"/>
      <c r="I12" s="23" t="s">
        <v>139</v>
      </c>
      <c r="J12" s="23" t="s">
        <v>140</v>
      </c>
    </row>
    <row r="13" spans="1:11" ht="16.5" customHeight="1" x14ac:dyDescent="0.55000000000000004">
      <c r="A13" s="2" t="s">
        <v>40</v>
      </c>
      <c r="B13" s="2" t="s">
        <v>23</v>
      </c>
      <c r="C13" s="1" t="s">
        <v>42</v>
      </c>
      <c r="D13" s="2" t="s">
        <v>9</v>
      </c>
      <c r="E13" s="2" t="s">
        <v>7</v>
      </c>
      <c r="G13" s="20" t="s">
        <v>14</v>
      </c>
      <c r="H13" s="13"/>
      <c r="I13" s="23" t="s">
        <v>142</v>
      </c>
      <c r="J13" s="23" t="s">
        <v>141</v>
      </c>
    </row>
    <row r="14" spans="1:11" ht="16.5" customHeight="1" x14ac:dyDescent="0.55000000000000004">
      <c r="A14" s="2" t="s">
        <v>40</v>
      </c>
      <c r="B14" s="2" t="s">
        <v>23</v>
      </c>
      <c r="C14" s="2" t="s">
        <v>43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customHeight="1" x14ac:dyDescent="0.55000000000000004">
      <c r="A15" s="2" t="s">
        <v>40</v>
      </c>
      <c r="B15" s="2" t="s">
        <v>23</v>
      </c>
      <c r="C15" s="2" t="s">
        <v>44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customHeight="1" x14ac:dyDescent="0.55000000000000004">
      <c r="A16" s="2" t="s">
        <v>40</v>
      </c>
      <c r="B16" s="2" t="s">
        <v>23</v>
      </c>
      <c r="C16" s="2" t="s">
        <v>45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customHeight="1" x14ac:dyDescent="0.55000000000000004">
      <c r="A17" s="2" t="s">
        <v>40</v>
      </c>
      <c r="B17" s="2" t="s">
        <v>23</v>
      </c>
      <c r="C17" s="2" t="s">
        <v>46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47</v>
      </c>
      <c r="B18" s="2" t="s">
        <v>48</v>
      </c>
      <c r="C18" s="2" t="s">
        <v>49</v>
      </c>
      <c r="D18" s="2" t="s">
        <v>6</v>
      </c>
      <c r="E18" s="2" t="s">
        <v>7</v>
      </c>
      <c r="G18" s="20" t="s">
        <v>14</v>
      </c>
      <c r="H18" s="13"/>
      <c r="I18" s="23" t="s">
        <v>125</v>
      </c>
      <c r="J18" s="23" t="s">
        <v>126</v>
      </c>
    </row>
    <row r="19" spans="1:10" ht="16.5" customHeight="1" x14ac:dyDescent="0.55000000000000004">
      <c r="A19" s="2" t="s">
        <v>47</v>
      </c>
      <c r="B19" s="2" t="s">
        <v>48</v>
      </c>
      <c r="C19" s="2" t="s">
        <v>50</v>
      </c>
      <c r="D19" s="2" t="s">
        <v>6</v>
      </c>
      <c r="E19" s="2" t="s">
        <v>7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47</v>
      </c>
      <c r="B20" s="2" t="s">
        <v>48</v>
      </c>
      <c r="C20" s="2" t="s">
        <v>51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47</v>
      </c>
      <c r="B21" s="2" t="s">
        <v>48</v>
      </c>
      <c r="C21" s="2" t="s">
        <v>52</v>
      </c>
      <c r="D21" s="2" t="s">
        <v>8</v>
      </c>
      <c r="E21" s="2" t="s">
        <v>7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47</v>
      </c>
      <c r="B22" s="2" t="s">
        <v>25</v>
      </c>
      <c r="C22" s="2" t="s">
        <v>53</v>
      </c>
      <c r="D22" s="2" t="s">
        <v>6</v>
      </c>
      <c r="E22" s="2" t="s">
        <v>7</v>
      </c>
      <c r="G22" s="20" t="s">
        <v>14</v>
      </c>
      <c r="H22" s="13"/>
      <c r="I22" s="23" t="s">
        <v>127</v>
      </c>
      <c r="J22" s="23" t="s">
        <v>128</v>
      </c>
    </row>
    <row r="23" spans="1:10" ht="16.5" customHeight="1" x14ac:dyDescent="0.55000000000000004">
      <c r="A23" s="2" t="s">
        <v>47</v>
      </c>
      <c r="B23" s="2" t="s">
        <v>25</v>
      </c>
      <c r="C23" s="2" t="s">
        <v>54</v>
      </c>
      <c r="D23" s="2" t="s">
        <v>9</v>
      </c>
      <c r="E23" s="2" t="s">
        <v>7</v>
      </c>
      <c r="G23" s="20" t="s">
        <v>14</v>
      </c>
      <c r="H23" s="13"/>
      <c r="I23" s="23" t="s">
        <v>121</v>
      </c>
      <c r="J23" s="23" t="s">
        <v>122</v>
      </c>
    </row>
    <row r="24" spans="1:10" ht="16.5" customHeight="1" x14ac:dyDescent="0.55000000000000004">
      <c r="A24" s="2" t="s">
        <v>47</v>
      </c>
      <c r="B24" s="2" t="s">
        <v>55</v>
      </c>
      <c r="C24" s="2" t="s">
        <v>56</v>
      </c>
      <c r="D24" s="2" t="s">
        <v>9</v>
      </c>
      <c r="E24" s="2" t="s">
        <v>7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47</v>
      </c>
      <c r="B25" s="2" t="s">
        <v>57</v>
      </c>
      <c r="C25" s="2" t="s">
        <v>58</v>
      </c>
      <c r="D25" s="2" t="s">
        <v>9</v>
      </c>
      <c r="E25" s="2" t="s">
        <v>7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47</v>
      </c>
      <c r="B26" s="2" t="s">
        <v>59</v>
      </c>
      <c r="C26" s="2" t="s">
        <v>60</v>
      </c>
      <c r="D26" s="2" t="s">
        <v>9</v>
      </c>
      <c r="E26" s="2" t="s">
        <v>7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47</v>
      </c>
      <c r="B27" s="2" t="s">
        <v>25</v>
      </c>
      <c r="C27" s="2" t="s">
        <v>61</v>
      </c>
      <c r="D27" s="2" t="s">
        <v>6</v>
      </c>
      <c r="E27" s="2" t="s">
        <v>7</v>
      </c>
      <c r="G27" s="20" t="s">
        <v>14</v>
      </c>
      <c r="H27" s="13"/>
      <c r="I27" s="23" t="s">
        <v>143</v>
      </c>
      <c r="J27" s="23" t="s">
        <v>144</v>
      </c>
    </row>
    <row r="28" spans="1:10" ht="16.5" customHeight="1" x14ac:dyDescent="0.55000000000000004">
      <c r="A28" s="2" t="s">
        <v>47</v>
      </c>
      <c r="B28" s="2" t="s">
        <v>25</v>
      </c>
      <c r="C28" s="2" t="s">
        <v>62</v>
      </c>
      <c r="D28" s="2" t="s">
        <v>6</v>
      </c>
      <c r="E28" s="2" t="s">
        <v>7</v>
      </c>
      <c r="G28" s="20" t="s">
        <v>14</v>
      </c>
      <c r="H28" s="13"/>
      <c r="I28" s="23" t="s">
        <v>123</v>
      </c>
      <c r="J28" s="23" t="s">
        <v>124</v>
      </c>
    </row>
    <row r="29" spans="1:10" ht="16.5" customHeight="1" x14ac:dyDescent="0.55000000000000004">
      <c r="A29" s="2" t="s">
        <v>47</v>
      </c>
      <c r="B29" s="2" t="s">
        <v>25</v>
      </c>
      <c r="C29" s="2" t="s">
        <v>63</v>
      </c>
      <c r="D29" s="2" t="s">
        <v>6</v>
      </c>
      <c r="E29" s="2" t="s">
        <v>7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47</v>
      </c>
      <c r="B30" s="2" t="s">
        <v>25</v>
      </c>
      <c r="C30" s="2" t="s">
        <v>64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47</v>
      </c>
      <c r="B31" s="2" t="s">
        <v>25</v>
      </c>
      <c r="C31" s="2" t="s">
        <v>65</v>
      </c>
      <c r="D31" s="2" t="s">
        <v>9</v>
      </c>
      <c r="E31" s="2" t="s">
        <v>7</v>
      </c>
      <c r="G31" s="20" t="s">
        <v>14</v>
      </c>
      <c r="H31" s="13"/>
      <c r="I31" s="23" t="s">
        <v>146</v>
      </c>
      <c r="J31" s="23" t="s">
        <v>145</v>
      </c>
    </row>
    <row r="32" spans="1:10" ht="16.5" customHeight="1" x14ac:dyDescent="0.55000000000000004">
      <c r="A32" s="2" t="s">
        <v>47</v>
      </c>
      <c r="B32" s="2" t="s">
        <v>57</v>
      </c>
      <c r="C32" s="2" t="s">
        <v>66</v>
      </c>
      <c r="D32" s="2" t="s">
        <v>6</v>
      </c>
      <c r="E32" s="2" t="s">
        <v>7</v>
      </c>
      <c r="G32" s="20" t="s">
        <v>14</v>
      </c>
      <c r="H32" s="13"/>
      <c r="I32" s="23" t="s">
        <v>161</v>
      </c>
      <c r="J32" s="23" t="s">
        <v>162</v>
      </c>
    </row>
    <row r="33" spans="1:10" ht="16.5" customHeight="1" x14ac:dyDescent="0.55000000000000004">
      <c r="A33" s="2" t="s">
        <v>47</v>
      </c>
      <c r="B33" s="2" t="s">
        <v>35</v>
      </c>
      <c r="C33" s="2" t="s">
        <v>67</v>
      </c>
      <c r="D33" s="2" t="s">
        <v>9</v>
      </c>
      <c r="E33" s="2" t="s">
        <v>7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47</v>
      </c>
      <c r="B34" s="2" t="s">
        <v>25</v>
      </c>
      <c r="C34" s="2" t="s">
        <v>68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</row>
    <row r="35" spans="1:10" ht="16.5" customHeight="1" x14ac:dyDescent="0.55000000000000004">
      <c r="A35" s="2" t="s">
        <v>69</v>
      </c>
      <c r="B35" s="2" t="s">
        <v>70</v>
      </c>
      <c r="C35" s="2" t="s">
        <v>71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customHeight="1" x14ac:dyDescent="0.55000000000000004">
      <c r="A36" s="2" t="s">
        <v>69</v>
      </c>
      <c r="B36" s="2" t="s">
        <v>70</v>
      </c>
      <c r="C36" s="2" t="s">
        <v>72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customHeight="1" x14ac:dyDescent="0.55000000000000004">
      <c r="A37" s="2" t="s">
        <v>69</v>
      </c>
      <c r="B37" s="2" t="s">
        <v>73</v>
      </c>
      <c r="C37" s="2" t="s">
        <v>74</v>
      </c>
      <c r="D37" s="2" t="s">
        <v>9</v>
      </c>
      <c r="E37" s="2" t="s">
        <v>7</v>
      </c>
      <c r="G37" s="20" t="s">
        <v>14</v>
      </c>
      <c r="H37" s="13"/>
      <c r="I37" s="23" t="s">
        <v>159</v>
      </c>
      <c r="J37" s="23" t="s">
        <v>160</v>
      </c>
    </row>
    <row r="38" spans="1:10" ht="16.5" customHeight="1" x14ac:dyDescent="0.55000000000000004">
      <c r="A38" s="2" t="s">
        <v>69</v>
      </c>
      <c r="B38" s="2" t="s">
        <v>73</v>
      </c>
      <c r="C38" s="2" t="s">
        <v>75</v>
      </c>
      <c r="D38" s="2" t="s">
        <v>9</v>
      </c>
      <c r="E38" s="2" t="s">
        <v>7</v>
      </c>
      <c r="G38" s="20" t="s">
        <v>14</v>
      </c>
      <c r="H38" s="13"/>
      <c r="I38" s="23" t="s">
        <v>135</v>
      </c>
      <c r="J38" s="23" t="s">
        <v>136</v>
      </c>
    </row>
    <row r="39" spans="1:10" ht="16.5" customHeight="1" x14ac:dyDescent="0.55000000000000004">
      <c r="A39" s="2" t="s">
        <v>69</v>
      </c>
      <c r="B39" s="2" t="s">
        <v>73</v>
      </c>
      <c r="C39" s="2" t="s">
        <v>76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customHeight="1" x14ac:dyDescent="0.55000000000000004">
      <c r="A40" s="2" t="s">
        <v>69</v>
      </c>
      <c r="B40" s="2" t="s">
        <v>73</v>
      </c>
      <c r="C40" s="2" t="s">
        <v>77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customHeight="1" x14ac:dyDescent="0.55000000000000004">
      <c r="A41" s="2" t="s">
        <v>69</v>
      </c>
      <c r="B41" s="2" t="s">
        <v>73</v>
      </c>
      <c r="C41" s="1" t="s">
        <v>78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customHeight="1" x14ac:dyDescent="0.55000000000000004">
      <c r="A42" s="2" t="s">
        <v>69</v>
      </c>
      <c r="B42" s="2" t="s">
        <v>73</v>
      </c>
      <c r="C42" s="2" t="s">
        <v>79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customHeight="1" x14ac:dyDescent="0.55000000000000004">
      <c r="A43" s="2" t="s">
        <v>69</v>
      </c>
      <c r="B43" s="2" t="s">
        <v>73</v>
      </c>
      <c r="C43" s="2" t="s">
        <v>80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customHeight="1" x14ac:dyDescent="0.55000000000000004">
      <c r="A44" s="2" t="s">
        <v>81</v>
      </c>
      <c r="B44" s="2" t="s">
        <v>59</v>
      </c>
      <c r="C44" s="2" t="s">
        <v>82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customHeight="1" x14ac:dyDescent="0.55000000000000004">
      <c r="A45" s="2" t="s">
        <v>83</v>
      </c>
      <c r="B45" s="2" t="s">
        <v>27</v>
      </c>
      <c r="C45" s="2" t="s">
        <v>84</v>
      </c>
      <c r="D45" s="2" t="s">
        <v>6</v>
      </c>
      <c r="E45" s="2" t="s">
        <v>7</v>
      </c>
      <c r="G45" s="20" t="s">
        <v>14</v>
      </c>
      <c r="H45" s="13"/>
      <c r="I45" s="23" t="s">
        <v>134</v>
      </c>
      <c r="J45" s="23" t="s">
        <v>133</v>
      </c>
    </row>
    <row r="46" spans="1:10" ht="16.5" customHeight="1" x14ac:dyDescent="0.55000000000000004">
      <c r="A46" s="2" t="s">
        <v>83</v>
      </c>
      <c r="B46" s="2" t="s">
        <v>27</v>
      </c>
      <c r="C46" s="2" t="s">
        <v>85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customHeight="1" x14ac:dyDescent="0.55000000000000004">
      <c r="A47" s="2" t="s">
        <v>83</v>
      </c>
      <c r="B47" s="2" t="s">
        <v>27</v>
      </c>
      <c r="C47" s="2" t="s">
        <v>86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customHeight="1" x14ac:dyDescent="0.55000000000000004">
      <c r="A48" s="2" t="s">
        <v>83</v>
      </c>
      <c r="B48" s="2" t="s">
        <v>27</v>
      </c>
      <c r="C48" s="2" t="s">
        <v>87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customHeight="1" x14ac:dyDescent="0.55000000000000004">
      <c r="A49" s="2" t="s">
        <v>83</v>
      </c>
      <c r="B49" s="2" t="s">
        <v>27</v>
      </c>
      <c r="C49" s="2" t="s">
        <v>88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customHeight="1" x14ac:dyDescent="0.55000000000000004">
      <c r="A50" s="2" t="s">
        <v>83</v>
      </c>
      <c r="B50" s="2" t="s">
        <v>73</v>
      </c>
      <c r="C50" s="2" t="s">
        <v>89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customHeight="1" x14ac:dyDescent="0.55000000000000004">
      <c r="A51" s="2" t="s">
        <v>83</v>
      </c>
      <c r="B51" s="2" t="s">
        <v>73</v>
      </c>
      <c r="C51" s="2" t="s">
        <v>90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customHeight="1" x14ac:dyDescent="0.55000000000000004">
      <c r="A52" s="2" t="s">
        <v>83</v>
      </c>
      <c r="B52" s="2" t="s">
        <v>24</v>
      </c>
      <c r="C52" s="2" t="s">
        <v>147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customHeight="1" x14ac:dyDescent="0.55000000000000004">
      <c r="A53" s="2" t="s">
        <v>83</v>
      </c>
      <c r="B53" s="2" t="s">
        <v>24</v>
      </c>
      <c r="C53" s="2" t="s">
        <v>148</v>
      </c>
      <c r="D53" s="2" t="s">
        <v>6</v>
      </c>
      <c r="E53" s="2" t="s">
        <v>7</v>
      </c>
      <c r="G53" s="20" t="s">
        <v>14</v>
      </c>
      <c r="H53" s="13"/>
      <c r="I53" s="23" t="s">
        <v>163</v>
      </c>
      <c r="J53" s="23" t="s">
        <v>164</v>
      </c>
    </row>
    <row r="54" spans="1:10" ht="16.5" customHeight="1" x14ac:dyDescent="0.55000000000000004">
      <c r="A54" s="2" t="s">
        <v>83</v>
      </c>
      <c r="B54" s="2" t="s">
        <v>24</v>
      </c>
      <c r="C54" s="2" t="s">
        <v>150</v>
      </c>
      <c r="D54" s="2" t="s">
        <v>9</v>
      </c>
      <c r="E54" s="2" t="s">
        <v>7</v>
      </c>
      <c r="G54" s="20" t="s">
        <v>14</v>
      </c>
      <c r="H54" s="13"/>
      <c r="I54" s="23"/>
      <c r="J54" s="23"/>
    </row>
    <row r="55" spans="1:10" ht="16.5" customHeight="1" x14ac:dyDescent="0.55000000000000004">
      <c r="A55" s="2" t="s">
        <v>83</v>
      </c>
      <c r="B55" s="2" t="s">
        <v>91</v>
      </c>
      <c r="C55" s="2" t="s">
        <v>149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customHeight="1" x14ac:dyDescent="0.55000000000000004">
      <c r="A56" s="2" t="s">
        <v>83</v>
      </c>
      <c r="B56" s="2" t="s">
        <v>73</v>
      </c>
      <c r="C56" s="2" t="s">
        <v>92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customHeight="1" x14ac:dyDescent="0.55000000000000004">
      <c r="A57" s="2" t="s">
        <v>83</v>
      </c>
      <c r="B57" s="2" t="s">
        <v>73</v>
      </c>
      <c r="C57" s="1" t="s">
        <v>93</v>
      </c>
      <c r="D57" s="2" t="s">
        <v>6</v>
      </c>
      <c r="E57" s="2" t="s">
        <v>7</v>
      </c>
      <c r="G57" s="20" t="s">
        <v>14</v>
      </c>
      <c r="H57" s="13"/>
      <c r="I57" s="23"/>
      <c r="J57" s="23"/>
    </row>
    <row r="58" spans="1:10" ht="16.5" customHeight="1" x14ac:dyDescent="0.55000000000000004">
      <c r="A58" s="2" t="s">
        <v>83</v>
      </c>
      <c r="B58" s="2" t="s">
        <v>73</v>
      </c>
      <c r="C58" s="1" t="s">
        <v>94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customHeight="1" x14ac:dyDescent="0.55000000000000004">
      <c r="A59" s="2" t="s">
        <v>83</v>
      </c>
      <c r="B59" s="2" t="s">
        <v>59</v>
      </c>
      <c r="C59" s="2" t="s">
        <v>95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customHeight="1" x14ac:dyDescent="0.55000000000000004">
      <c r="A60" s="2" t="s">
        <v>83</v>
      </c>
      <c r="B60" s="2" t="s">
        <v>59</v>
      </c>
      <c r="C60" s="1" t="s">
        <v>156</v>
      </c>
      <c r="D60" s="2" t="s">
        <v>8</v>
      </c>
      <c r="E60" s="2" t="s">
        <v>7</v>
      </c>
      <c r="G60" s="20" t="s">
        <v>14</v>
      </c>
      <c r="H60" s="13"/>
      <c r="I60" s="23" t="s">
        <v>157</v>
      </c>
      <c r="J60" s="23" t="s">
        <v>158</v>
      </c>
    </row>
    <row r="61" spans="1:10" ht="16.5" customHeight="1" x14ac:dyDescent="0.55000000000000004">
      <c r="A61" s="2" t="s">
        <v>83</v>
      </c>
      <c r="B61" s="2" t="s">
        <v>59</v>
      </c>
      <c r="C61" s="2" t="s">
        <v>96</v>
      </c>
      <c r="D61" s="2" t="s">
        <v>8</v>
      </c>
      <c r="E61" s="2" t="s">
        <v>7</v>
      </c>
      <c r="G61" s="20" t="s">
        <v>14</v>
      </c>
      <c r="H61" s="13"/>
      <c r="I61" s="23"/>
      <c r="J61" s="23"/>
    </row>
    <row r="62" spans="1:10" ht="16.5" customHeight="1" x14ac:dyDescent="0.55000000000000004">
      <c r="A62" s="2" t="s">
        <v>83</v>
      </c>
      <c r="B62" s="2" t="s">
        <v>73</v>
      </c>
      <c r="C62" s="2" t="s">
        <v>97</v>
      </c>
      <c r="D62" s="2" t="s">
        <v>6</v>
      </c>
      <c r="E62" s="2" t="s">
        <v>7</v>
      </c>
      <c r="G62" s="20" t="s">
        <v>14</v>
      </c>
      <c r="H62" s="13"/>
      <c r="I62" s="23"/>
      <c r="J62" s="23"/>
    </row>
    <row r="63" spans="1:10" ht="16.5" customHeight="1" x14ac:dyDescent="0.55000000000000004">
      <c r="A63" s="2" t="s">
        <v>83</v>
      </c>
      <c r="B63" s="2" t="s">
        <v>73</v>
      </c>
      <c r="C63" s="2" t="s">
        <v>98</v>
      </c>
      <c r="D63" s="2" t="s">
        <v>8</v>
      </c>
      <c r="E63" s="2" t="s">
        <v>7</v>
      </c>
      <c r="G63" s="20" t="s">
        <v>14</v>
      </c>
      <c r="H63" s="13"/>
      <c r="I63" s="23" t="s">
        <v>154</v>
      </c>
      <c r="J63" s="23" t="s">
        <v>155</v>
      </c>
    </row>
    <row r="64" spans="1:10" ht="16.5" customHeight="1" x14ac:dyDescent="0.55000000000000004">
      <c r="A64" s="2" t="s">
        <v>83</v>
      </c>
      <c r="B64" s="2" t="s">
        <v>73</v>
      </c>
      <c r="C64" s="2" t="s">
        <v>99</v>
      </c>
      <c r="D64" s="2" t="s">
        <v>9</v>
      </c>
      <c r="E64" s="2" t="s">
        <v>7</v>
      </c>
      <c r="G64" s="20" t="s">
        <v>14</v>
      </c>
      <c r="H64" s="13"/>
      <c r="I64" s="23"/>
      <c r="J64" s="23"/>
    </row>
    <row r="65" spans="1:10" ht="16.5" customHeight="1" x14ac:dyDescent="0.55000000000000004">
      <c r="A65" s="2" t="s">
        <v>83</v>
      </c>
      <c r="B65" s="2" t="s">
        <v>73</v>
      </c>
      <c r="C65" s="2" t="s">
        <v>100</v>
      </c>
      <c r="D65" s="2" t="s">
        <v>8</v>
      </c>
      <c r="E65" s="2" t="s">
        <v>7</v>
      </c>
      <c r="F65" s="1"/>
      <c r="G65" s="20" t="s">
        <v>14</v>
      </c>
      <c r="H65" s="13"/>
      <c r="I65" s="23"/>
      <c r="J65" s="23"/>
    </row>
    <row r="66" spans="1:10" ht="16.5" customHeight="1" x14ac:dyDescent="0.55000000000000004">
      <c r="A66" s="2" t="s">
        <v>83</v>
      </c>
      <c r="B66" s="2" t="s">
        <v>73</v>
      </c>
      <c r="C66" s="1" t="s">
        <v>101</v>
      </c>
      <c r="D66" s="2" t="s">
        <v>8</v>
      </c>
      <c r="E66" s="2" t="s">
        <v>7</v>
      </c>
      <c r="G66" s="20" t="s">
        <v>14</v>
      </c>
      <c r="H66" s="13"/>
      <c r="I66" s="23"/>
      <c r="J66" s="23"/>
    </row>
    <row r="67" spans="1:10" ht="16.5" customHeight="1" x14ac:dyDescent="0.55000000000000004">
      <c r="A67" s="2" t="s">
        <v>83</v>
      </c>
      <c r="B67" s="2" t="s">
        <v>24</v>
      </c>
      <c r="C67" s="2" t="s">
        <v>102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customHeight="1" x14ac:dyDescent="0.55000000000000004">
      <c r="A68" s="2" t="s">
        <v>83</v>
      </c>
      <c r="B68" s="2" t="s">
        <v>24</v>
      </c>
      <c r="C68" s="2" t="s">
        <v>103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customHeight="1" x14ac:dyDescent="0.55000000000000004">
      <c r="A69" s="2" t="s">
        <v>83</v>
      </c>
      <c r="B69" s="2" t="s">
        <v>24</v>
      </c>
      <c r="C69" s="2" t="s">
        <v>104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customHeight="1" x14ac:dyDescent="0.55000000000000004">
      <c r="A70" s="2" t="s">
        <v>83</v>
      </c>
      <c r="B70" s="2" t="s">
        <v>24</v>
      </c>
      <c r="C70" s="2" t="s">
        <v>105</v>
      </c>
      <c r="D70" s="2" t="s">
        <v>9</v>
      </c>
      <c r="E70" s="2" t="s">
        <v>7</v>
      </c>
      <c r="G70" s="20" t="s">
        <v>14</v>
      </c>
      <c r="H70" s="13"/>
      <c r="I70" s="23"/>
      <c r="J70" s="23"/>
    </row>
    <row r="71" spans="1:10" ht="16.5" customHeight="1" x14ac:dyDescent="0.55000000000000004">
      <c r="A71" s="2" t="s">
        <v>83</v>
      </c>
      <c r="B71" s="2" t="s">
        <v>73</v>
      </c>
      <c r="C71" s="2" t="s">
        <v>106</v>
      </c>
      <c r="D71" s="2" t="s">
        <v>8</v>
      </c>
      <c r="E71" s="2" t="s">
        <v>7</v>
      </c>
      <c r="G71" s="20" t="s">
        <v>14</v>
      </c>
      <c r="H71" s="13"/>
      <c r="I71" s="23"/>
      <c r="J71" s="23"/>
    </row>
    <row r="72" spans="1:10" ht="16.5" customHeight="1" x14ac:dyDescent="0.55000000000000004">
      <c r="A72" s="2" t="s">
        <v>83</v>
      </c>
      <c r="B72" s="2" t="s">
        <v>55</v>
      </c>
      <c r="C72" s="2" t="s">
        <v>107</v>
      </c>
      <c r="D72" s="2" t="s">
        <v>9</v>
      </c>
      <c r="E72" s="2" t="s">
        <v>7</v>
      </c>
      <c r="G72" s="20" t="s">
        <v>14</v>
      </c>
      <c r="H72" s="13"/>
      <c r="I72" s="23" t="s">
        <v>151</v>
      </c>
      <c r="J72" s="23" t="s">
        <v>152</v>
      </c>
    </row>
    <row r="73" spans="1:10" ht="16.5" customHeight="1" x14ac:dyDescent="0.55000000000000004">
      <c r="A73" s="2" t="s">
        <v>83</v>
      </c>
      <c r="B73" s="2" t="s">
        <v>55</v>
      </c>
      <c r="C73" s="2" t="s">
        <v>108</v>
      </c>
      <c r="D73" s="2" t="s">
        <v>9</v>
      </c>
      <c r="E73" s="2" t="s">
        <v>7</v>
      </c>
      <c r="G73" s="20" t="s">
        <v>14</v>
      </c>
      <c r="H73" s="13"/>
      <c r="I73" s="23"/>
      <c r="J73" s="23"/>
    </row>
    <row r="74" spans="1:10" ht="16.5" customHeight="1" x14ac:dyDescent="0.55000000000000004">
      <c r="A74" s="2" t="s">
        <v>83</v>
      </c>
      <c r="B74" s="2" t="s">
        <v>55</v>
      </c>
      <c r="C74" s="2" t="s">
        <v>109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customHeight="1" x14ac:dyDescent="0.55000000000000004">
      <c r="A75" s="2" t="s">
        <v>83</v>
      </c>
      <c r="B75" s="2" t="s">
        <v>110</v>
      </c>
      <c r="C75" s="2" t="s">
        <v>153</v>
      </c>
      <c r="D75" s="2" t="s">
        <v>6</v>
      </c>
      <c r="E75" s="2" t="s">
        <v>7</v>
      </c>
      <c r="G75" s="20" t="s">
        <v>14</v>
      </c>
      <c r="H75" s="13"/>
      <c r="I75" s="23"/>
      <c r="J75" s="23"/>
    </row>
    <row r="76" spans="1:10" ht="16.5" customHeight="1" x14ac:dyDescent="0.55000000000000004">
      <c r="A76" s="2" t="s">
        <v>83</v>
      </c>
      <c r="B76" s="2" t="s">
        <v>110</v>
      </c>
      <c r="C76" s="2" t="s">
        <v>111</v>
      </c>
      <c r="D76" s="2" t="s">
        <v>9</v>
      </c>
      <c r="E76" s="2" t="s">
        <v>7</v>
      </c>
      <c r="F76" s="1"/>
      <c r="G76" s="20" t="s">
        <v>14</v>
      </c>
      <c r="H76" s="13"/>
      <c r="I76" s="23"/>
      <c r="J76" s="23"/>
    </row>
    <row r="77" spans="1:10" ht="16.5" customHeight="1" x14ac:dyDescent="0.55000000000000004">
      <c r="A77" s="2" t="s">
        <v>83</v>
      </c>
      <c r="B77" s="2" t="s">
        <v>110</v>
      </c>
      <c r="C77" s="2" t="s">
        <v>112</v>
      </c>
      <c r="D77" s="2" t="s">
        <v>6</v>
      </c>
      <c r="E77" s="2" t="s">
        <v>7</v>
      </c>
      <c r="G77" s="20" t="s">
        <v>14</v>
      </c>
      <c r="H77" s="13"/>
      <c r="I77" s="23"/>
      <c r="J77" s="23"/>
    </row>
    <row r="78" spans="1:10" ht="16.5" customHeight="1" x14ac:dyDescent="0.55000000000000004">
      <c r="A78" s="2" t="s">
        <v>113</v>
      </c>
      <c r="B78" s="2" t="s">
        <v>131</v>
      </c>
      <c r="C78" s="2" t="s">
        <v>114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customHeight="1" x14ac:dyDescent="0.55000000000000004">
      <c r="A79" s="2" t="s">
        <v>113</v>
      </c>
      <c r="B79" s="2" t="s">
        <v>115</v>
      </c>
      <c r="C79" s="2" t="s">
        <v>116</v>
      </c>
      <c r="D79" s="2" t="s">
        <v>9</v>
      </c>
      <c r="E79" s="2" t="s">
        <v>7</v>
      </c>
      <c r="G79" s="20" t="s">
        <v>14</v>
      </c>
      <c r="H79" s="13"/>
      <c r="I79" s="23"/>
      <c r="J79" s="23"/>
    </row>
    <row r="80" spans="1:10" ht="16.5" customHeight="1" x14ac:dyDescent="0.55000000000000004">
      <c r="A80" s="2" t="s">
        <v>113</v>
      </c>
      <c r="B80" s="2" t="s">
        <v>115</v>
      </c>
      <c r="C80" s="2" t="s">
        <v>117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customHeight="1" x14ac:dyDescent="0.55000000000000004">
      <c r="A81" s="2" t="s">
        <v>113</v>
      </c>
      <c r="B81" s="2" t="s">
        <v>115</v>
      </c>
      <c r="C81" s="2" t="s">
        <v>118</v>
      </c>
      <c r="D81" s="2" t="s">
        <v>8</v>
      </c>
      <c r="E81" s="2" t="s">
        <v>7</v>
      </c>
      <c r="G81" s="20" t="s">
        <v>14</v>
      </c>
      <c r="H81" s="13"/>
      <c r="I81" s="23"/>
      <c r="J81" s="23"/>
    </row>
    <row r="82" spans="1:10" ht="16.5" customHeight="1" x14ac:dyDescent="0.55000000000000004">
      <c r="A82" s="2"/>
      <c r="B82" s="2"/>
      <c r="C82" s="1"/>
      <c r="G82" s="20"/>
      <c r="H82" s="13"/>
      <c r="I82" s="23"/>
      <c r="J82" s="23"/>
    </row>
    <row r="83" spans="1:10" ht="16.5" customHeight="1" x14ac:dyDescent="0.55000000000000004">
      <c r="A83" s="2"/>
      <c r="B83" s="2"/>
      <c r="G83" s="13"/>
      <c r="H83" s="13"/>
      <c r="I83" s="23"/>
      <c r="J83" s="23"/>
    </row>
    <row r="84" spans="1:10" ht="16.5" customHeight="1" x14ac:dyDescent="0.55000000000000004">
      <c r="A84" s="2"/>
      <c r="B84" s="2"/>
      <c r="G84" s="13"/>
      <c r="H84" s="13"/>
      <c r="I84" s="23"/>
      <c r="J84" s="23"/>
    </row>
    <row r="85" spans="1:10" ht="16.5" customHeight="1" x14ac:dyDescent="0.55000000000000004">
      <c r="A85" s="2"/>
      <c r="B85" s="2"/>
      <c r="G85" s="13"/>
      <c r="H85" s="13"/>
      <c r="I85" s="23"/>
      <c r="J85" s="23"/>
    </row>
    <row r="86" spans="1:10" ht="16.5" customHeight="1" x14ac:dyDescent="0.55000000000000004">
      <c r="A86" s="2"/>
      <c r="B86" s="2"/>
      <c r="C86" s="1"/>
      <c r="G86" s="13"/>
      <c r="H86" s="13"/>
      <c r="I86" s="23"/>
      <c r="J86" s="23"/>
    </row>
    <row r="87" spans="1:10" ht="16.5" customHeight="1" x14ac:dyDescent="0.55000000000000004">
      <c r="A87" s="2"/>
      <c r="B87" s="2"/>
      <c r="G87" s="13"/>
      <c r="H87" s="13"/>
      <c r="I87" s="23"/>
      <c r="J87" s="23"/>
    </row>
    <row r="88" spans="1:10" ht="16.5" customHeight="1" x14ac:dyDescent="0.55000000000000004">
      <c r="A88" s="2"/>
      <c r="B88" s="2"/>
      <c r="C88" s="1"/>
      <c r="G88" s="13"/>
      <c r="H88" s="13"/>
      <c r="I88" s="23"/>
      <c r="J88" s="23"/>
    </row>
    <row r="89" spans="1:10" ht="16.5" customHeight="1" x14ac:dyDescent="0.55000000000000004">
      <c r="A89"/>
      <c r="B89" s="2"/>
      <c r="G89" s="13"/>
      <c r="H89" s="13"/>
      <c r="I89" s="23"/>
      <c r="J89" s="23"/>
    </row>
    <row r="90" spans="1:10" ht="16.5" customHeight="1" x14ac:dyDescent="0.55000000000000004">
      <c r="A90"/>
      <c r="B90" s="2"/>
      <c r="G90" s="13"/>
      <c r="H90" s="13"/>
      <c r="I90" s="23"/>
      <c r="J90" s="23"/>
    </row>
    <row r="91" spans="1:10" ht="16.5" customHeight="1" x14ac:dyDescent="0.55000000000000004">
      <c r="A91"/>
      <c r="B91" s="2"/>
      <c r="G91" s="13"/>
      <c r="H91" s="13"/>
      <c r="I91" s="23"/>
      <c r="J91" s="23"/>
    </row>
    <row r="92" spans="1:10" ht="16.5" customHeight="1" x14ac:dyDescent="0.55000000000000004">
      <c r="A92"/>
      <c r="B92" s="2"/>
      <c r="G92" s="13"/>
      <c r="H92" s="13"/>
      <c r="I92" s="23"/>
      <c r="J92" s="23"/>
    </row>
    <row r="93" spans="1:10" ht="15.75" customHeight="1" x14ac:dyDescent="0.55000000000000004">
      <c r="A93"/>
      <c r="B93" s="2"/>
      <c r="C93" s="1"/>
      <c r="G93" s="13"/>
      <c r="H93" s="13"/>
      <c r="I93" s="23"/>
      <c r="J93" s="23"/>
    </row>
    <row r="94" spans="1:10" ht="16.5" customHeight="1" x14ac:dyDescent="0.55000000000000004">
      <c r="A94"/>
      <c r="B94" s="2"/>
      <c r="G94" s="13"/>
      <c r="H94" s="13"/>
      <c r="I94" s="23"/>
      <c r="J94" s="23"/>
    </row>
    <row r="95" spans="1:10" ht="16.5" customHeight="1" x14ac:dyDescent="0.55000000000000004">
      <c r="A95"/>
      <c r="B95" s="2"/>
      <c r="G95" s="13"/>
      <c r="H95" s="13"/>
      <c r="I95" s="23"/>
      <c r="J95" s="23"/>
    </row>
    <row r="96" spans="1:10" ht="16.5" customHeight="1" x14ac:dyDescent="0.55000000000000004">
      <c r="A96"/>
      <c r="B96" s="2"/>
      <c r="G96" s="13"/>
      <c r="H96" s="13"/>
      <c r="I96" s="23"/>
      <c r="J96" s="23"/>
    </row>
    <row r="97" spans="1:10" ht="16.5" customHeight="1" x14ac:dyDescent="0.55000000000000004">
      <c r="A97"/>
      <c r="B97" s="2"/>
      <c r="G97" s="13"/>
      <c r="H97" s="13"/>
      <c r="I97" s="23"/>
      <c r="J97" s="23"/>
    </row>
    <row r="98" spans="1:10" ht="16.5" customHeight="1" x14ac:dyDescent="0.55000000000000004">
      <c r="A98"/>
      <c r="B98" s="2"/>
      <c r="G98" s="13"/>
      <c r="H98" s="13"/>
      <c r="I98" s="23"/>
      <c r="J98" s="23"/>
    </row>
    <row r="99" spans="1:10" ht="16.5" customHeight="1" x14ac:dyDescent="0.55000000000000004">
      <c r="A99"/>
      <c r="B99" s="2"/>
      <c r="G99" s="13"/>
      <c r="H99" s="13"/>
      <c r="I99" s="23"/>
      <c r="J99" s="23"/>
    </row>
    <row r="100" spans="1:10" ht="16.5" customHeight="1" x14ac:dyDescent="0.55000000000000004">
      <c r="A100" s="2"/>
      <c r="B100" s="2"/>
      <c r="G100" s="13"/>
      <c r="H100" s="13"/>
      <c r="I100" s="23"/>
      <c r="J100" s="23"/>
    </row>
    <row r="101" spans="1:10" ht="16.5" customHeight="1" x14ac:dyDescent="0.55000000000000004">
      <c r="A101" s="2"/>
      <c r="B101" s="2"/>
      <c r="G101" s="13"/>
      <c r="H101" s="13"/>
      <c r="I101" s="23"/>
      <c r="J101" s="23"/>
    </row>
    <row r="102" spans="1:10" ht="16.5" customHeight="1" x14ac:dyDescent="0.55000000000000004">
      <c r="A102" s="2"/>
      <c r="B102" s="2"/>
      <c r="G102" s="13"/>
      <c r="H102" s="13"/>
      <c r="I102" s="23"/>
      <c r="J102" s="23"/>
    </row>
    <row r="103" spans="1:10" ht="16.5" customHeight="1" x14ac:dyDescent="0.55000000000000004">
      <c r="A103" s="2"/>
      <c r="B103" s="2"/>
      <c r="G103" s="13"/>
      <c r="H103" s="13"/>
      <c r="I103" s="23"/>
      <c r="J103" s="23"/>
    </row>
    <row r="104" spans="1:10" ht="16.5" customHeight="1" x14ac:dyDescent="0.55000000000000004">
      <c r="A104" s="2"/>
      <c r="B104" s="2"/>
      <c r="G104" s="13"/>
      <c r="H104" s="13"/>
      <c r="I104" s="23"/>
      <c r="J104" s="23"/>
    </row>
    <row r="105" spans="1:10" ht="16.5" customHeight="1" x14ac:dyDescent="0.55000000000000004">
      <c r="A105" s="2"/>
      <c r="B105" s="2"/>
      <c r="G105" s="13"/>
      <c r="H105" s="13"/>
      <c r="I105" s="23"/>
      <c r="J105" s="23"/>
    </row>
    <row r="106" spans="1:10" ht="16.5" customHeight="1" x14ac:dyDescent="0.55000000000000004">
      <c r="A106" s="2"/>
      <c r="B106" s="2"/>
      <c r="G106" s="13"/>
      <c r="H106" s="13"/>
      <c r="I106" s="23"/>
      <c r="J106" s="23"/>
    </row>
    <row r="107" spans="1:10" ht="16.5" customHeight="1" x14ac:dyDescent="0.55000000000000004">
      <c r="A107" s="2"/>
      <c r="B107" s="2"/>
      <c r="G107" s="13"/>
      <c r="H107" s="13"/>
      <c r="I107" s="23"/>
      <c r="J107" s="23"/>
    </row>
    <row r="108" spans="1:10" ht="16.5" customHeight="1" x14ac:dyDescent="0.55000000000000004">
      <c r="A108" s="2"/>
      <c r="B108" s="2"/>
      <c r="F108" s="1"/>
      <c r="G108" s="13"/>
      <c r="H108" s="13"/>
      <c r="I108" s="23"/>
      <c r="J108" s="23"/>
    </row>
    <row r="109" spans="1:10" ht="16.5" customHeight="1" x14ac:dyDescent="0.55000000000000004">
      <c r="A109" s="2"/>
      <c r="B109" s="2"/>
      <c r="G109" s="13"/>
      <c r="H109" s="13"/>
      <c r="I109" s="23"/>
      <c r="J109" s="23"/>
    </row>
    <row r="110" spans="1:10" ht="16.5" customHeight="1" x14ac:dyDescent="0.55000000000000004">
      <c r="A110" s="2"/>
      <c r="B110" s="2"/>
      <c r="G110" s="13"/>
      <c r="H110" s="13"/>
      <c r="I110" s="23"/>
      <c r="J110" s="23"/>
    </row>
    <row r="111" spans="1:10" ht="16.5" customHeight="1" x14ac:dyDescent="0.55000000000000004">
      <c r="A111" s="2"/>
      <c r="B111" s="2"/>
      <c r="G111" s="13"/>
      <c r="H111" s="13"/>
      <c r="I111" s="23"/>
      <c r="J111" s="23"/>
    </row>
    <row r="112" spans="1:10" ht="16.5" customHeight="1" x14ac:dyDescent="0.55000000000000004">
      <c r="B112" s="2"/>
      <c r="G112" s="13"/>
      <c r="H112" s="13"/>
      <c r="I112" s="23"/>
      <c r="J112" s="23"/>
    </row>
    <row r="113" spans="2:10" ht="16.5" customHeight="1" x14ac:dyDescent="0.55000000000000004">
      <c r="B113" s="2"/>
      <c r="G113" s="13"/>
      <c r="H113" s="13"/>
      <c r="I113" s="23"/>
      <c r="J113" s="23"/>
    </row>
    <row r="114" spans="2:10" ht="16.5" customHeight="1" x14ac:dyDescent="0.55000000000000004">
      <c r="B114" s="2"/>
      <c r="G114" s="13"/>
      <c r="H114" s="13"/>
      <c r="I114" s="23"/>
      <c r="J114" s="23"/>
    </row>
    <row r="115" spans="2:10" ht="16.5" customHeight="1" x14ac:dyDescent="0.55000000000000004">
      <c r="B115" s="2"/>
      <c r="F115" s="1"/>
      <c r="G115" s="13"/>
      <c r="H115" s="13"/>
      <c r="I115" s="23"/>
      <c r="J115" s="23"/>
    </row>
    <row r="116" spans="2:10" ht="16.5" customHeight="1" x14ac:dyDescent="0.55000000000000004">
      <c r="B116" s="2"/>
      <c r="G116" s="13"/>
      <c r="H116" s="13"/>
      <c r="I116" s="23"/>
      <c r="J116" s="23"/>
    </row>
    <row r="117" spans="2:10" ht="16.5" customHeight="1" x14ac:dyDescent="0.55000000000000004">
      <c r="B117" s="2"/>
      <c r="G117" s="13"/>
      <c r="H117" s="13"/>
      <c r="I117" s="23"/>
      <c r="J117" s="23"/>
    </row>
    <row r="118" spans="2:10" ht="16.5" customHeight="1" x14ac:dyDescent="0.55000000000000004">
      <c r="B118" s="2"/>
      <c r="F118" s="1"/>
      <c r="G118" s="13"/>
      <c r="H118" s="13"/>
      <c r="I118" s="23"/>
      <c r="J118" s="23"/>
    </row>
    <row r="119" spans="2:10" ht="16.5" customHeight="1" x14ac:dyDescent="0.55000000000000004">
      <c r="B119" s="2"/>
      <c r="G119" s="13"/>
      <c r="H119" s="13"/>
      <c r="I119" s="23"/>
      <c r="J119" s="23"/>
    </row>
    <row r="120" spans="2:10" ht="16.5" customHeight="1" x14ac:dyDescent="0.55000000000000004">
      <c r="B120" s="2"/>
      <c r="G120" s="13"/>
      <c r="H120" s="13"/>
      <c r="I120" s="23"/>
      <c r="J120" s="23"/>
    </row>
    <row r="121" spans="2:10" ht="16.5" customHeight="1" x14ac:dyDescent="0.55000000000000004">
      <c r="B121" s="2"/>
      <c r="F121" s="1"/>
      <c r="G121" s="13"/>
      <c r="H121" s="13"/>
      <c r="I121" s="23"/>
      <c r="J121" s="23"/>
    </row>
    <row r="122" spans="2:10" ht="16.5" customHeight="1" x14ac:dyDescent="0.55000000000000004">
      <c r="B122" s="2"/>
      <c r="G122" s="13"/>
      <c r="H122" s="13"/>
      <c r="I122" s="23"/>
      <c r="J122" s="23"/>
    </row>
    <row r="123" spans="2:10" ht="16.5" customHeight="1" x14ac:dyDescent="0.55000000000000004">
      <c r="B123" s="2"/>
      <c r="G123" s="13"/>
      <c r="H123" s="13"/>
      <c r="I123" s="23"/>
      <c r="J123" s="23"/>
    </row>
    <row r="124" spans="2:10" ht="16.5" customHeight="1" x14ac:dyDescent="0.55000000000000004">
      <c r="B124" s="2"/>
      <c r="G124" s="13"/>
      <c r="H124" s="13"/>
      <c r="I124" s="23"/>
      <c r="J124" s="23"/>
    </row>
    <row r="125" spans="2:10" ht="16.5" customHeight="1" x14ac:dyDescent="0.55000000000000004">
      <c r="B125" s="2"/>
      <c r="F125" s="1"/>
      <c r="G125" s="13"/>
      <c r="H125" s="13"/>
      <c r="I125" s="23"/>
      <c r="J125" s="23"/>
    </row>
    <row r="126" spans="2:10" ht="16.5" customHeight="1" x14ac:dyDescent="0.55000000000000004">
      <c r="B126" s="2"/>
      <c r="F126" s="1"/>
      <c r="G126" s="13"/>
      <c r="H126" s="13"/>
      <c r="I126" s="23"/>
      <c r="J126" s="23"/>
    </row>
    <row r="127" spans="2:10" ht="16.5" customHeight="1" x14ac:dyDescent="0.55000000000000004">
      <c r="B127" s="2"/>
      <c r="F127" s="1"/>
      <c r="G127" s="13"/>
      <c r="H127" s="13"/>
      <c r="I127" s="23"/>
      <c r="J127" s="23"/>
    </row>
    <row r="128" spans="2:10" ht="16.5" customHeight="1" x14ac:dyDescent="0.55000000000000004">
      <c r="B128" s="2"/>
      <c r="F128" s="1"/>
      <c r="G128" s="13"/>
      <c r="H128" s="13"/>
      <c r="I128" s="23"/>
      <c r="J128" s="23"/>
    </row>
    <row r="129" spans="2:10" ht="16.5" customHeight="1" x14ac:dyDescent="0.55000000000000004">
      <c r="B129" s="2"/>
      <c r="G129" s="13"/>
      <c r="H129" s="13"/>
      <c r="I129" s="23"/>
      <c r="J129" s="23"/>
    </row>
    <row r="130" spans="2:10" ht="16.5" customHeight="1" x14ac:dyDescent="0.55000000000000004">
      <c r="B130" s="2"/>
      <c r="F130" s="1"/>
      <c r="G130" s="13"/>
      <c r="H130" s="13"/>
      <c r="I130" s="23"/>
      <c r="J130" s="23"/>
    </row>
    <row r="131" spans="2:10" ht="16.5" customHeight="1" x14ac:dyDescent="0.55000000000000004">
      <c r="B131" s="2"/>
      <c r="F131" s="1"/>
      <c r="G131" s="13"/>
      <c r="H131" s="13"/>
      <c r="I131" s="23"/>
      <c r="J131" s="23"/>
    </row>
    <row r="132" spans="2:10" ht="16.5" customHeight="1" x14ac:dyDescent="0.55000000000000004">
      <c r="B132" s="2"/>
      <c r="F132" s="1"/>
      <c r="G132" s="13"/>
      <c r="H132" s="13"/>
      <c r="I132" s="23"/>
      <c r="J132" s="23"/>
    </row>
    <row r="133" spans="2:10" ht="16.5" customHeight="1" x14ac:dyDescent="0.55000000000000004">
      <c r="B133" s="2"/>
      <c r="F133" s="1"/>
      <c r="G133" s="13"/>
      <c r="H133" s="13"/>
      <c r="I133" s="23"/>
      <c r="J133" s="23"/>
    </row>
    <row r="134" spans="2:10" ht="16.5" customHeight="1" x14ac:dyDescent="0.55000000000000004">
      <c r="B134" s="2"/>
      <c r="G134" s="13"/>
      <c r="H134" s="13"/>
      <c r="I134" s="23"/>
      <c r="J134" s="23"/>
    </row>
    <row r="135" spans="2:10" ht="16.5" customHeight="1" x14ac:dyDescent="0.55000000000000004">
      <c r="B135" s="2"/>
      <c r="G135" s="13"/>
      <c r="H135" s="13"/>
      <c r="I135" s="23"/>
      <c r="J135" s="23"/>
    </row>
    <row r="136" spans="2:10" ht="16.5" customHeight="1" x14ac:dyDescent="0.55000000000000004">
      <c r="B136" s="2"/>
      <c r="F136" s="1"/>
      <c r="G136" s="13"/>
      <c r="H136" s="13"/>
      <c r="I136" s="23"/>
      <c r="J136" s="23"/>
    </row>
    <row r="137" spans="2:10" ht="16.5" customHeight="1" x14ac:dyDescent="0.55000000000000004">
      <c r="B137" s="2"/>
      <c r="G137" s="13"/>
      <c r="H137" s="13"/>
      <c r="I137" s="23"/>
      <c r="J137" s="23"/>
    </row>
    <row r="138" spans="2:10" ht="16.5" customHeight="1" x14ac:dyDescent="0.55000000000000004">
      <c r="B138" s="2"/>
      <c r="G138" s="13"/>
      <c r="H138" s="13"/>
      <c r="I138" s="23"/>
      <c r="J138" s="23"/>
    </row>
    <row r="139" spans="2:10" ht="16.5" customHeight="1" x14ac:dyDescent="0.55000000000000004">
      <c r="B139" s="2"/>
      <c r="G139" s="13"/>
      <c r="H139" s="13"/>
      <c r="I139" s="23"/>
      <c r="J139" s="23"/>
    </row>
    <row r="140" spans="2:10" ht="16.5" customHeight="1" x14ac:dyDescent="0.55000000000000004">
      <c r="B140" s="2"/>
      <c r="G140" s="13"/>
      <c r="H140" s="13"/>
      <c r="I140" s="23"/>
      <c r="J140" s="23"/>
    </row>
    <row r="141" spans="2:10" ht="16.5" customHeight="1" x14ac:dyDescent="0.55000000000000004">
      <c r="B141" s="2"/>
      <c r="G141" s="13"/>
      <c r="H141" s="13"/>
      <c r="I141" s="23"/>
      <c r="J141" s="23"/>
    </row>
    <row r="142" spans="2:10" ht="16.5" customHeight="1" x14ac:dyDescent="0.55000000000000004">
      <c r="B142" s="2"/>
      <c r="G142" s="13"/>
      <c r="H142" s="13"/>
      <c r="I142" s="23"/>
      <c r="J142" s="23"/>
    </row>
    <row r="143" spans="2:10" ht="16.5" customHeight="1" x14ac:dyDescent="0.55000000000000004">
      <c r="B143" s="2"/>
      <c r="G143" s="13"/>
      <c r="H143" s="13"/>
      <c r="I143" s="23"/>
      <c r="J143" s="23"/>
    </row>
    <row r="144" spans="2:10" ht="16.5" customHeight="1" x14ac:dyDescent="0.55000000000000004">
      <c r="B144" s="2"/>
      <c r="G144" s="13"/>
      <c r="H144" s="13"/>
      <c r="I144" s="23"/>
      <c r="J144" s="23"/>
    </row>
    <row r="145" spans="2:10" ht="16.5" customHeight="1" x14ac:dyDescent="0.55000000000000004">
      <c r="B145" s="2"/>
      <c r="G145" s="13"/>
      <c r="H145" s="13"/>
      <c r="I145" s="23"/>
      <c r="J145" s="23"/>
    </row>
    <row r="146" spans="2:10" ht="16.5" customHeight="1" x14ac:dyDescent="0.55000000000000004">
      <c r="B146" s="2"/>
      <c r="G146" s="13"/>
      <c r="H146" s="13"/>
      <c r="I146" s="23"/>
      <c r="J146" s="23"/>
    </row>
    <row r="147" spans="2:10" ht="16.5" customHeight="1" x14ac:dyDescent="0.55000000000000004">
      <c r="B147" s="2"/>
      <c r="G147" s="13"/>
      <c r="H147" s="13"/>
      <c r="I147" s="23"/>
      <c r="J147" s="23"/>
    </row>
    <row r="148" spans="2:10" ht="16.5" customHeight="1" x14ac:dyDescent="0.55000000000000004">
      <c r="B148" s="2"/>
      <c r="G148" s="13"/>
      <c r="H148" s="13"/>
      <c r="I148" s="23"/>
      <c r="J148" s="23"/>
    </row>
    <row r="149" spans="2:10" ht="16.5" customHeight="1" x14ac:dyDescent="0.55000000000000004">
      <c r="B149" s="2"/>
      <c r="G149" s="13"/>
      <c r="H149" s="13"/>
      <c r="I149" s="23"/>
      <c r="J149" s="23"/>
    </row>
    <row r="150" spans="2:10" ht="16.5" customHeight="1" x14ac:dyDescent="0.55000000000000004">
      <c r="B150" s="2"/>
      <c r="F150" s="1"/>
      <c r="G150" s="13"/>
      <c r="H150" s="13"/>
      <c r="I150" s="23"/>
      <c r="J150" s="23"/>
    </row>
    <row r="151" spans="2:10" ht="16.5" customHeight="1" x14ac:dyDescent="0.55000000000000004">
      <c r="B151" s="2"/>
      <c r="F151" s="1"/>
      <c r="G151" s="13"/>
      <c r="H151" s="13"/>
      <c r="I151" s="23"/>
      <c r="J151" s="23"/>
    </row>
    <row r="152" spans="2:10" ht="16.5" customHeight="1" x14ac:dyDescent="0.55000000000000004">
      <c r="B152" s="2"/>
      <c r="F152" s="1"/>
      <c r="G152" s="13"/>
      <c r="H152" s="13"/>
      <c r="I152" s="23"/>
      <c r="J152" s="23"/>
    </row>
    <row r="153" spans="2:10" ht="16.5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customHeight="1" x14ac:dyDescent="0.55000000000000004">
      <c r="B155" s="2"/>
      <c r="C155" s="1"/>
      <c r="F155" s="1"/>
      <c r="G155" s="13"/>
      <c r="H155" s="13"/>
      <c r="I155" s="23"/>
      <c r="J155" s="23"/>
    </row>
    <row r="156" spans="2:10" ht="16.5" customHeight="1" x14ac:dyDescent="0.55000000000000004">
      <c r="B156" s="2"/>
      <c r="F156" s="1"/>
      <c r="G156" s="13"/>
      <c r="H156" s="13"/>
      <c r="I156" s="23"/>
      <c r="J156" s="23"/>
    </row>
    <row r="157" spans="2:10" ht="16.5" customHeight="1" x14ac:dyDescent="0.55000000000000004">
      <c r="B157" s="2"/>
      <c r="F157" s="1"/>
      <c r="G157" s="13"/>
      <c r="H157" s="13"/>
      <c r="I157" s="23"/>
      <c r="J157" s="23"/>
    </row>
    <row r="158" spans="2:10" ht="16.5" customHeight="1" x14ac:dyDescent="0.55000000000000004">
      <c r="B158" s="2"/>
      <c r="F158" s="1"/>
      <c r="G158" s="13"/>
      <c r="H158" s="13"/>
      <c r="I158" s="23"/>
      <c r="J158" s="23"/>
    </row>
    <row r="159" spans="2:10" ht="16.5" customHeight="1" x14ac:dyDescent="0.55000000000000004">
      <c r="B159" s="2"/>
      <c r="F159" s="1"/>
      <c r="G159" s="13"/>
      <c r="H159" s="13"/>
      <c r="I159" s="23"/>
      <c r="J159" s="23"/>
    </row>
    <row r="160" spans="2:10" ht="16.5" customHeight="1" x14ac:dyDescent="0.55000000000000004">
      <c r="B160" s="2"/>
      <c r="F160" s="1"/>
      <c r="G160" s="13"/>
      <c r="H160" s="13"/>
      <c r="I160" s="23"/>
      <c r="J160" s="23"/>
    </row>
    <row r="161" spans="1:10" ht="16.5" customHeight="1" x14ac:dyDescent="0.55000000000000004">
      <c r="B161" s="2"/>
      <c r="G161" s="13"/>
      <c r="H161" s="13"/>
      <c r="I161" s="23"/>
      <c r="J161" s="23"/>
    </row>
    <row r="162" spans="1:10" ht="16.5" customHeight="1" x14ac:dyDescent="0.55000000000000004">
      <c r="B162" s="2"/>
      <c r="G162" s="13"/>
      <c r="H162" s="13"/>
      <c r="I162" s="23"/>
      <c r="J162" s="23"/>
    </row>
    <row r="163" spans="1:10" ht="16.5" customHeight="1" x14ac:dyDescent="0.55000000000000004">
      <c r="B163" s="2"/>
      <c r="G163" s="13"/>
      <c r="H163" s="13"/>
      <c r="I163" s="23"/>
      <c r="J163" s="23"/>
    </row>
    <row r="164" spans="1:10" ht="16.5" customHeight="1" x14ac:dyDescent="0.55000000000000004">
      <c r="B164" s="2"/>
      <c r="G164" s="13"/>
      <c r="H164" s="13"/>
      <c r="I164" s="23"/>
      <c r="J164" s="23"/>
    </row>
    <row r="165" spans="1:10" ht="16.5" customHeight="1" x14ac:dyDescent="0.55000000000000004">
      <c r="B165" s="2"/>
      <c r="F165" s="1"/>
      <c r="G165" s="13"/>
      <c r="H165" s="13"/>
      <c r="I165" s="23"/>
      <c r="J165" s="23"/>
    </row>
    <row r="166" spans="1:10" ht="16.5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B167" s="2"/>
      <c r="G167" s="13"/>
      <c r="H167" s="1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A169" s="2"/>
      <c r="B169" s="2"/>
      <c r="G169" s="3"/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ht="16.5" customHeight="1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  <row r="304" spans="9:10" x14ac:dyDescent="0.55000000000000004">
      <c r="I304" s="23"/>
      <c r="J304" s="23"/>
    </row>
  </sheetData>
  <autoFilter ref="A4:H167" xr:uid="{40A4B7A3-F207-4AF4-8579-95FFC9A7072F}"/>
  <mergeCells count="1">
    <mergeCell ref="A1:B1"/>
  </mergeCells>
  <conditionalFormatting sqref="F6:F18">
    <cfRule type="cellIs" dxfId="12" priority="170" operator="equal">
      <formula>"Fulfilled"</formula>
    </cfRule>
    <cfRule type="cellIs" dxfId="11" priority="171" operator="equal">
      <formula>"Not verified"</formula>
    </cfRule>
    <cfRule type="cellIs" dxfId="10" priority="172" operator="equal">
      <formula>"Fullfilled"</formula>
    </cfRule>
    <cfRule type="cellIs" dxfId="9" priority="173" operator="equal">
      <formula>"N/A"</formula>
    </cfRule>
    <cfRule type="cellIs" dxfId="8" priority="174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5" r:id="rId49" tooltip="https://docs.microsoft.com/azure/azure-monitor/insights/container-insights-metric-alerts" xr:uid="{BEB540A6-404D-4273-A8E5-9E2AE3BED84F}"/>
    <hyperlink ref="G57" r:id="rId50" tooltip="https://docs.microsoft.com/azure/aks/node-updates-kured" xr:uid="{6FE8FC8B-9461-4E19-A99B-C926813C01F7}"/>
    <hyperlink ref="G58" r:id="rId51" tooltip="https://docs.microsoft.com/azure/architecture/example-scenario/bedrock/bedrock-automated-deployments" xr:uid="{A677166A-A803-437E-9A16-3B17026F331E}"/>
    <hyperlink ref="G59" r:id="rId52" tooltip="https://docs.microsoft.com/azure/aks/spot-node-pool" xr:uid="{6E7BB98C-0132-4FE6-8CA6-FDD4D8EFB65F}"/>
    <hyperlink ref="G60" r:id="rId53" tooltip="https://docs.microsoft.com/azure/aks/concepts-scale" xr:uid="{22E78F92-6419-40B1-8D28-5530D81DF026}"/>
    <hyperlink ref="G61" r:id="rId54" tooltip="https://kubecost.com/" xr:uid="{B267501A-ED9E-4DA8-B5C4-74BB0C188F23}"/>
    <hyperlink ref="G62" r:id="rId55" tooltip="https://docs.microsoft.com/azure/aks/faq" xr:uid="{A1B41113-D472-4FF6-BF17-C80DE3214F71}"/>
    <hyperlink ref="G63" r:id="rId56" tooltip="https://docs.microsoft.com/azure/aks/cluster-configuration" xr:uid="{2396057F-967A-41EC-8CAE-07C5DB157118}"/>
    <hyperlink ref="G64" r:id="rId57" tooltip="https://kubernetes.io/docs/setup/release/notes/" xr:uid="{91B307FD-2DF3-447C-A543-2A8E01DAD6D0}"/>
    <hyperlink ref="G65" r:id="rId58" tooltip="https://docs.microsoft.com/azure-stack/aks-hci/adapt-apps-mixed-os-clusters" xr:uid="{2E8F2C7C-55F3-47C8-A342-3E959E504D7B}"/>
    <hyperlink ref="G66" r:id="rId59" tooltip="https://docs.microsoft.com/virtualization/windowscontainers/deploy-containers/version-compatibility?tabs=windows-server-20H2%2Cwindows-10-20H2" xr:uid="{EFB6C76D-3021-494D-BD1A-1E8DDFFBCE2A}"/>
    <hyperlink ref="G67" r:id="rId60" tooltip="https://docs.microsoft.com/azure/azure-monitor/containers/container-insights-analyze" xr:uid="{601E808F-86D3-4544-BDEE-38847651E7AB}"/>
    <hyperlink ref="G68" r:id="rId61" tooltip="https://docs.microsoft.com/azure/aks/configure-azure-cni" xr:uid="{8A3F0056-83E0-490C-A5C7-C4159EA415CB}"/>
    <hyperlink ref="G69" r:id="rId62" tooltip="https://docs.microsoft.com/azure/virtual-machines/premium-storage-performance" xr:uid="{7DE9A0EE-549A-4AD8-8E2D-F67E40C7A699}"/>
    <hyperlink ref="G70" r:id="rId63" tooltip="https://docs.microsoft.com/azure/aks/load-balancer-standard" xr:uid="{AE3C1D7E-FF8A-49C9-AF3F-38FAFDEBC8B8}"/>
    <hyperlink ref="G71" r:id="rId64" tooltip="https://docs.microsoft.com/azure/aks/monitor-aks" xr:uid="{39554741-9F54-4FAC-BD7B-BB49956E9C2C}"/>
    <hyperlink ref="G72" r:id="rId65" tooltip="https://docs.microsoft.com/azure/aks/concepts-scale" xr:uid="{1E8D2646-93E8-4F41-9A06-46A8749D0808}"/>
    <hyperlink ref="G73" r:id="rId66" tooltip="https://docs.microsoft.com/azure/aks/concepts-scale" xr:uid="{7B22004E-BC13-4363-BCD0-EC20125A3B75}"/>
    <hyperlink ref="G74" r:id="rId67" tooltip="https://blog.cloudtrooper.net/2020/10/23/which-vm-size-should-i-choose-as-aks-node/" xr:uid="{B4439090-B49F-4934-B785-38827B4542C5}"/>
    <hyperlink ref="G75" r:id="rId68" tooltip="https://docs.microsoft.com/azure/aks/operator-best-practices-scheduler" xr:uid="{086B2D04-E6FC-4D88-BD66-18B5343EF3AB}"/>
    <hyperlink ref="G76" r:id="rId69" tooltip="https://docs.microsoft.com/azure/aks/operator-best-practices-scheduler" xr:uid="{525027EA-9DD9-4A57-8133-3556A1EF1D95}"/>
    <hyperlink ref="G77" r:id="rId70" tooltip="https://docs.microsoft.com/azure/azure-resource-manager/management/azure-subscription-service-limits" xr:uid="{011F2BEA-CC71-4649-AA9E-516C2B524152}"/>
    <hyperlink ref="G78" r:id="rId71" tooltip="https://docs.microsoft.com/azure/developer/terraform/create-k8s-cluster-with-tf-and-aks" xr:uid="{E48F24CA-9DC9-4785-9C83-9EA0FE171862}"/>
    <hyperlink ref="G79" r:id="rId72" tooltip="https://docs.microsoft.com/azure/architecture/reference-architectures/containers/aks/secure-baseline-aks" xr:uid="{9C5A5269-3AC6-4FA6-81CB-4C6A19D0B121}"/>
    <hyperlink ref="G80" r:id="rId73" tooltip="https://docs.microsoft.com/azure/azure-functions/functions-kubernetes-keda" xr:uid="{25AFB495-CC2C-4E75-B4B1-2564FE2FE4AE}"/>
    <hyperlink ref="G81" r:id="rId74" tooltip="https://dapr.io/" xr:uid="{4DD05553-48F0-4788-A47B-F5A2D42F4E0A}"/>
    <hyperlink ref="G43" r:id="rId75" tooltip="https://docs.microsoft.com/azure/aks/operator-best-practices-cluster-isolation" xr:uid="{F5A6EF0A-6D77-4632-8B18-026B5109D7BF}"/>
    <hyperlink ref="G56" r:id="rId76" tooltip="https://docs.microsoft.com/azure/aks/supported-kubernetes-versions" xr:uid="{4723FD31-9D85-43A4-AF9E-0135150E2160}"/>
    <hyperlink ref="G54" r:id="rId77" tooltip="https://docs.microsoft.com/azure/aks/monitor-aks" xr:uid="{2F769E96-4A09-42C9-96F4-30E22816B2D3}"/>
  </hyperlinks>
  <pageMargins left="0.7" right="0.7" top="0.75" bottom="0.75" header="0.3" footer="0.3"/>
  <pageSetup paperSize="9" orientation="portrait" horizontalDpi="4294967293" r:id="rId78"/>
  <drawing r:id="rId79"/>
  <legacyDrawing r:id="rId8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1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2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3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4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5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6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7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8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9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0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1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2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3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8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1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E5:E169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40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47</v>
      </c>
    </row>
    <row r="4" spans="1:4" x14ac:dyDescent="0.55000000000000004">
      <c r="A4" t="s">
        <v>8</v>
      </c>
      <c r="B4" s="10" t="s">
        <v>11</v>
      </c>
      <c r="C4" t="s">
        <v>31</v>
      </c>
    </row>
    <row r="5" spans="1:4" x14ac:dyDescent="0.55000000000000004">
      <c r="B5" s="11" t="s">
        <v>12</v>
      </c>
      <c r="C5" t="s">
        <v>69</v>
      </c>
    </row>
    <row r="6" spans="1:4" x14ac:dyDescent="0.55000000000000004">
      <c r="C6" t="s">
        <v>81</v>
      </c>
    </row>
    <row r="7" spans="1:4" x14ac:dyDescent="0.55000000000000004">
      <c r="C7" t="s">
        <v>83</v>
      </c>
    </row>
    <row r="8" spans="1:4" x14ac:dyDescent="0.55000000000000004">
      <c r="C8" t="s">
        <v>113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2021-10-23T20:44:43Z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